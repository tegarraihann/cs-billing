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3. DATA KERJA\6. PROJECT WEBSITE ASIAH\"/>
    </mc:Choice>
  </mc:AlternateContent>
  <xr:revisionPtr revIDLastSave="0" documentId="13_ncr:1_{0187A655-BE93-457B-BB7F-5B8B2E422E71}" xr6:coauthVersionLast="47" xr6:coauthVersionMax="47" xr10:uidLastSave="{00000000-0000-0000-0000-000000000000}"/>
  <bookViews>
    <workbookView xWindow="-110" yWindow="-110" windowWidth="19420" windowHeight="11500" tabRatio="598" firstSheet="52" activeTab="54" xr2:uid="{00000000-000D-0000-FFFF-FFFF00000000}"/>
  </bookViews>
  <sheets>
    <sheet name="LIST CUSTOMER" sheetId="1" state="hidden" r:id="rId1"/>
    <sheet name="CICILAN EMAS 10GR" sheetId="2" state="hidden" r:id="rId2"/>
    <sheet name="LISTRIK NENEK" sheetId="3" state="hidden" r:id="rId3"/>
    <sheet name="LISTRIK, IPL &amp; AIR PMA" sheetId="4" state="hidden" r:id="rId4"/>
    <sheet name="PMA" sheetId="5" state="hidden" r:id="rId5"/>
    <sheet name="ASURANSI ASTRALIFE" sheetId="6" state="hidden" r:id="rId6"/>
    <sheet name="MSR JAN 2023 (AAE-ARL)" sheetId="7" state="hidden" r:id="rId7"/>
    <sheet name="MSR FEB 2023 (AAE-ARL)" sheetId="8" state="hidden" r:id="rId8"/>
    <sheet name="MSR MARCH 2023 (AAE-ARL)" sheetId="9" state="hidden" r:id="rId9"/>
    <sheet name="MSR JAN TILL MAR" sheetId="10" state="hidden" r:id="rId10"/>
    <sheet name="MSR APRIL 2023" sheetId="11" state="hidden" r:id="rId11"/>
    <sheet name="MSR MEI 2023" sheetId="12" state="hidden" r:id="rId12"/>
    <sheet name="MSR JUNI 2023" sheetId="13" state="hidden" r:id="rId13"/>
    <sheet name="MSR JULI 2023" sheetId="14" state="hidden" r:id="rId14"/>
    <sheet name="MSR AGUSTUS 2023" sheetId="15" state="hidden" r:id="rId15"/>
    <sheet name="MSR SEPTEMBER 2023" sheetId="16" state="hidden" r:id="rId16"/>
    <sheet name="MSR OKT 2023" sheetId="17" state="hidden" r:id="rId17"/>
    <sheet name="MSR NOV 2023 " sheetId="18" state="hidden" r:id="rId18"/>
    <sheet name="MSR DES 2023" sheetId="19" state="hidden" r:id="rId19"/>
    <sheet name="MSR JAN 24" sheetId="20" state="hidden" r:id="rId20"/>
    <sheet name="MSR FEB 24" sheetId="21" state="hidden" r:id="rId21"/>
    <sheet name="MSR MAR 24" sheetId="22" state="hidden" r:id="rId22"/>
    <sheet name="PIUTANG TEST" sheetId="46" state="hidden" r:id="rId23"/>
    <sheet name="Format Trucking List" sheetId="23" state="hidden" r:id="rId24"/>
    <sheet name="TABUNGAN EMAS" sheetId="24" state="hidden" r:id="rId25"/>
    <sheet name="PEMBUKUAN" sheetId="25" state="hidden" r:id="rId26"/>
    <sheet name="PIUTANG LIST" sheetId="26" state="hidden" r:id="rId27"/>
    <sheet name="TEST" sheetId="45" state="hidden" r:id="rId28"/>
    <sheet name="HUTANG LIST" sheetId="27" state="hidden" r:id="rId29"/>
    <sheet name="REKON MANDIRI EWILOG" sheetId="28" state="hidden" r:id="rId30"/>
    <sheet name="LIST KANVAS" sheetId="29" state="hidden" r:id="rId31"/>
    <sheet name="LR OKT 23" sheetId="30" state="hidden" r:id="rId32"/>
    <sheet name="LR DES 2023" sheetId="48" state="hidden" r:id="rId33"/>
    <sheet name="LR JAN 2024" sheetId="33" state="hidden" r:id="rId34"/>
    <sheet name="LR FEB 2024" sheetId="34" state="hidden" r:id="rId35"/>
    <sheet name="LR MAR 2024" sheetId="35" state="hidden" r:id="rId36"/>
    <sheet name="LR APR 2024" sheetId="36" state="hidden" r:id="rId37"/>
    <sheet name="LR MEI 2024" sheetId="37" state="hidden" r:id="rId38"/>
    <sheet name="LR JUN 2024" sheetId="38" state="hidden" r:id="rId39"/>
    <sheet name="LR NOV 2023" sheetId="47" state="hidden" r:id="rId40"/>
    <sheet name="LR JAN 24" sheetId="49" state="hidden" r:id="rId41"/>
    <sheet name="LR FEB 24" sheetId="50" state="hidden" r:id="rId42"/>
    <sheet name="LR MAR 24" sheetId="51" state="hidden" r:id="rId43"/>
    <sheet name="LR APR 24" sheetId="52" state="hidden" r:id="rId44"/>
    <sheet name="LR MAY 24" sheetId="53" state="hidden" r:id="rId45"/>
    <sheet name="LR JUN 24" sheetId="54" state="hidden" r:id="rId46"/>
    <sheet name="LR JUL 2024" sheetId="55" state="hidden" r:id="rId47"/>
    <sheet name="LR AUG 2024" sheetId="44" state="hidden" r:id="rId48"/>
    <sheet name="LR SEPT 2024" sheetId="56" state="hidden" r:id="rId49"/>
    <sheet name="LR OKT 2024" sheetId="61" state="hidden" r:id="rId50"/>
    <sheet name="LR NOV 2024" sheetId="62" state="hidden" r:id="rId51"/>
    <sheet name="LR TAHUNAN" sheetId="66" state="hidden" r:id="rId52"/>
    <sheet name="LABA RUGI DES 2024" sheetId="65" r:id="rId53"/>
    <sheet name="PETTY CASH" sheetId="63" r:id="rId54"/>
    <sheet name="SHIPMENT" sheetId="43" r:id="rId55"/>
    <sheet name="Pengeluaran" sheetId="39" state="hidden" r:id="rId56"/>
    <sheet name="Weekly Report MKT" sheetId="41" state="hidden" r:id="rId57"/>
    <sheet name="Form Managing FU Customer" sheetId="42" state="hidden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8" i="43" l="1"/>
  <c r="C34" i="65"/>
  <c r="C14" i="65"/>
  <c r="C27" i="65"/>
  <c r="T17" i="43" l="1"/>
  <c r="S17" i="43"/>
  <c r="L17" i="43"/>
  <c r="U8" i="43" l="1"/>
  <c r="F27" i="66"/>
  <c r="E27" i="66"/>
  <c r="G38" i="66"/>
  <c r="G36" i="66"/>
  <c r="G35" i="66"/>
  <c r="G34" i="66"/>
  <c r="G33" i="66"/>
  <c r="G32" i="66"/>
  <c r="G30" i="66"/>
  <c r="F16" i="66"/>
  <c r="E16" i="66"/>
  <c r="G16" i="66" s="1"/>
  <c r="F15" i="66"/>
  <c r="G15" i="66" s="1"/>
  <c r="E15" i="66"/>
  <c r="F14" i="66"/>
  <c r="E14" i="66"/>
  <c r="F13" i="66"/>
  <c r="E13" i="66"/>
  <c r="G13" i="66" s="1"/>
  <c r="F12" i="66"/>
  <c r="E12" i="66"/>
  <c r="F11" i="66"/>
  <c r="G11" i="66" s="1"/>
  <c r="E11" i="66"/>
  <c r="F10" i="66"/>
  <c r="E10" i="66"/>
  <c r="F9" i="66"/>
  <c r="E9" i="66"/>
  <c r="F8" i="66"/>
  <c r="E8" i="66"/>
  <c r="G8" i="66" s="1"/>
  <c r="F7" i="66"/>
  <c r="G7" i="66" s="1"/>
  <c r="E7" i="66"/>
  <c r="F6" i="66"/>
  <c r="G6" i="66" s="1"/>
  <c r="E6" i="66"/>
  <c r="F5" i="66"/>
  <c r="G9" i="66"/>
  <c r="G10" i="66"/>
  <c r="G14" i="66"/>
  <c r="E5" i="66"/>
  <c r="G5" i="66" s="1"/>
  <c r="F4" i="66"/>
  <c r="C35" i="61"/>
  <c r="C31" i="61"/>
  <c r="C33" i="61"/>
  <c r="C29" i="61"/>
  <c r="I35" i="61"/>
  <c r="C36" i="61"/>
  <c r="C38" i="61"/>
  <c r="C29" i="65"/>
  <c r="H47" i="65"/>
  <c r="H40" i="65"/>
  <c r="H31" i="65"/>
  <c r="C10" i="65"/>
  <c r="C9" i="65"/>
  <c r="C48" i="65"/>
  <c r="H24" i="65"/>
  <c r="G24" i="65"/>
  <c r="C36" i="65"/>
  <c r="H18" i="65"/>
  <c r="C15" i="65" s="1"/>
  <c r="C17" i="65" s="1"/>
  <c r="E28" i="66" s="1"/>
  <c r="E39" i="66" s="1"/>
  <c r="G18" i="65"/>
  <c r="C35" i="65" s="1"/>
  <c r="H9" i="65"/>
  <c r="M16" i="65"/>
  <c r="C39" i="62"/>
  <c r="C8" i="62"/>
  <c r="C36" i="62"/>
  <c r="C35" i="62"/>
  <c r="H16" i="62"/>
  <c r="C14" i="62" s="1"/>
  <c r="M20" i="62"/>
  <c r="K28" i="63"/>
  <c r="H21" i="62"/>
  <c r="H26" i="62" s="1"/>
  <c r="C27" i="62" s="1"/>
  <c r="M46" i="62"/>
  <c r="M36" i="62"/>
  <c r="C31" i="62"/>
  <c r="M41" i="62"/>
  <c r="M5" i="62"/>
  <c r="M14" i="62"/>
  <c r="L29" i="63"/>
  <c r="K59" i="63"/>
  <c r="J59" i="63"/>
  <c r="I59" i="63"/>
  <c r="H59" i="63"/>
  <c r="G59" i="63"/>
  <c r="F59" i="63"/>
  <c r="E59" i="63"/>
  <c r="F28" i="63"/>
  <c r="G28" i="63"/>
  <c r="H28" i="63"/>
  <c r="I28" i="63"/>
  <c r="J28" i="63"/>
  <c r="E28" i="63"/>
  <c r="C10" i="62"/>
  <c r="C9" i="62"/>
  <c r="H41" i="62"/>
  <c r="G41" i="62"/>
  <c r="C41" i="62" s="1"/>
  <c r="C53" i="62"/>
  <c r="H35" i="62"/>
  <c r="C15" i="62" s="1"/>
  <c r="G35" i="62"/>
  <c r="C40" i="62" s="1"/>
  <c r="C52" i="61"/>
  <c r="C17" i="56"/>
  <c r="C41" i="56"/>
  <c r="I30" i="61"/>
  <c r="C14" i="61" s="1"/>
  <c r="I61" i="61"/>
  <c r="O121" i="61"/>
  <c r="O75" i="61"/>
  <c r="O70" i="61"/>
  <c r="C35" i="56"/>
  <c r="I40" i="61"/>
  <c r="C27" i="61" s="1"/>
  <c r="O33" i="61"/>
  <c r="C10" i="61"/>
  <c r="C9" i="61"/>
  <c r="I55" i="61"/>
  <c r="H55" i="61"/>
  <c r="C40" i="61" s="1"/>
  <c r="I49" i="61"/>
  <c r="C15" i="61" s="1"/>
  <c r="H49" i="61"/>
  <c r="C39" i="61" s="1"/>
  <c r="C29" i="56"/>
  <c r="I50" i="56"/>
  <c r="I55" i="56"/>
  <c r="O24" i="56"/>
  <c r="C10" i="56"/>
  <c r="C51" i="44"/>
  <c r="C24" i="55"/>
  <c r="H21" i="55"/>
  <c r="U96" i="43" l="1"/>
  <c r="F17" i="66"/>
  <c r="G29" i="66"/>
  <c r="G12" i="66"/>
  <c r="G37" i="66"/>
  <c r="G27" i="66"/>
  <c r="G31" i="66"/>
  <c r="C38" i="65"/>
  <c r="F28" i="66" s="1"/>
  <c r="F39" i="66" s="1"/>
  <c r="C11" i="65"/>
  <c r="E60" i="63"/>
  <c r="E29" i="63"/>
  <c r="L30" i="63" s="1"/>
  <c r="C11" i="62"/>
  <c r="C43" i="62"/>
  <c r="C17" i="62"/>
  <c r="C17" i="61"/>
  <c r="C42" i="61"/>
  <c r="G28" i="66" l="1"/>
  <c r="G39" i="66" s="1"/>
  <c r="C46" i="61"/>
  <c r="C42" i="65"/>
  <c r="L34" i="63"/>
  <c r="L61" i="63" s="1"/>
  <c r="C47" i="62"/>
  <c r="O104" i="44" l="1"/>
  <c r="N104" i="44"/>
  <c r="C9" i="56"/>
  <c r="C11" i="56" s="1"/>
  <c r="I74" i="56"/>
  <c r="H74" i="56"/>
  <c r="C39" i="56" s="1"/>
  <c r="I68" i="56"/>
  <c r="H68" i="56"/>
  <c r="C38" i="56" s="1"/>
  <c r="O50" i="56"/>
  <c r="C51" i="56"/>
  <c r="O37" i="56"/>
  <c r="I59" i="56"/>
  <c r="C27" i="56" s="1"/>
  <c r="C14" i="56"/>
  <c r="I104" i="44"/>
  <c r="I74" i="44"/>
  <c r="H74" i="44"/>
  <c r="C39" i="44" s="1"/>
  <c r="H67" i="44"/>
  <c r="C38" i="44" s="1"/>
  <c r="I67" i="44"/>
  <c r="C15" i="44" s="1"/>
  <c r="C9" i="44"/>
  <c r="C9" i="55"/>
  <c r="C10" i="55" s="1"/>
  <c r="G32" i="55"/>
  <c r="C36" i="55" s="1"/>
  <c r="C13" i="55"/>
  <c r="C15" i="55" s="1"/>
  <c r="H8" i="54"/>
  <c r="C13" i="54" s="1"/>
  <c r="C15" i="54" s="1"/>
  <c r="C9" i="54"/>
  <c r="C10" i="54" s="1"/>
  <c r="C24" i="54"/>
  <c r="G19" i="54"/>
  <c r="C36" i="54" s="1"/>
  <c r="H11" i="53"/>
  <c r="C13" i="53"/>
  <c r="C15" i="53" s="1"/>
  <c r="C9" i="53"/>
  <c r="C10" i="53" s="1"/>
  <c r="C24" i="53"/>
  <c r="G23" i="53"/>
  <c r="C36" i="53" s="1"/>
  <c r="H9" i="52"/>
  <c r="C13" i="52" s="1"/>
  <c r="C15" i="52" s="1"/>
  <c r="C9" i="52"/>
  <c r="C10" i="52" s="1"/>
  <c r="C24" i="52"/>
  <c r="G21" i="52"/>
  <c r="C36" i="52" s="1"/>
  <c r="C9" i="51"/>
  <c r="C10" i="51" s="1"/>
  <c r="C38" i="49"/>
  <c r="H16" i="49"/>
  <c r="H10" i="51"/>
  <c r="G21" i="51"/>
  <c r="C36" i="51" s="1"/>
  <c r="C24" i="51"/>
  <c r="C38" i="51" s="1"/>
  <c r="C13" i="51"/>
  <c r="C15" i="51" s="1"/>
  <c r="P104" i="44" l="1"/>
  <c r="P4" i="56" s="1"/>
  <c r="P24" i="56" s="1"/>
  <c r="Q24" i="56" s="1"/>
  <c r="P4" i="61" s="1"/>
  <c r="P33" i="61" s="1"/>
  <c r="Q33" i="61" s="1"/>
  <c r="C8" i="61" s="1"/>
  <c r="C11" i="61" s="1"/>
  <c r="C45" i="56"/>
  <c r="C38" i="55"/>
  <c r="C42" i="55" s="1"/>
  <c r="C38" i="54"/>
  <c r="C42" i="54" s="1"/>
  <c r="C38" i="53"/>
  <c r="C42" i="53" s="1"/>
  <c r="C38" i="52"/>
  <c r="C42" i="52" s="1"/>
  <c r="C42" i="51"/>
  <c r="G32" i="50" l="1"/>
  <c r="C36" i="50"/>
  <c r="H20" i="50"/>
  <c r="C13" i="50" s="1"/>
  <c r="C15" i="50" s="1"/>
  <c r="C24" i="50"/>
  <c r="C24" i="49"/>
  <c r="C10" i="50"/>
  <c r="C9" i="49"/>
  <c r="C10" i="49" s="1"/>
  <c r="G28" i="49"/>
  <c r="C36" i="49" s="1"/>
  <c r="C13" i="49"/>
  <c r="C15" i="49" s="1"/>
  <c r="C45" i="48"/>
  <c r="C24" i="48"/>
  <c r="H13" i="48"/>
  <c r="C13" i="48" s="1"/>
  <c r="C15" i="48" s="1"/>
  <c r="C9" i="48"/>
  <c r="C10" i="48" s="1"/>
  <c r="G25" i="48"/>
  <c r="C36" i="48" s="1"/>
  <c r="G28" i="47"/>
  <c r="G14" i="47"/>
  <c r="G19" i="47" s="1"/>
  <c r="G23" i="47" s="1"/>
  <c r="G50" i="47"/>
  <c r="C36" i="47" s="1"/>
  <c r="H9" i="47"/>
  <c r="C13" i="47" s="1"/>
  <c r="C15" i="47" s="1"/>
  <c r="C45" i="47"/>
  <c r="C9" i="47"/>
  <c r="C10" i="47" s="1"/>
  <c r="G42" i="47"/>
  <c r="G38" i="47"/>
  <c r="H34" i="47"/>
  <c r="C24" i="47" s="1"/>
  <c r="C45" i="30"/>
  <c r="C38" i="30"/>
  <c r="C36" i="30"/>
  <c r="G45" i="30"/>
  <c r="G39" i="30"/>
  <c r="C32" i="30" s="1"/>
  <c r="G34" i="30"/>
  <c r="C31" i="30" s="1"/>
  <c r="H25" i="30"/>
  <c r="C24" i="30" s="1"/>
  <c r="G19" i="30"/>
  <c r="G10" i="30"/>
  <c r="C9" i="30"/>
  <c r="C14" i="30"/>
  <c r="L119" i="26"/>
  <c r="K119" i="26"/>
  <c r="H166" i="26"/>
  <c r="L116" i="26"/>
  <c r="K116" i="26"/>
  <c r="I59" i="44"/>
  <c r="C23" i="44" s="1"/>
  <c r="I46" i="44"/>
  <c r="C22" i="44" s="1"/>
  <c r="I155" i="26"/>
  <c r="I35" i="44"/>
  <c r="C27" i="44" s="1"/>
  <c r="C41" i="44" s="1"/>
  <c r="I26" i="44"/>
  <c r="C14" i="44" s="1"/>
  <c r="C17" i="44" s="1"/>
  <c r="C11" i="44"/>
  <c r="G155" i="26"/>
  <c r="H155" i="26"/>
  <c r="J141" i="26"/>
  <c r="I141" i="26"/>
  <c r="H141" i="26"/>
  <c r="G141" i="26"/>
  <c r="L118" i="26"/>
  <c r="L117" i="26"/>
  <c r="C38" i="50" l="1"/>
  <c r="C42" i="50" s="1"/>
  <c r="C42" i="49"/>
  <c r="C38" i="48"/>
  <c r="C42" i="48" s="1"/>
  <c r="C38" i="47"/>
  <c r="C42" i="47" s="1"/>
  <c r="B5" i="45" a="1"/>
  <c r="B5" i="45" s="1"/>
  <c r="C45" i="44"/>
  <c r="K141" i="26"/>
  <c r="L141" i="26"/>
  <c r="G126" i="27"/>
  <c r="L115" i="26"/>
  <c r="L113" i="26"/>
  <c r="L112" i="26"/>
  <c r="K112" i="26"/>
  <c r="G136" i="27"/>
  <c r="L106" i="26"/>
  <c r="K106" i="26"/>
  <c r="I120" i="26"/>
  <c r="H120" i="26"/>
  <c r="G120" i="26"/>
  <c r="K118" i="26"/>
  <c r="K117" i="26"/>
  <c r="K115" i="26"/>
  <c r="L114" i="26"/>
  <c r="K114" i="26"/>
  <c r="K113" i="26"/>
  <c r="L111" i="26"/>
  <c r="K111" i="26"/>
  <c r="E116" i="39"/>
  <c r="F116" i="39"/>
  <c r="L110" i="26"/>
  <c r="K110" i="26"/>
  <c r="L109" i="26"/>
  <c r="L107" i="26"/>
  <c r="K107" i="26"/>
  <c r="J120" i="26"/>
  <c r="K105" i="26"/>
  <c r="L103" i="26"/>
  <c r="K103" i="26"/>
  <c r="L108" i="26"/>
  <c r="K108" i="26"/>
  <c r="L105" i="26"/>
  <c r="L104" i="26"/>
  <c r="K104" i="26"/>
  <c r="L102" i="26"/>
  <c r="K102" i="26"/>
  <c r="L101" i="26"/>
  <c r="K101" i="26"/>
  <c r="E258" i="39"/>
  <c r="E274" i="39"/>
  <c r="D274" i="39"/>
  <c r="C274" i="39"/>
  <c r="E268" i="39"/>
  <c r="D268" i="39"/>
  <c r="C268" i="39"/>
  <c r="E239" i="39"/>
  <c r="E238" i="39"/>
  <c r="H230" i="39"/>
  <c r="H229" i="39"/>
  <c r="E237" i="39"/>
  <c r="E231" i="39"/>
  <c r="F228" i="39"/>
  <c r="H228" i="39" s="1"/>
  <c r="F179" i="39"/>
  <c r="H179" i="39" s="1"/>
  <c r="F137" i="39"/>
  <c r="H137" i="39" s="1"/>
  <c r="C39" i="38"/>
  <c r="C15" i="38"/>
  <c r="C10" i="38"/>
  <c r="C43" i="38" s="1"/>
  <c r="C39" i="37"/>
  <c r="C43" i="37" s="1"/>
  <c r="C15" i="37"/>
  <c r="C10" i="37"/>
  <c r="C39" i="36"/>
  <c r="C15" i="36"/>
  <c r="C10" i="36"/>
  <c r="C43" i="36" s="1"/>
  <c r="C38" i="35"/>
  <c r="C42" i="35" s="1"/>
  <c r="C15" i="35"/>
  <c r="C10" i="35"/>
  <c r="C38" i="34"/>
  <c r="C15" i="34"/>
  <c r="C42" i="34" s="1"/>
  <c r="C10" i="34"/>
  <c r="C38" i="33"/>
  <c r="C42" i="33" s="1"/>
  <c r="C15" i="33"/>
  <c r="C10" i="33"/>
  <c r="C10" i="30"/>
  <c r="K75" i="28"/>
  <c r="J75" i="28"/>
  <c r="L71" i="28"/>
  <c r="L72" i="28" s="1"/>
  <c r="L73" i="28" s="1"/>
  <c r="L74" i="28" s="1"/>
  <c r="L75" i="28" s="1"/>
  <c r="L70" i="28"/>
  <c r="G59" i="28"/>
  <c r="G58" i="28"/>
  <c r="K44" i="28"/>
  <c r="J44" i="28"/>
  <c r="L40" i="28"/>
  <c r="L41" i="28" s="1"/>
  <c r="L42" i="28" s="1"/>
  <c r="L43" i="28" s="1"/>
  <c r="L44" i="28" s="1"/>
  <c r="L39" i="28"/>
  <c r="G35" i="28"/>
  <c r="G34" i="28"/>
  <c r="K24" i="28"/>
  <c r="L24" i="28" s="1"/>
  <c r="J24" i="28"/>
  <c r="L18" i="28"/>
  <c r="L19" i="28" s="1"/>
  <c r="L20" i="28" s="1"/>
  <c r="L21" i="28" s="1"/>
  <c r="L22" i="28" s="1"/>
  <c r="L23" i="28" s="1"/>
  <c r="G15" i="28"/>
  <c r="G14" i="28"/>
  <c r="F4" i="28"/>
  <c r="F5" i="28" s="1"/>
  <c r="F6" i="28" s="1"/>
  <c r="F7" i="28" s="1"/>
  <c r="F8" i="28" s="1"/>
  <c r="F9" i="28" s="1"/>
  <c r="F10" i="28" s="1"/>
  <c r="F11" i="28" s="1"/>
  <c r="F12" i="28" s="1"/>
  <c r="F13" i="28" s="1"/>
  <c r="F14" i="28" s="1"/>
  <c r="F15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33" i="28" s="1"/>
  <c r="F34" i="28" s="1"/>
  <c r="F35" i="28" s="1"/>
  <c r="F37" i="28" s="1"/>
  <c r="F38" i="28" s="1"/>
  <c r="F39" i="28" s="1"/>
  <c r="F40" i="28" s="1"/>
  <c r="F41" i="28" s="1"/>
  <c r="F42" i="28" s="1"/>
  <c r="F43" i="28" s="1"/>
  <c r="F44" i="28" s="1"/>
  <c r="F45" i="28" s="1"/>
  <c r="F46" i="28" s="1"/>
  <c r="F47" i="28" s="1"/>
  <c r="F48" i="28" s="1"/>
  <c r="F49" i="28" s="1"/>
  <c r="F50" i="28" s="1"/>
  <c r="F51" i="28" s="1"/>
  <c r="F52" i="28" s="1"/>
  <c r="F53" i="28" s="1"/>
  <c r="F54" i="28" s="1"/>
  <c r="F55" i="28" s="1"/>
  <c r="F56" i="28" s="1"/>
  <c r="F57" i="28" s="1"/>
  <c r="F58" i="28" s="1"/>
  <c r="F59" i="28" s="1"/>
  <c r="F60" i="28" s="1"/>
  <c r="F61" i="28" s="1"/>
  <c r="F62" i="28" s="1"/>
  <c r="F63" i="28" s="1"/>
  <c r="F64" i="28" s="1"/>
  <c r="F65" i="28" s="1"/>
  <c r="F66" i="28" s="1"/>
  <c r="F68" i="28" s="1"/>
  <c r="F69" i="28" s="1"/>
  <c r="F70" i="28" s="1"/>
  <c r="F71" i="28" s="1"/>
  <c r="F72" i="28" s="1"/>
  <c r="F73" i="28" s="1"/>
  <c r="F74" i="28" s="1"/>
  <c r="F75" i="28" s="1"/>
  <c r="F76" i="28" s="1"/>
  <c r="F77" i="28" s="1"/>
  <c r="F78" i="28" s="1"/>
  <c r="F79" i="28" s="1"/>
  <c r="F80" i="28" s="1"/>
  <c r="F81" i="28" s="1"/>
  <c r="F82" i="28" s="1"/>
  <c r="F83" i="28" s="1"/>
  <c r="F84" i="28" s="1"/>
  <c r="F85" i="28" s="1"/>
  <c r="F86" i="28" s="1"/>
  <c r="F87" i="28" s="1"/>
  <c r="F88" i="28" s="1"/>
  <c r="F89" i="28" s="1"/>
  <c r="F90" i="28" s="1"/>
  <c r="F91" i="28" s="1"/>
  <c r="F92" i="28" s="1"/>
  <c r="F93" i="28" s="1"/>
  <c r="F94" i="28" s="1"/>
  <c r="F95" i="28" s="1"/>
  <c r="F96" i="28" s="1"/>
  <c r="F97" i="28" s="1"/>
  <c r="F98" i="28" s="1"/>
  <c r="F99" i="28" s="1"/>
  <c r="F100" i="28" s="1"/>
  <c r="F101" i="28" s="1"/>
  <c r="F102" i="28" s="1"/>
  <c r="F103" i="28" s="1"/>
  <c r="F104" i="28" s="1"/>
  <c r="F105" i="28" s="1"/>
  <c r="L3" i="28"/>
  <c r="L4" i="28" s="1"/>
  <c r="L5" i="28" s="1"/>
  <c r="L6" i="28" s="1"/>
  <c r="L7" i="28" s="1"/>
  <c r="H52" i="27"/>
  <c r="J98" i="26"/>
  <c r="H98" i="26"/>
  <c r="L97" i="26"/>
  <c r="K97" i="26"/>
  <c r="L96" i="26"/>
  <c r="K96" i="26"/>
  <c r="L95" i="26"/>
  <c r="K95" i="26"/>
  <c r="L94" i="26"/>
  <c r="K94" i="26"/>
  <c r="L93" i="26"/>
  <c r="K93" i="26"/>
  <c r="J91" i="26"/>
  <c r="L90" i="26"/>
  <c r="K90" i="26"/>
  <c r="L89" i="26"/>
  <c r="K89" i="26"/>
  <c r="L88" i="26"/>
  <c r="K88" i="26"/>
  <c r="L87" i="26"/>
  <c r="K87" i="26"/>
  <c r="L86" i="26"/>
  <c r="K86" i="26"/>
  <c r="L85" i="26"/>
  <c r="K85" i="26"/>
  <c r="L84" i="26"/>
  <c r="K84" i="26"/>
  <c r="L83" i="26"/>
  <c r="K83" i="26"/>
  <c r="J81" i="26"/>
  <c r="H81" i="26"/>
  <c r="L80" i="26"/>
  <c r="K80" i="26"/>
  <c r="L79" i="26"/>
  <c r="K79" i="26"/>
  <c r="L78" i="26"/>
  <c r="K78" i="26"/>
  <c r="L77" i="26"/>
  <c r="K77" i="26"/>
  <c r="L76" i="26"/>
  <c r="K76" i="26"/>
  <c r="L75" i="26"/>
  <c r="K75" i="26"/>
  <c r="J73" i="26"/>
  <c r="H73" i="26"/>
  <c r="L72" i="26"/>
  <c r="K72" i="26"/>
  <c r="L71" i="26"/>
  <c r="K71" i="26"/>
  <c r="L70" i="26"/>
  <c r="K70" i="26"/>
  <c r="L69" i="26"/>
  <c r="K69" i="26"/>
  <c r="L68" i="26"/>
  <c r="K68" i="26"/>
  <c r="L67" i="26"/>
  <c r="K67" i="26"/>
  <c r="J64" i="26"/>
  <c r="H64" i="26"/>
  <c r="L63" i="26"/>
  <c r="K63" i="26"/>
  <c r="L62" i="26"/>
  <c r="K62" i="26"/>
  <c r="L61" i="26"/>
  <c r="K61" i="26"/>
  <c r="L60" i="26"/>
  <c r="K60" i="26"/>
  <c r="L59" i="26"/>
  <c r="K59" i="26"/>
  <c r="L58" i="26"/>
  <c r="K58" i="26"/>
  <c r="L57" i="26"/>
  <c r="K57" i="26"/>
  <c r="L56" i="26"/>
  <c r="K56" i="26"/>
  <c r="L55" i="26"/>
  <c r="K55" i="26"/>
  <c r="L54" i="26"/>
  <c r="K54" i="26"/>
  <c r="L53" i="26"/>
  <c r="K53" i="26"/>
  <c r="L52" i="26"/>
  <c r="K52" i="26"/>
  <c r="L51" i="26"/>
  <c r="K51" i="26"/>
  <c r="L50" i="26"/>
  <c r="K50" i="26"/>
  <c r="L49" i="26"/>
  <c r="K49" i="26"/>
  <c r="L48" i="26"/>
  <c r="K48" i="26"/>
  <c r="L47" i="26"/>
  <c r="K47" i="26"/>
  <c r="H45" i="26"/>
  <c r="K44" i="26"/>
  <c r="J44" i="26"/>
  <c r="L44" i="26" s="1"/>
  <c r="L43" i="26"/>
  <c r="K43" i="26"/>
  <c r="K42" i="26"/>
  <c r="J42" i="26"/>
  <c r="L42" i="26" s="1"/>
  <c r="K41" i="26"/>
  <c r="J41" i="26"/>
  <c r="L41" i="26" s="1"/>
  <c r="L40" i="26"/>
  <c r="K40" i="26"/>
  <c r="K39" i="26"/>
  <c r="J39" i="26"/>
  <c r="L39" i="26" s="1"/>
  <c r="L38" i="26"/>
  <c r="K38" i="26"/>
  <c r="L37" i="26"/>
  <c r="K37" i="26"/>
  <c r="L36" i="26"/>
  <c r="K36" i="26"/>
  <c r="L35" i="26"/>
  <c r="K35" i="26"/>
  <c r="L34" i="26"/>
  <c r="K34" i="26"/>
  <c r="L33" i="26"/>
  <c r="K33" i="26"/>
  <c r="L32" i="26"/>
  <c r="K32" i="26"/>
  <c r="I30" i="26"/>
  <c r="H30" i="26"/>
  <c r="L29" i="26"/>
  <c r="K29" i="26"/>
  <c r="L28" i="26"/>
  <c r="K28" i="26"/>
  <c r="L27" i="26"/>
  <c r="K27" i="26"/>
  <c r="K26" i="26"/>
  <c r="J26" i="26"/>
  <c r="K25" i="26"/>
  <c r="J25" i="26"/>
  <c r="L25" i="26" s="1"/>
  <c r="L24" i="26"/>
  <c r="K24" i="26"/>
  <c r="L23" i="26"/>
  <c r="K23" i="26"/>
  <c r="L22" i="26"/>
  <c r="K22" i="26"/>
  <c r="L21" i="26"/>
  <c r="K21" i="26"/>
  <c r="L20" i="26"/>
  <c r="K20" i="26"/>
  <c r="L19" i="26"/>
  <c r="K19" i="26"/>
  <c r="L18" i="26"/>
  <c r="K18" i="26"/>
  <c r="L17" i="26"/>
  <c r="K17" i="26"/>
  <c r="H15" i="26"/>
  <c r="L14" i="26"/>
  <c r="K14" i="26"/>
  <c r="K13" i="26"/>
  <c r="J13" i="26"/>
  <c r="L13" i="26" s="1"/>
  <c r="L12" i="26"/>
  <c r="K12" i="26"/>
  <c r="H10" i="26"/>
  <c r="L9" i="26"/>
  <c r="K9" i="26"/>
  <c r="L8" i="26"/>
  <c r="K8" i="26"/>
  <c r="L7" i="26"/>
  <c r="K7" i="26"/>
  <c r="L6" i="26"/>
  <c r="K6" i="26"/>
  <c r="L5" i="26"/>
  <c r="K5" i="26"/>
  <c r="L4" i="26"/>
  <c r="K4" i="26"/>
  <c r="R69" i="25"/>
  <c r="R70" i="25" s="1"/>
  <c r="Q69" i="25"/>
  <c r="T68" i="25"/>
  <c r="T67" i="25"/>
  <c r="T66" i="25"/>
  <c r="T65" i="25"/>
  <c r="T63" i="25"/>
  <c r="S63" i="25"/>
  <c r="T62" i="25"/>
  <c r="S62" i="25"/>
  <c r="T61" i="25"/>
  <c r="S61" i="25"/>
  <c r="T60" i="25"/>
  <c r="S60" i="25"/>
  <c r="T59" i="25"/>
  <c r="T69" i="25" s="1"/>
  <c r="S59" i="25"/>
  <c r="S69" i="25" s="1"/>
  <c r="R56" i="25"/>
  <c r="Q56" i="25"/>
  <c r="T55" i="25"/>
  <c r="T54" i="25"/>
  <c r="T53" i="25"/>
  <c r="T52" i="25"/>
  <c r="T50" i="25"/>
  <c r="S50" i="25"/>
  <c r="T49" i="25"/>
  <c r="S49" i="25"/>
  <c r="T48" i="25"/>
  <c r="S48" i="25"/>
  <c r="T47" i="25"/>
  <c r="S47" i="25"/>
  <c r="T46" i="25"/>
  <c r="S46" i="25"/>
  <c r="T45" i="25"/>
  <c r="S45" i="25"/>
  <c r="T44" i="25"/>
  <c r="T56" i="25" s="1"/>
  <c r="T57" i="25" s="1"/>
  <c r="S44" i="25"/>
  <c r="S56" i="25" s="1"/>
  <c r="R57" i="25" s="1"/>
  <c r="T41" i="25"/>
  <c r="T40" i="25"/>
  <c r="T39" i="25"/>
  <c r="T38" i="25"/>
  <c r="T37" i="25"/>
  <c r="R35" i="25"/>
  <c r="Q35" i="25"/>
  <c r="T34" i="25"/>
  <c r="T33" i="25"/>
  <c r="T32" i="25"/>
  <c r="T31" i="25"/>
  <c r="T30" i="25"/>
  <c r="T29" i="25"/>
  <c r="T27" i="25"/>
  <c r="S27" i="25"/>
  <c r="T26" i="25"/>
  <c r="S26" i="25"/>
  <c r="T25" i="25"/>
  <c r="S25" i="25"/>
  <c r="T24" i="25"/>
  <c r="S24" i="25"/>
  <c r="T23" i="25"/>
  <c r="S23" i="25"/>
  <c r="T22" i="25"/>
  <c r="S22" i="25"/>
  <c r="T21" i="25"/>
  <c r="S21" i="25"/>
  <c r="T20" i="25"/>
  <c r="S20" i="25"/>
  <c r="T19" i="25"/>
  <c r="T35" i="25" s="1"/>
  <c r="T36" i="25" s="1"/>
  <c r="S19" i="25"/>
  <c r="S35" i="25" s="1"/>
  <c r="R16" i="25"/>
  <c r="R17" i="25" s="1"/>
  <c r="Q16" i="25"/>
  <c r="T15" i="25"/>
  <c r="T14" i="25"/>
  <c r="T13" i="25"/>
  <c r="T12" i="25"/>
  <c r="T11" i="25"/>
  <c r="T9" i="25"/>
  <c r="T8" i="25"/>
  <c r="T7" i="25"/>
  <c r="T6" i="25"/>
  <c r="T5" i="25"/>
  <c r="T16" i="25" s="1"/>
  <c r="H22" i="22"/>
  <c r="H24" i="22" s="1"/>
  <c r="H27" i="22" s="1"/>
  <c r="H24" i="21"/>
  <c r="H27" i="21" s="1"/>
  <c r="H22" i="21"/>
  <c r="H24" i="20"/>
  <c r="H27" i="20" s="1"/>
  <c r="H22" i="20"/>
  <c r="H22" i="19"/>
  <c r="H24" i="19" s="1"/>
  <c r="H27" i="19" s="1"/>
  <c r="K9" i="18"/>
  <c r="K8" i="18"/>
  <c r="K7" i="18"/>
  <c r="K10" i="18" s="1"/>
  <c r="K12" i="18" s="1"/>
  <c r="K15" i="18" s="1"/>
  <c r="K11" i="17"/>
  <c r="K10" i="17"/>
  <c r="K9" i="17"/>
  <c r="K8" i="17"/>
  <c r="K7" i="17"/>
  <c r="K12" i="17" s="1"/>
  <c r="K14" i="17" s="1"/>
  <c r="K17" i="17" s="1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30" i="16" s="1"/>
  <c r="K32" i="16" s="1"/>
  <c r="K35" i="16" s="1"/>
  <c r="K8" i="16"/>
  <c r="K7" i="16"/>
  <c r="K19" i="15"/>
  <c r="K18" i="15"/>
  <c r="K17" i="15"/>
  <c r="K16" i="15"/>
  <c r="K15" i="15"/>
  <c r="K14" i="15"/>
  <c r="K13" i="15"/>
  <c r="K12" i="15"/>
  <c r="K11" i="15"/>
  <c r="K10" i="15"/>
  <c r="K9" i="15"/>
  <c r="K20" i="15" s="1"/>
  <c r="K22" i="15" s="1"/>
  <c r="K25" i="15" s="1"/>
  <c r="K8" i="15"/>
  <c r="K7" i="15"/>
  <c r="K31" i="14"/>
  <c r="K30" i="14"/>
  <c r="K29" i="14"/>
  <c r="K32" i="14" s="1"/>
  <c r="K24" i="14"/>
  <c r="K23" i="14"/>
  <c r="K25" i="14" s="1"/>
  <c r="K18" i="14"/>
  <c r="K17" i="14"/>
  <c r="K16" i="14"/>
  <c r="K15" i="14"/>
  <c r="K14" i="14"/>
  <c r="K13" i="14"/>
  <c r="K12" i="14"/>
  <c r="K11" i="14"/>
  <c r="K10" i="14"/>
  <c r="K9" i="14"/>
  <c r="K8" i="14"/>
  <c r="K7" i="14"/>
  <c r="K19" i="14" s="1"/>
  <c r="K33" i="13"/>
  <c r="K32" i="13"/>
  <c r="K31" i="13"/>
  <c r="K26" i="13"/>
  <c r="K25" i="13"/>
  <c r="K27" i="13" s="1"/>
  <c r="K24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20" i="13" s="1"/>
  <c r="K41" i="12"/>
  <c r="K40" i="12"/>
  <c r="K39" i="12"/>
  <c r="K42" i="12" s="1"/>
  <c r="K38" i="12"/>
  <c r="K34" i="12"/>
  <c r="K33" i="12"/>
  <c r="K32" i="12"/>
  <c r="K31" i="12"/>
  <c r="K30" i="12"/>
  <c r="K29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25" i="12" s="1"/>
  <c r="K45" i="12" s="1"/>
  <c r="K46" i="12" s="1"/>
  <c r="K48" i="12" s="1"/>
  <c r="J35" i="11"/>
  <c r="J34" i="11"/>
  <c r="J36" i="11" s="1"/>
  <c r="J30" i="11"/>
  <c r="J29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25" i="11" s="1"/>
  <c r="J38" i="11" s="1"/>
  <c r="J43" i="10"/>
  <c r="J42" i="10"/>
  <c r="J41" i="10"/>
  <c r="J38" i="10"/>
  <c r="J44" i="10" s="1"/>
  <c r="J37" i="10"/>
  <c r="J31" i="10"/>
  <c r="J30" i="10"/>
  <c r="J29" i="10"/>
  <c r="J28" i="10"/>
  <c r="J27" i="10"/>
  <c r="J26" i="10"/>
  <c r="J25" i="10"/>
  <c r="J24" i="10"/>
  <c r="J23" i="10"/>
  <c r="J21" i="10"/>
  <c r="J20" i="10"/>
  <c r="J45" i="10" s="1"/>
  <c r="J46" i="10" s="1"/>
  <c r="J18" i="10"/>
  <c r="J17" i="10"/>
  <c r="J16" i="10"/>
  <c r="J15" i="10"/>
  <c r="J14" i="10"/>
  <c r="J12" i="10"/>
  <c r="J11" i="10"/>
  <c r="J10" i="10"/>
  <c r="J9" i="10"/>
  <c r="J8" i="10"/>
  <c r="J7" i="10"/>
  <c r="J32" i="10" s="1"/>
  <c r="J25" i="9"/>
  <c r="J24" i="9"/>
  <c r="J26" i="9" s="1"/>
  <c r="J23" i="9"/>
  <c r="J18" i="9"/>
  <c r="J17" i="9"/>
  <c r="J16" i="9"/>
  <c r="J15" i="9"/>
  <c r="J14" i="9"/>
  <c r="J13" i="9"/>
  <c r="J12" i="9"/>
  <c r="J11" i="9"/>
  <c r="J10" i="9"/>
  <c r="J8" i="9"/>
  <c r="J7" i="9"/>
  <c r="J19" i="9" s="1"/>
  <c r="J28" i="9" s="1"/>
  <c r="J31" i="9" s="1"/>
  <c r="J17" i="8"/>
  <c r="J11" i="8"/>
  <c r="J10" i="8"/>
  <c r="J9" i="8"/>
  <c r="J8" i="8"/>
  <c r="J7" i="8"/>
  <c r="J12" i="8" s="1"/>
  <c r="J18" i="8" s="1"/>
  <c r="J18" i="7"/>
  <c r="J17" i="7"/>
  <c r="J19" i="7" s="1"/>
  <c r="J12" i="7"/>
  <c r="J11" i="7"/>
  <c r="J10" i="7"/>
  <c r="J9" i="7"/>
  <c r="J13" i="7" s="1"/>
  <c r="J8" i="7"/>
  <c r="J7" i="7"/>
  <c r="C377" i="5"/>
  <c r="E375" i="5"/>
  <c r="E373" i="5"/>
  <c r="E371" i="5"/>
  <c r="E369" i="5"/>
  <c r="E367" i="5"/>
  <c r="E365" i="5"/>
  <c r="E363" i="5"/>
  <c r="E361" i="5"/>
  <c r="E359" i="5"/>
  <c r="E357" i="5"/>
  <c r="E355" i="5"/>
  <c r="E353" i="5"/>
  <c r="E351" i="5"/>
  <c r="E349" i="5"/>
  <c r="E347" i="5"/>
  <c r="E345" i="5"/>
  <c r="E343" i="5"/>
  <c r="E341" i="5"/>
  <c r="E339" i="5"/>
  <c r="E337" i="5"/>
  <c r="E335" i="5"/>
  <c r="E333" i="5"/>
  <c r="E331" i="5"/>
  <c r="E329" i="5"/>
  <c r="E327" i="5"/>
  <c r="E325" i="5"/>
  <c r="E323" i="5"/>
  <c r="E321" i="5"/>
  <c r="E319" i="5"/>
  <c r="E317" i="5"/>
  <c r="E315" i="5"/>
  <c r="E313" i="5"/>
  <c r="E311" i="5"/>
  <c r="E309" i="5"/>
  <c r="E307" i="5"/>
  <c r="E305" i="5"/>
  <c r="E303" i="5"/>
  <c r="E301" i="5"/>
  <c r="E299" i="5"/>
  <c r="E297" i="5"/>
  <c r="E295" i="5"/>
  <c r="E293" i="5"/>
  <c r="E291" i="5"/>
  <c r="E289" i="5"/>
  <c r="E287" i="5"/>
  <c r="E285" i="5"/>
  <c r="E283" i="5"/>
  <c r="E281" i="5"/>
  <c r="E279" i="5"/>
  <c r="E277" i="5"/>
  <c r="E275" i="5"/>
  <c r="E273" i="5"/>
  <c r="E271" i="5"/>
  <c r="E269" i="5"/>
  <c r="E267" i="5"/>
  <c r="E265" i="5"/>
  <c r="E263" i="5"/>
  <c r="E261" i="5"/>
  <c r="E259" i="5"/>
  <c r="E257" i="5"/>
  <c r="E255" i="5"/>
  <c r="E253" i="5"/>
  <c r="E251" i="5"/>
  <c r="E249" i="5"/>
  <c r="E247" i="5"/>
  <c r="E245" i="5"/>
  <c r="E243" i="5"/>
  <c r="E241" i="5"/>
  <c r="E239" i="5"/>
  <c r="E237" i="5"/>
  <c r="E235" i="5"/>
  <c r="E233" i="5"/>
  <c r="E231" i="5"/>
  <c r="E229" i="5"/>
  <c r="E227" i="5"/>
  <c r="E225" i="5"/>
  <c r="E223" i="5"/>
  <c r="E221" i="5"/>
  <c r="E219" i="5"/>
  <c r="E217" i="5"/>
  <c r="E215" i="5"/>
  <c r="E213" i="5"/>
  <c r="E211" i="5"/>
  <c r="E209" i="5"/>
  <c r="E207" i="5"/>
  <c r="E205" i="5"/>
  <c r="E203" i="5"/>
  <c r="E201" i="5"/>
  <c r="E199" i="5"/>
  <c r="E197" i="5"/>
  <c r="E195" i="5"/>
  <c r="E193" i="5"/>
  <c r="E191" i="5"/>
  <c r="E189" i="5"/>
  <c r="E187" i="5"/>
  <c r="E185" i="5"/>
  <c r="E183" i="5"/>
  <c r="E181" i="5"/>
  <c r="E179" i="5"/>
  <c r="E177" i="5"/>
  <c r="E175" i="5"/>
  <c r="E173" i="5"/>
  <c r="E171" i="5"/>
  <c r="E169" i="5"/>
  <c r="E167" i="5"/>
  <c r="E165" i="5"/>
  <c r="E163" i="5"/>
  <c r="E161" i="5"/>
  <c r="E159" i="5"/>
  <c r="E157" i="5"/>
  <c r="E155" i="5"/>
  <c r="E153" i="5"/>
  <c r="E151" i="5"/>
  <c r="E149" i="5"/>
  <c r="E147" i="5"/>
  <c r="E145" i="5"/>
  <c r="E143" i="5"/>
  <c r="E141" i="5"/>
  <c r="E139" i="5"/>
  <c r="E137" i="5"/>
  <c r="E135" i="5"/>
  <c r="E133" i="5"/>
  <c r="E131" i="5"/>
  <c r="E129" i="5"/>
  <c r="E127" i="5"/>
  <c r="E125" i="5"/>
  <c r="E123" i="5"/>
  <c r="E121" i="5"/>
  <c r="E119" i="5"/>
  <c r="E117" i="5"/>
  <c r="E115" i="5"/>
  <c r="E113" i="5"/>
  <c r="E111" i="5"/>
  <c r="E109" i="5"/>
  <c r="E107" i="5"/>
  <c r="E105" i="5"/>
  <c r="E103" i="5"/>
  <c r="E101" i="5"/>
  <c r="E99" i="5"/>
  <c r="E97" i="5"/>
  <c r="E95" i="5"/>
  <c r="E93" i="5"/>
  <c r="E91" i="5"/>
  <c r="E89" i="5"/>
  <c r="E87" i="5"/>
  <c r="E85" i="5"/>
  <c r="E83" i="5"/>
  <c r="E81" i="5"/>
  <c r="E79" i="5"/>
  <c r="E77" i="5"/>
  <c r="E75" i="5"/>
  <c r="E73" i="5"/>
  <c r="E71" i="5"/>
  <c r="E69" i="5"/>
  <c r="E67" i="5"/>
  <c r="E65" i="5"/>
  <c r="E63" i="5"/>
  <c r="E61" i="5"/>
  <c r="E59" i="5"/>
  <c r="E57" i="5"/>
  <c r="E56" i="5"/>
  <c r="E54" i="5"/>
  <c r="E52" i="5"/>
  <c r="E50" i="5"/>
  <c r="E48" i="5"/>
  <c r="E46" i="5"/>
  <c r="E44" i="5"/>
  <c r="E42" i="5"/>
  <c r="E40" i="5"/>
  <c r="E38" i="5"/>
  <c r="E36" i="5"/>
  <c r="E34" i="5"/>
  <c r="E32" i="5"/>
  <c r="E30" i="5"/>
  <c r="E28" i="5"/>
  <c r="E26" i="5"/>
  <c r="E24" i="5"/>
  <c r="E22" i="5"/>
  <c r="E20" i="5"/>
  <c r="E18" i="5"/>
  <c r="E16" i="5"/>
  <c r="E13" i="5"/>
  <c r="E12" i="5"/>
  <c r="E9" i="5"/>
  <c r="E8" i="5"/>
  <c r="E377" i="5" s="1"/>
  <c r="E7" i="5"/>
  <c r="E6" i="5"/>
  <c r="E5" i="5"/>
  <c r="C55" i="4"/>
  <c r="C46" i="3"/>
  <c r="D43" i="2"/>
  <c r="U1120" i="1"/>
  <c r="U1123" i="1" s="1"/>
  <c r="U1081" i="1"/>
  <c r="U1084" i="1" s="1"/>
  <c r="U1041" i="1"/>
  <c r="U1044" i="1" s="1"/>
  <c r="U961" i="1"/>
  <c r="U964" i="1" s="1"/>
  <c r="U927" i="1"/>
  <c r="U930" i="1" s="1"/>
  <c r="U913" i="1"/>
  <c r="U916" i="1" s="1"/>
  <c r="V829" i="1"/>
  <c r="V828" i="1"/>
  <c r="U828" i="1"/>
  <c r="U831" i="1" s="1"/>
  <c r="V779" i="1"/>
  <c r="U779" i="1"/>
  <c r="U781" i="1" s="1"/>
  <c r="U728" i="1"/>
  <c r="U731" i="1" s="1"/>
  <c r="U733" i="1" s="1"/>
  <c r="U687" i="1"/>
  <c r="U690" i="1" s="1"/>
  <c r="U626" i="1"/>
  <c r="V629" i="1" s="1"/>
  <c r="U553" i="1"/>
  <c r="U555" i="1" s="1"/>
  <c r="U520" i="1"/>
  <c r="U523" i="1" s="1"/>
  <c r="U525" i="1" s="1"/>
  <c r="U506" i="1"/>
  <c r="U509" i="1" s="1"/>
  <c r="U511" i="1" s="1"/>
  <c r="U480" i="1"/>
  <c r="U483" i="1" s="1"/>
  <c r="U485" i="1" s="1"/>
  <c r="U444" i="1"/>
  <c r="U447" i="1" s="1"/>
  <c r="U449" i="1" s="1"/>
  <c r="U429" i="1"/>
  <c r="U432" i="1" s="1"/>
  <c r="U434" i="1" s="1"/>
  <c r="U401" i="1"/>
  <c r="U404" i="1" s="1"/>
  <c r="U406" i="1" s="1"/>
  <c r="V376" i="1"/>
  <c r="U376" i="1"/>
  <c r="U378" i="1" s="1"/>
  <c r="V350" i="1"/>
  <c r="U350" i="1"/>
  <c r="U352" i="1" s="1"/>
  <c r="U354" i="1" s="1"/>
  <c r="V320" i="1"/>
  <c r="U320" i="1"/>
  <c r="U323" i="1" s="1"/>
  <c r="V291" i="1"/>
  <c r="U291" i="1"/>
  <c r="U294" i="1" s="1"/>
  <c r="V263" i="1"/>
  <c r="U263" i="1"/>
  <c r="U266" i="1" s="1"/>
  <c r="U268" i="1" s="1"/>
  <c r="V242" i="1"/>
  <c r="U242" i="1"/>
  <c r="U244" i="1" s="1"/>
  <c r="U246" i="1" s="1"/>
  <c r="V202" i="1"/>
  <c r="U202" i="1"/>
  <c r="U205" i="1" s="1"/>
  <c r="V153" i="1"/>
  <c r="U153" i="1"/>
  <c r="U156" i="1" s="1"/>
  <c r="V109" i="1"/>
  <c r="V108" i="1"/>
  <c r="U108" i="1"/>
  <c r="V64" i="1"/>
  <c r="U64" i="1"/>
  <c r="U67" i="1" s="1"/>
  <c r="V30" i="1"/>
  <c r="U30" i="1"/>
  <c r="U31" i="1" s="1"/>
  <c r="B4" i="46" l="1" a="1"/>
  <c r="B4" i="46" s="1"/>
  <c r="U1005" i="1"/>
  <c r="U1008" i="1" s="1"/>
  <c r="C13" i="30"/>
  <c r="C15" i="30" s="1"/>
  <c r="L120" i="26"/>
  <c r="U265" i="1"/>
  <c r="U379" i="1"/>
  <c r="U381" i="1" s="1"/>
  <c r="U508" i="1"/>
  <c r="U293" i="1"/>
  <c r="U295" i="1" s="1"/>
  <c r="U296" i="1" s="1"/>
  <c r="U297" i="1" s="1"/>
  <c r="U730" i="1"/>
  <c r="U446" i="1"/>
  <c r="U629" i="1"/>
  <c r="U689" i="1"/>
  <c r="U830" i="1"/>
  <c r="K120" i="26"/>
  <c r="J15" i="26"/>
  <c r="K98" i="26"/>
  <c r="L98" i="26"/>
  <c r="L73" i="26"/>
  <c r="L15" i="26"/>
  <c r="J45" i="26"/>
  <c r="L81" i="26"/>
  <c r="L64" i="26"/>
  <c r="K91" i="26"/>
  <c r="J30" i="26"/>
  <c r="L91" i="26"/>
  <c r="L10" i="26"/>
  <c r="E240" i="39"/>
  <c r="F240" i="39" s="1"/>
  <c r="C276" i="39"/>
  <c r="F245" i="39" s="1"/>
  <c r="E246" i="39" s="1"/>
  <c r="E117" i="39"/>
  <c r="D276" i="39"/>
  <c r="F250" i="39" s="1"/>
  <c r="E251" i="39" s="1"/>
  <c r="E276" i="39"/>
  <c r="F254" i="39" s="1"/>
  <c r="E255" i="39" s="1"/>
  <c r="F231" i="39"/>
  <c r="E232" i="39" s="1"/>
  <c r="J43" i="11"/>
  <c r="J41" i="11"/>
  <c r="J44" i="11" s="1"/>
  <c r="T70" i="25"/>
  <c r="K35" i="13"/>
  <c r="K38" i="13" s="1"/>
  <c r="J20" i="7"/>
  <c r="J23" i="7" s="1"/>
  <c r="J25" i="7" s="1"/>
  <c r="J20" i="8"/>
  <c r="J21" i="8"/>
  <c r="J23" i="8" s="1"/>
  <c r="L45" i="26"/>
  <c r="K34" i="14"/>
  <c r="K37" i="14" s="1"/>
  <c r="U245" i="1"/>
  <c r="U247" i="1" s="1"/>
  <c r="U353" i="1"/>
  <c r="U782" i="1"/>
  <c r="U784" i="1" s="1"/>
  <c r="U915" i="1"/>
  <c r="L26" i="26"/>
  <c r="L30" i="26" s="1"/>
  <c r="U66" i="1"/>
  <c r="U68" i="1" s="1"/>
  <c r="U69" i="1" s="1"/>
  <c r="W69" i="1" s="1"/>
  <c r="U204" i="1"/>
  <c r="U206" i="1" s="1"/>
  <c r="U207" i="1" s="1"/>
  <c r="U322" i="1"/>
  <c r="U324" i="1" s="1"/>
  <c r="U325" i="1" s="1"/>
  <c r="U628" i="1"/>
  <c r="W629" i="1" s="1"/>
  <c r="V630" i="1" s="1"/>
  <c r="U155" i="1"/>
  <c r="U157" i="1" s="1"/>
  <c r="U158" i="1" s="1"/>
  <c r="U431" i="1"/>
  <c r="U482" i="1"/>
  <c r="U522" i="1"/>
  <c r="C42" i="30" l="1"/>
  <c r="E4" i="66"/>
  <c r="G4" i="66" l="1"/>
  <c r="G17" i="66" s="1"/>
  <c r="E17" i="66"/>
  <c r="J8" i="28" l="1"/>
  <c r="Q1077" i="1"/>
  <c r="L8" i="28"/>
  <c r="K8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</author>
  </authors>
  <commentList>
    <comment ref="V441" authorId="0" shapeId="0" xr:uid="{00000000-0006-0000-0000-000001000000}">
      <text>
        <r>
          <rPr>
            <sz val="9"/>
            <color indexed="81"/>
            <rFont val="宋体"/>
            <charset val="134"/>
          </rPr>
          <t xml:space="preserve">1,050,000 Agil &amp; 1,125,000 Ika
</t>
        </r>
      </text>
    </comment>
    <comment ref="F575" authorId="0" shapeId="0" xr:uid="{00000000-0006-0000-0000-000002000000}">
      <text>
        <r>
          <rPr>
            <sz val="9"/>
            <color indexed="81"/>
            <rFont val="宋体"/>
            <charset val="134"/>
          </rPr>
          <t xml:space="preserve">PMP
</t>
        </r>
      </text>
    </comment>
    <comment ref="F576" authorId="0" shapeId="0" xr:uid="{00000000-0006-0000-0000-000003000000}">
      <text>
        <r>
          <rPr>
            <sz val="9"/>
            <color indexed="81"/>
            <rFont val="宋体"/>
            <charset val="134"/>
          </rPr>
          <t>NUNG/ASM</t>
        </r>
      </text>
    </comment>
    <comment ref="F577" authorId="0" shapeId="0" xr:uid="{00000000-0006-0000-0000-000004000000}">
      <text>
        <r>
          <rPr>
            <sz val="9"/>
            <color indexed="81"/>
            <rFont val="宋体"/>
            <charset val="134"/>
          </rPr>
          <t>PMP</t>
        </r>
      </text>
    </comment>
    <comment ref="F578" authorId="0" shapeId="0" xr:uid="{00000000-0006-0000-0000-000005000000}">
      <text>
        <r>
          <rPr>
            <sz val="9"/>
            <color indexed="81"/>
            <rFont val="宋体"/>
            <charset val="134"/>
          </rPr>
          <t xml:space="preserve">NUNG/ASM
</t>
        </r>
      </text>
    </comment>
    <comment ref="F579" authorId="0" shapeId="0" xr:uid="{00000000-0006-0000-0000-000006000000}">
      <text>
        <r>
          <rPr>
            <sz val="9"/>
            <color indexed="81"/>
            <rFont val="宋体"/>
            <charset val="134"/>
          </rPr>
          <t>PMP</t>
        </r>
      </text>
    </comment>
    <comment ref="F580" authorId="0" shapeId="0" xr:uid="{00000000-0006-0000-0000-000007000000}">
      <text>
        <r>
          <rPr>
            <sz val="9"/>
            <color indexed="81"/>
            <rFont val="宋体"/>
            <charset val="134"/>
          </rPr>
          <t xml:space="preserve">PMP
</t>
        </r>
      </text>
    </comment>
    <comment ref="F581" authorId="0" shapeId="0" xr:uid="{00000000-0006-0000-0000-000008000000}">
      <text>
        <r>
          <rPr>
            <sz val="9"/>
            <color indexed="81"/>
            <rFont val="宋体"/>
            <charset val="134"/>
          </rPr>
          <t>PMP</t>
        </r>
      </text>
    </comment>
    <comment ref="F582" authorId="0" shapeId="0" xr:uid="{00000000-0006-0000-0000-000009000000}">
      <text>
        <r>
          <rPr>
            <sz val="9"/>
            <color indexed="81"/>
            <rFont val="宋体"/>
            <charset val="134"/>
          </rPr>
          <t xml:space="preserve">PMP
</t>
        </r>
      </text>
    </comment>
    <comment ref="F583" authorId="0" shapeId="0" xr:uid="{00000000-0006-0000-0000-00000A000000}">
      <text>
        <r>
          <rPr>
            <sz val="9"/>
            <color indexed="81"/>
            <rFont val="宋体"/>
            <charset val="134"/>
          </rPr>
          <t xml:space="preserve">PMP
</t>
        </r>
      </text>
    </comment>
    <comment ref="F584" authorId="0" shapeId="0" xr:uid="{00000000-0006-0000-0000-00000B000000}">
      <text>
        <r>
          <rPr>
            <sz val="9"/>
            <color indexed="81"/>
            <rFont val="宋体"/>
            <charset val="134"/>
          </rPr>
          <t xml:space="preserve">NUNG/ASM
</t>
        </r>
      </text>
    </comment>
    <comment ref="F586" authorId="0" shapeId="0" xr:uid="{00000000-0006-0000-0000-00000C000000}">
      <text>
        <r>
          <rPr>
            <sz val="9"/>
            <color indexed="81"/>
            <rFont val="宋体"/>
            <charset val="134"/>
          </rPr>
          <t xml:space="preserve">PTP
</t>
        </r>
      </text>
    </comment>
    <comment ref="F587" authorId="0" shapeId="0" xr:uid="{00000000-0006-0000-0000-00000D000000}">
      <text>
        <r>
          <rPr>
            <sz val="9"/>
            <color indexed="81"/>
            <rFont val="宋体"/>
            <charset val="134"/>
          </rPr>
          <t>PTP</t>
        </r>
      </text>
    </comment>
    <comment ref="F588" authorId="0" shapeId="0" xr:uid="{00000000-0006-0000-0000-00000E000000}">
      <text>
        <r>
          <rPr>
            <sz val="9"/>
            <color indexed="81"/>
            <rFont val="宋体"/>
            <charset val="134"/>
          </rPr>
          <t>PMP</t>
        </r>
      </text>
    </comment>
    <comment ref="C603" authorId="0" shapeId="0" xr:uid="{00000000-0006-0000-0000-00000F000000}">
      <text>
        <r>
          <rPr>
            <sz val="9"/>
            <color indexed="81"/>
            <rFont val="宋体"/>
            <charset val="134"/>
          </rPr>
          <t xml:space="preserve">Inap 1jt/kontainer 
</t>
        </r>
      </text>
    </comment>
    <comment ref="F636" authorId="0" shapeId="0" xr:uid="{00000000-0006-0000-0000-000010000000}">
      <text>
        <r>
          <rPr>
            <sz val="9"/>
            <color indexed="81"/>
            <rFont val="宋体"/>
            <charset val="134"/>
          </rPr>
          <t xml:space="preserve">1,600 pmp
</t>
        </r>
      </text>
    </comment>
    <comment ref="C644" authorId="0" shapeId="0" xr:uid="{00000000-0006-0000-0000-000011000000}">
      <text>
        <r>
          <rPr>
            <sz val="9"/>
            <color indexed="81"/>
            <rFont val="宋体"/>
            <charset val="134"/>
          </rPr>
          <t xml:space="preserve">Inap 1jt
</t>
        </r>
      </text>
    </comment>
    <comment ref="F644" authorId="0" shapeId="0" xr:uid="{00000000-0006-0000-0000-000012000000}">
      <text>
        <r>
          <rPr>
            <sz val="9"/>
            <color indexed="81"/>
            <rFont val="宋体"/>
            <charset val="134"/>
          </rPr>
          <t xml:space="preserve">1,750 hanabi
</t>
        </r>
      </text>
    </comment>
    <comment ref="F645" authorId="0" shapeId="0" xr:uid="{00000000-0006-0000-0000-000013000000}">
      <text>
        <r>
          <rPr>
            <sz val="9"/>
            <color indexed="81"/>
            <rFont val="宋体"/>
            <charset val="134"/>
          </rPr>
          <t xml:space="preserve">hanabi 1,750
</t>
        </r>
      </text>
    </comment>
    <comment ref="F738" authorId="0" shapeId="0" xr:uid="{00000000-0006-0000-0000-000014000000}">
      <text>
        <r>
          <rPr>
            <sz val="9"/>
            <color indexed="81"/>
            <rFont val="宋体"/>
            <charset val="134"/>
          </rPr>
          <t xml:space="preserve">PMP 1,450
</t>
        </r>
      </text>
    </comment>
    <comment ref="F840" authorId="0" shapeId="0" xr:uid="{00000000-0006-0000-0000-000015000000}">
      <text>
        <r>
          <rPr>
            <sz val="9"/>
            <color indexed="81"/>
            <rFont val="宋体"/>
            <charset val="134"/>
          </rPr>
          <t xml:space="preserve">PMP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</author>
  </authors>
  <commentList>
    <comment ref="E11" authorId="0" shapeId="0" xr:uid="{00000000-0006-0000-0B00-000001000000}">
      <text>
        <r>
          <rPr>
            <sz val="9"/>
            <color indexed="81"/>
            <rFont val="宋体"/>
            <charset val="134"/>
          </rPr>
          <t xml:space="preserve">Inap 1jt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ESHAKA</author>
  </authors>
  <commentList>
    <comment ref="I85" authorId="0" shapeId="0" xr:uid="{35FA9534-652B-40A4-AAE4-1E3CB3B9A7C9}">
      <text>
        <r>
          <rPr>
            <sz val="9"/>
            <color indexed="81"/>
            <rFont val="Tahoma"/>
            <family val="2"/>
          </rPr>
          <t>Petty Cash : 
9/8   Galon         21,500
10/8 Sallary       500,000
13/8 JNE            10,000
15/8 Kopi           15,000
        Air Biru         9,000
                       ====== (+)
                       555,500
Sisa Uang          144,500
16/8 Top up   1,000,000  
                     ====== (+)
Total             1,144,500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ESHAKA</author>
  </authors>
  <commentList>
    <comment ref="L8" authorId="0" shapeId="0" xr:uid="{4D63CA32-7817-4AEA-BBC0-6E67BE29FD58}">
      <text>
        <r>
          <rPr>
            <b/>
            <sz val="9"/>
            <color indexed="81"/>
            <rFont val="Tahoma"/>
            <family val="2"/>
          </rPr>
          <t>DP 2JT RINTO EML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8" authorId="0" shapeId="0" xr:uid="{45E225D2-DD15-42E8-92D3-4698C0D57B43}">
      <text>
        <r>
          <rPr>
            <b/>
            <sz val="9"/>
            <color indexed="81"/>
            <rFont val="Tahoma"/>
            <family val="2"/>
          </rPr>
          <t>DP 2JT RINTO EML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<sst xmlns="http://schemas.openxmlformats.org/spreadsheetml/2006/main" count="14458" uniqueCount="5126">
  <si>
    <t>LIST CUST NOV 2021</t>
  </si>
  <si>
    <t>No.</t>
  </si>
  <si>
    <t>Cust</t>
  </si>
  <si>
    <t>BL Number</t>
  </si>
  <si>
    <t>SHIPMENT</t>
  </si>
  <si>
    <t>PELAYARAN</t>
  </si>
  <si>
    <t>Cont/Package</t>
  </si>
  <si>
    <t>Qty</t>
  </si>
  <si>
    <t>SO No.</t>
  </si>
  <si>
    <t>No. AJU</t>
  </si>
  <si>
    <t>POL/POD</t>
  </si>
  <si>
    <t>LOKASI TIMBUN</t>
  </si>
  <si>
    <t>ETD</t>
  </si>
  <si>
    <t>ETA</t>
  </si>
  <si>
    <t>SPPB</t>
  </si>
  <si>
    <t>KIRIM CARGO</t>
  </si>
  <si>
    <t>BONGKAR</t>
  </si>
  <si>
    <t>MOBIL</t>
  </si>
  <si>
    <t>KIRIM INV</t>
  </si>
  <si>
    <t>JO NO</t>
  </si>
  <si>
    <t>PAYMENT INV</t>
  </si>
  <si>
    <t>PROFIT</t>
  </si>
  <si>
    <t>REFUND CUST</t>
  </si>
  <si>
    <t xml:space="preserve">REK </t>
  </si>
  <si>
    <t>TRANSFER DATE</t>
  </si>
  <si>
    <t>IMPORT</t>
  </si>
  <si>
    <t xml:space="preserve">PT. TOPCO TRADING INDONESIA </t>
  </si>
  <si>
    <t>YHJKT-046-016-21JP</t>
  </si>
  <si>
    <t>NTL NAIGAI / CC</t>
  </si>
  <si>
    <t>2.604CBM</t>
  </si>
  <si>
    <t>LCL</t>
  </si>
  <si>
    <t>079/QUO-MCL/11-2021</t>
  </si>
  <si>
    <t>001303</t>
  </si>
  <si>
    <t>YOKOHAMA</t>
  </si>
  <si>
    <t>AIRIN</t>
  </si>
  <si>
    <t>14/10/2021</t>
  </si>
  <si>
    <t>DMV</t>
  </si>
  <si>
    <t>29/11/2021</t>
  </si>
  <si>
    <t>24/12/2021</t>
  </si>
  <si>
    <t xml:space="preserve">BCA 0830129774 A/N FELIPE FANGIO CHUNG </t>
  </si>
  <si>
    <t>-</t>
  </si>
  <si>
    <t>YHJKT-046-003-21JP</t>
  </si>
  <si>
    <t>0.940CBM</t>
  </si>
  <si>
    <t>002/QUO-MCL/11-2021</t>
  </si>
  <si>
    <t>001302</t>
  </si>
  <si>
    <t>PT. POLYCHEMIE ASIA PACIFIC PERMAI</t>
  </si>
  <si>
    <t>SNKO010210907345</t>
  </si>
  <si>
    <t>SINOKOR / CC</t>
  </si>
  <si>
    <t>TCKU1593513, TEMU5861481 &amp; HALU2052431</t>
  </si>
  <si>
    <t>3X20GP</t>
  </si>
  <si>
    <t>012/QUO-VJL/11-2021</t>
  </si>
  <si>
    <t>000214</t>
  </si>
  <si>
    <t>BUSAN</t>
  </si>
  <si>
    <t>UTC1</t>
  </si>
  <si>
    <t>23/10/2021</t>
  </si>
  <si>
    <t>PTP</t>
  </si>
  <si>
    <t>25/11/2021</t>
  </si>
  <si>
    <t>VJL21110050
101301</t>
  </si>
  <si>
    <t>CIMB 705899545600 A/N RONALD TOBING</t>
  </si>
  <si>
    <t>BCA 5390525798 A/N ASIAH</t>
  </si>
  <si>
    <t>HASLC01211001803</t>
  </si>
  <si>
    <t>HASPUL / CC</t>
  </si>
  <si>
    <t>GLDU9759745 &amp; FCIU6060497</t>
  </si>
  <si>
    <t>2X20GP</t>
  </si>
  <si>
    <t>013/QUO-VJL/11-2021</t>
  </si>
  <si>
    <t>000222</t>
  </si>
  <si>
    <t>SHANGHAI</t>
  </si>
  <si>
    <t>VJL21110052
101496(0450/INV-VJL/12-21) - 100395</t>
  </si>
  <si>
    <t>XBJD031400</t>
  </si>
  <si>
    <t>CNC / CC</t>
  </si>
  <si>
    <t>SEGU2000919</t>
  </si>
  <si>
    <t>1X20GP</t>
  </si>
  <si>
    <t>014/QUO-VJL/11-2021</t>
  </si>
  <si>
    <t>000224</t>
  </si>
  <si>
    <t>NINGBO</t>
  </si>
  <si>
    <t>13/11/2021</t>
  </si>
  <si>
    <t>15/11/2021</t>
  </si>
  <si>
    <t>16/11/2021</t>
  </si>
  <si>
    <t>MJT</t>
  </si>
  <si>
    <t>26/11/2021</t>
  </si>
  <si>
    <t>HASLC01211100442</t>
  </si>
  <si>
    <t>BSIU3036391</t>
  </si>
  <si>
    <t>033/QUO-VJL/11-2021</t>
  </si>
  <si>
    <t>000225</t>
  </si>
  <si>
    <t>21/11/2021</t>
  </si>
  <si>
    <t>22/11/2021</t>
  </si>
  <si>
    <t>23/11/2021</t>
  </si>
  <si>
    <t>24/11/2021</t>
  </si>
  <si>
    <t>VJL21110114
101303</t>
  </si>
  <si>
    <t xml:space="preserve"> IRSINJKT2122705</t>
  </si>
  <si>
    <t>GANINDO / CC</t>
  </si>
  <si>
    <t>RFCU2021693</t>
  </si>
  <si>
    <t>051/QUO-VJL/11-2021</t>
  </si>
  <si>
    <t>000233</t>
  </si>
  <si>
    <t>SINGAPORE</t>
  </si>
  <si>
    <t>VJL21110127
101495</t>
  </si>
  <si>
    <t>HASLC01211005717</t>
  </si>
  <si>
    <t>BEAU2408236 &amp; TCKU1762357</t>
  </si>
  <si>
    <t>034/QUO-VJL/11-2021</t>
  </si>
  <si>
    <t>KOJA</t>
  </si>
  <si>
    <t>14/11/2021</t>
  </si>
  <si>
    <t>27/11/2021</t>
  </si>
  <si>
    <t>PMP</t>
  </si>
  <si>
    <t>VJL21110148
101198</t>
  </si>
  <si>
    <t>PT. POLYOSHIKA</t>
  </si>
  <si>
    <t xml:space="preserve"> COAU7234585500</t>
  </si>
  <si>
    <t>COSCO / CC</t>
  </si>
  <si>
    <t xml:space="preserve"> CSNU1576346 &amp; CSLU1126188</t>
  </si>
  <si>
    <t>052/QUO-VJL/11-2021</t>
  </si>
  <si>
    <t>000052</t>
  </si>
  <si>
    <t>PASIR GUDANG</t>
  </si>
  <si>
    <t>19/11/2021</t>
  </si>
  <si>
    <t>28/11/2021</t>
  </si>
  <si>
    <t>VJL21110149
101300</t>
  </si>
  <si>
    <t>PAID</t>
  </si>
  <si>
    <t>31/12/2021</t>
  </si>
  <si>
    <t>COAU7234686140</t>
  </si>
  <si>
    <t>BMOU2718540</t>
  </si>
  <si>
    <t>053/QUO-VJL/11-2021</t>
  </si>
  <si>
    <t>000234</t>
  </si>
  <si>
    <t>VJL21110165
101216</t>
  </si>
  <si>
    <t>SITGNBJT865988</t>
  </si>
  <si>
    <t>SITC / CC</t>
  </si>
  <si>
    <t>SEGU3465037</t>
  </si>
  <si>
    <t>059/QUO-VJL/11-2021</t>
  </si>
  <si>
    <t>000235</t>
  </si>
  <si>
    <t>20/11/2021</t>
  </si>
  <si>
    <t>30/11/2021</t>
  </si>
  <si>
    <t>EXPORT</t>
  </si>
  <si>
    <t>PT. KALOSO ARTHA INFINITY</t>
  </si>
  <si>
    <t>JKT21-00012/ANR</t>
  </si>
  <si>
    <t>SCL</t>
  </si>
  <si>
    <t>5.185 CBM</t>
  </si>
  <si>
    <t>028/QUO-VJL/11-2021</t>
  </si>
  <si>
    <t>ANTWERP</t>
  </si>
  <si>
    <t>17/11/2021</t>
  </si>
  <si>
    <t>VJL21110090
101175</t>
  </si>
  <si>
    <t>PT. TETUKO ANUGERAH NUSANTARA</t>
  </si>
  <si>
    <t>JKT21-00016/BKK</t>
  </si>
  <si>
    <t>FM GLOBAL</t>
  </si>
  <si>
    <t>12.672CBM</t>
  </si>
  <si>
    <t>017/QUO-VJL/11-2021</t>
  </si>
  <si>
    <t>BANGKOK</t>
  </si>
  <si>
    <t>APW</t>
  </si>
  <si>
    <t>TAN</t>
  </si>
  <si>
    <t>BCA 6240441533 A/N UMIYATI</t>
  </si>
  <si>
    <t>JKT21-00027/PKG</t>
  </si>
  <si>
    <t>2.470CBM</t>
  </si>
  <si>
    <t>015/QUO-VJL/11-2021</t>
  </si>
  <si>
    <t>PORTKLANG</t>
  </si>
  <si>
    <t>STUF: 25/11/2021</t>
  </si>
  <si>
    <t>GAFA</t>
  </si>
  <si>
    <t>PT. GARUDAFOOD PUTRA PUTRI JAYA TBK</t>
  </si>
  <si>
    <t>ONEYSUBB95625800</t>
  </si>
  <si>
    <t>MACOLINE SBY</t>
  </si>
  <si>
    <t>ONEU0138486 &amp; KKFU8156765</t>
  </si>
  <si>
    <t>2X40HQ</t>
  </si>
  <si>
    <t>018/QUO-VJL/11-2021</t>
  </si>
  <si>
    <t>YANGON</t>
  </si>
  <si>
    <t>SBY</t>
  </si>
  <si>
    <t>14/12/2021</t>
  </si>
  <si>
    <t>STUF: 24/11/2021</t>
  </si>
  <si>
    <t>GARUDA</t>
  </si>
  <si>
    <t>Total Profit</t>
  </si>
  <si>
    <t>ASIAH</t>
  </si>
  <si>
    <t>Komisi Ika</t>
  </si>
  <si>
    <t>LIST CUST DES 2021</t>
  </si>
  <si>
    <t>Quot No.</t>
  </si>
  <si>
    <t xml:space="preserve"> SITTADJT037174</t>
  </si>
  <si>
    <t>SITU2816120</t>
  </si>
  <si>
    <t>051/QUO-VJL/12-2021</t>
  </si>
  <si>
    <t>000252</t>
  </si>
  <si>
    <t>QINGDAO</t>
  </si>
  <si>
    <t>15/12/2021</t>
  </si>
  <si>
    <t>22/12/2021</t>
  </si>
  <si>
    <t>23/12/2021</t>
  </si>
  <si>
    <t>23/12 REPO KIRIM 26/12</t>
  </si>
  <si>
    <t>27/12/2021</t>
  </si>
  <si>
    <t>PMP / REPO</t>
  </si>
  <si>
    <t>17/12/2021</t>
  </si>
  <si>
    <t>VJL21120114
101353</t>
  </si>
  <si>
    <t>OOLU4110288780</t>
  </si>
  <si>
    <t>OOCL / CC</t>
  </si>
  <si>
    <t>OOLU0412330</t>
  </si>
  <si>
    <t>036/QUO-VJL/11-2021</t>
  </si>
  <si>
    <t>000231</t>
  </si>
  <si>
    <t>OSAKA</t>
  </si>
  <si>
    <t>29/12/2021</t>
  </si>
  <si>
    <t>VJL21110176
101217</t>
  </si>
  <si>
    <t>EGLV020100582260</t>
  </si>
  <si>
    <t>EVERGREEN / CC</t>
  </si>
  <si>
    <t>DRYU2574593</t>
  </si>
  <si>
    <t>058/QUO-VJL/11-2021</t>
  </si>
  <si>
    <t>000051</t>
  </si>
  <si>
    <t>NPCT1</t>
  </si>
  <si>
    <t>VJL21110177
101226</t>
  </si>
  <si>
    <t>CMZ0654835</t>
  </si>
  <si>
    <t>ECMU1899665</t>
  </si>
  <si>
    <t>068/QUO-VJL/11-2021</t>
  </si>
  <si>
    <t>000237</t>
  </si>
  <si>
    <t>SHEKOU</t>
  </si>
  <si>
    <t>JICT1</t>
  </si>
  <si>
    <t>VJL21120001
101237</t>
  </si>
  <si>
    <t>214634575</t>
  </si>
  <si>
    <t>SEALAND / CC</t>
  </si>
  <si>
    <t>MSKU4042020</t>
  </si>
  <si>
    <t>004/QUO-VJL/12-2021</t>
  </si>
  <si>
    <t>000239</t>
  </si>
  <si>
    <t>NANSHA</t>
  </si>
  <si>
    <t>VJL21120013
101252</t>
  </si>
  <si>
    <t>DLCA52886900B</t>
  </si>
  <si>
    <t>FLI / CC</t>
  </si>
  <si>
    <t>HMMU2096336</t>
  </si>
  <si>
    <t>006/QUO-VJL/12-2021</t>
  </si>
  <si>
    <t>000241</t>
  </si>
  <si>
    <t>DALIAN</t>
  </si>
  <si>
    <t>VJL21120014
101253</t>
  </si>
  <si>
    <t>ONEYBKKBBS839300</t>
  </si>
  <si>
    <t>ONE / CC</t>
  </si>
  <si>
    <t>NYKU9716490</t>
  </si>
  <si>
    <t>007/QUO-VJL/12-2021</t>
  </si>
  <si>
    <t>000240</t>
  </si>
  <si>
    <t>LAEM CHABANG</t>
  </si>
  <si>
    <t>TMAL</t>
  </si>
  <si>
    <t>VJL21120048
101452</t>
  </si>
  <si>
    <t>AAPW603804</t>
  </si>
  <si>
    <t>TRLU9755129</t>
  </si>
  <si>
    <t>028/QUO-VJL/12-2021</t>
  </si>
  <si>
    <t>000236</t>
  </si>
  <si>
    <t>VJL21120049
101285</t>
  </si>
  <si>
    <t>131-58412992</t>
  </si>
  <si>
    <t>JP-AIR / OF &amp; CC</t>
  </si>
  <si>
    <t>836KG</t>
  </si>
  <si>
    <t>LCL UDARA</t>
  </si>
  <si>
    <t>042/QUO-VJL/12-2021</t>
  </si>
  <si>
    <t>000054</t>
  </si>
  <si>
    <t>NARITA</t>
  </si>
  <si>
    <t>RPX</t>
  </si>
  <si>
    <t>13/12/2021</t>
  </si>
  <si>
    <t>JOHN</t>
  </si>
  <si>
    <t>13/12/2022</t>
  </si>
  <si>
    <t>VJL21120081
101314</t>
  </si>
  <si>
    <t xml:space="preserve"> SITYCJT2102603</t>
  </si>
  <si>
    <t>TRHU3140469</t>
  </si>
  <si>
    <t>009/QUO-VJL/12-2021</t>
  </si>
  <si>
    <t>000244</t>
  </si>
  <si>
    <t>YOKKAICHI</t>
  </si>
  <si>
    <t>25/12/2021</t>
  </si>
  <si>
    <t>28/12/2021</t>
  </si>
  <si>
    <t>21/01/2021</t>
  </si>
  <si>
    <t>VJL21120127
101362</t>
  </si>
  <si>
    <t xml:space="preserve"> SITTQJT2101645</t>
  </si>
  <si>
    <t>TLLU3257982</t>
  </si>
  <si>
    <t>008/QUO-VJL/12-2021</t>
  </si>
  <si>
    <t>000246</t>
  </si>
  <si>
    <t>TOKUYAMA</t>
  </si>
  <si>
    <t>VJL21120126
101361</t>
  </si>
  <si>
    <t>HW21120887N</t>
  </si>
  <si>
    <t>SCL / OF &amp; CC</t>
  </si>
  <si>
    <t>32 DRUM - 10 CBM</t>
  </si>
  <si>
    <t>059/QUO-VJL/12-2021</t>
  </si>
  <si>
    <t>000250</t>
  </si>
  <si>
    <t>APW / RAYA</t>
  </si>
  <si>
    <t>26/12/2021</t>
  </si>
  <si>
    <t>30/12/2021</t>
  </si>
  <si>
    <t>VJL21120177
101538</t>
  </si>
  <si>
    <t>PT. SATYA LIPRINDO</t>
  </si>
  <si>
    <t>JKTCB21010067</t>
  </si>
  <si>
    <t>RCL / OF</t>
  </si>
  <si>
    <t>REGU5117493</t>
  </si>
  <si>
    <t>1X40HQ</t>
  </si>
  <si>
    <t>005/QUO-VJL/12-2021</t>
  </si>
  <si>
    <t>JKT-SINGAPORE</t>
  </si>
  <si>
    <t>STUFF : 23/12/21</t>
  </si>
  <si>
    <t>SATYA</t>
  </si>
  <si>
    <t>VJL21120149
101376</t>
  </si>
  <si>
    <t>BCA 8290299439 A/N PINDI PAULINA</t>
  </si>
  <si>
    <t>Target</t>
  </si>
  <si>
    <t>(-)</t>
  </si>
  <si>
    <t>add 5%</t>
  </si>
  <si>
    <t>Komisi 10%</t>
  </si>
  <si>
    <t>Komisi 5%</t>
  </si>
  <si>
    <t>(+)</t>
  </si>
  <si>
    <t>Nov- Des</t>
  </si>
  <si>
    <t>LIST CUST JAN 2022</t>
  </si>
  <si>
    <t>EGLV020100638290</t>
  </si>
  <si>
    <t>OCGU2019199</t>
  </si>
  <si>
    <t>052/QUO-VJL/12-2021</t>
  </si>
  <si>
    <t>000053</t>
  </si>
  <si>
    <t>21/01/2022</t>
  </si>
  <si>
    <t>BCA 8421242259 A/N RONAL L TOBING</t>
  </si>
  <si>
    <t>DONE</t>
  </si>
  <si>
    <t>ONEYTYOBN3499300</t>
  </si>
  <si>
    <t>CXDU1755682</t>
  </si>
  <si>
    <t>084/QUO-VJL/12-2021</t>
  </si>
  <si>
    <t>000055</t>
  </si>
  <si>
    <t>KOBE</t>
  </si>
  <si>
    <t>26/01/2022</t>
  </si>
  <si>
    <t>YMLUI243769906</t>
  </si>
  <si>
    <t>YANGMING / CC</t>
  </si>
  <si>
    <t>CAIU6316240, SEGU2821133 &amp; SEGU2856649</t>
  </si>
  <si>
    <t>010/QUO-VJL/12-2021</t>
  </si>
  <si>
    <t>000245</t>
  </si>
  <si>
    <t>WUHAN</t>
  </si>
  <si>
    <t>TPK1</t>
  </si>
  <si>
    <t>EGLV003104672476</t>
  </si>
  <si>
    <t>MAGU2203362</t>
  </si>
  <si>
    <t>023/QUO-VJL/01/2022</t>
  </si>
  <si>
    <t>000256</t>
  </si>
  <si>
    <t>KAOHSIUNG</t>
  </si>
  <si>
    <t>13/01/2022</t>
  </si>
  <si>
    <t>19/03/2022</t>
  </si>
  <si>
    <t>KMTCXGG2071558</t>
  </si>
  <si>
    <t>KMTC / CC</t>
  </si>
  <si>
    <t>CAIU3596488</t>
  </si>
  <si>
    <t>085/QUO-VJL/12-2021</t>
  </si>
  <si>
    <t>000255</t>
  </si>
  <si>
    <t>XINGANG</t>
  </si>
  <si>
    <t>14/01/2022</t>
  </si>
  <si>
    <t>16/01/2022</t>
  </si>
  <si>
    <t>17/01/2022</t>
  </si>
  <si>
    <t>28/01/2022</t>
  </si>
  <si>
    <t>KMTCSHAI621935</t>
  </si>
  <si>
    <t>SEGU2407530 &amp; SEGU2431876</t>
  </si>
  <si>
    <t>034/QUO-VJL/01/2022</t>
  </si>
  <si>
    <t>000257</t>
  </si>
  <si>
    <t>23/01/2022</t>
  </si>
  <si>
    <t>14/03/2022</t>
  </si>
  <si>
    <t>PT. AIR SURYA RADIATOR</t>
  </si>
  <si>
    <t>DSCCJTP22010007</t>
  </si>
  <si>
    <t>BINEX / CC</t>
  </si>
  <si>
    <t>2 PKG - 104KG - 0.17 CBM</t>
  </si>
  <si>
    <t>062/QUO-VJL/01-2022</t>
  </si>
  <si>
    <t>001519</t>
  </si>
  <si>
    <t>22/01/2022</t>
  </si>
  <si>
    <t>25/01/2022</t>
  </si>
  <si>
    <t>SITGNBJT876563</t>
  </si>
  <si>
    <t>BEAU2707685 &amp; TLLU3126220</t>
  </si>
  <si>
    <t>075/QUO-VJL/01-2022</t>
  </si>
  <si>
    <t>000057</t>
  </si>
  <si>
    <t>19/01/2022</t>
  </si>
  <si>
    <t>27/01/2022</t>
  </si>
  <si>
    <t>29/01/2022 REPO - EDY</t>
  </si>
  <si>
    <t>31/01/2022</t>
  </si>
  <si>
    <t>ONEYTYOBP4090700</t>
  </si>
  <si>
    <t>UETU277354</t>
  </si>
  <si>
    <t>059/QUO-VJL/01-2022</t>
  </si>
  <si>
    <t>000056</t>
  </si>
  <si>
    <t>EGLV003104402363</t>
  </si>
  <si>
    <t>EITU3051561</t>
  </si>
  <si>
    <t>077/QUO-VJL/01-2022</t>
  </si>
  <si>
    <t>000259</t>
  </si>
  <si>
    <t>29/01/2022 REPO - PMP</t>
  </si>
  <si>
    <t>205-27024664</t>
  </si>
  <si>
    <t>NIPON / CC</t>
  </si>
  <si>
    <t>122 KGS - 1 PLT</t>
  </si>
  <si>
    <t>061/QUO-VJL/01-2022</t>
  </si>
  <si>
    <t>001508</t>
  </si>
  <si>
    <t>UNEX</t>
  </si>
  <si>
    <t>18/01/2022</t>
  </si>
  <si>
    <t>GXM22010100 / COAU7236523510</t>
  </si>
  <si>
    <t>GRAND / COSCO - CC &amp; OF</t>
  </si>
  <si>
    <t>FCIU5761110</t>
  </si>
  <si>
    <t>028/QUO-VJL/01-2022</t>
  </si>
  <si>
    <t>000264</t>
  </si>
  <si>
    <t>XIAMEN</t>
  </si>
  <si>
    <t>HASLC01211205452</t>
  </si>
  <si>
    <t>SKLU2030541 &amp; TCKU3676664</t>
  </si>
  <si>
    <t>083/QUO-VJL/01-2022</t>
  </si>
  <si>
    <t>000258</t>
  </si>
  <si>
    <t>30/01/2022</t>
  </si>
  <si>
    <t>EMJKT001B2641</t>
  </si>
  <si>
    <t>1 PLT / 2.30 CBM</t>
  </si>
  <si>
    <t>053/QUO-VJL/12-2021</t>
  </si>
  <si>
    <t>000254</t>
  </si>
  <si>
    <t>GENOVA</t>
  </si>
  <si>
    <t>PESA</t>
  </si>
  <si>
    <t>KMTCJKT3997741</t>
  </si>
  <si>
    <t>KMTC / OF &amp; CC</t>
  </si>
  <si>
    <t>KMTU7422161</t>
  </si>
  <si>
    <t>024/QUO-VJL/01-2022</t>
  </si>
  <si>
    <t>031707</t>
  </si>
  <si>
    <t>YATSUSHIRO - JAPAN</t>
  </si>
  <si>
    <t>BIMARUNA - KOJA</t>
  </si>
  <si>
    <t>29/01/2022</t>
  </si>
  <si>
    <t>NPE 14/01/2022</t>
  </si>
  <si>
    <t>STUFF : 14/01/2022</t>
  </si>
  <si>
    <t>KMTCJKT3998736</t>
  </si>
  <si>
    <t>TEMU3904753</t>
  </si>
  <si>
    <t>025/QUO-VJL/01-2022</t>
  </si>
  <si>
    <t>031706</t>
  </si>
  <si>
    <t>CAT LAI - HCM - VN</t>
  </si>
  <si>
    <t>28/01/2021</t>
  </si>
  <si>
    <t>SNKO073220100721</t>
  </si>
  <si>
    <t>TEMU0564496</t>
  </si>
  <si>
    <t>026/QUO-VJL/01/2022</t>
  </si>
  <si>
    <t>000041</t>
  </si>
  <si>
    <t>HAMADA</t>
  </si>
  <si>
    <t>STUFF : JUMAT 21/01/2022</t>
  </si>
  <si>
    <t>IN. 100580</t>
  </si>
  <si>
    <t>JKBKK0069518</t>
  </si>
  <si>
    <t>MACOLINE / OF</t>
  </si>
  <si>
    <t>DFSU2060189</t>
  </si>
  <si>
    <t>027/QUO-VJL/01-2022</t>
  </si>
  <si>
    <t>041759</t>
  </si>
  <si>
    <t>BANGKOK - THAILAND</t>
  </si>
  <si>
    <t>STUFF : 18/01/2022</t>
  </si>
  <si>
    <t>VJL22010176</t>
  </si>
  <si>
    <t>Profit Office</t>
  </si>
  <si>
    <t>LIST CUST FEB 2022</t>
  </si>
  <si>
    <t>HASLC01211205453</t>
  </si>
  <si>
    <t>SEGU1731288 &amp; TEMU0098084</t>
  </si>
  <si>
    <t>105/QUO-VJL/01-2022</t>
  </si>
  <si>
    <t>000262</t>
  </si>
  <si>
    <t>BEJK4207</t>
  </si>
  <si>
    <t>MEGA TOTAL / CC</t>
  </si>
  <si>
    <t>1 CASE / 620KGS / 0.790 CBM</t>
  </si>
  <si>
    <t>005/QUO-VJL/02-2022</t>
  </si>
  <si>
    <t>001556</t>
  </si>
  <si>
    <t>WIRA</t>
  </si>
  <si>
    <t>23/02/2022</t>
  </si>
  <si>
    <t>CMZ0736989</t>
  </si>
  <si>
    <t>ECMU1724707</t>
  </si>
  <si>
    <t>017/QUO-VJL/02-2022</t>
  </si>
  <si>
    <t>000263</t>
  </si>
  <si>
    <t>KMTCINC3700957</t>
  </si>
  <si>
    <t>SEGU2517060</t>
  </si>
  <si>
    <t>024/QUO-VJL/02-2022</t>
  </si>
  <si>
    <t>000261</t>
  </si>
  <si>
    <t>INCHEON</t>
  </si>
  <si>
    <t>SPJM 08/02/22 - 13/02/2022</t>
  </si>
  <si>
    <t>13/02/2022</t>
  </si>
  <si>
    <t>14/02/2022</t>
  </si>
  <si>
    <t>008CX00519</t>
  </si>
  <si>
    <t>WAN HAI / CC</t>
  </si>
  <si>
    <t>WHSU2497490</t>
  </si>
  <si>
    <t>026/QUO-VJL/02-2022</t>
  </si>
  <si>
    <t>000260</t>
  </si>
  <si>
    <t>BEJK4234</t>
  </si>
  <si>
    <t>MCL / CC</t>
  </si>
  <si>
    <t>1 CASE / 2.000KG / 3.480CBM</t>
  </si>
  <si>
    <t>029/QUO-VJL/02-2022</t>
  </si>
  <si>
    <t>001576</t>
  </si>
  <si>
    <t>24/01/2022</t>
  </si>
  <si>
    <t>10/02/2022 Segel BC 11/02/2022</t>
  </si>
  <si>
    <t>BEJK4214</t>
  </si>
  <si>
    <t>2 CASE / 1.376KG / 3.720CBM</t>
  </si>
  <si>
    <t>030/QUO-VJL/02-2022</t>
  </si>
  <si>
    <t>001575</t>
  </si>
  <si>
    <t>GQD22010099 / OOLU2690570790</t>
  </si>
  <si>
    <t>OOCL / CC &amp; OF</t>
  </si>
  <si>
    <t>OOLU1376406</t>
  </si>
  <si>
    <t>029/QUO-VJL/01-2022</t>
  </si>
  <si>
    <t>000265</t>
  </si>
  <si>
    <t>15/02/2022</t>
  </si>
  <si>
    <t>EGLV020200002402</t>
  </si>
  <si>
    <t>MAGU2167440</t>
  </si>
  <si>
    <t>037/QUO-VJL/02-2022</t>
  </si>
  <si>
    <t>000060</t>
  </si>
  <si>
    <t>EGLV020200014222</t>
  </si>
  <si>
    <t>TEMU0660843</t>
  </si>
  <si>
    <t>038/QUO-VJL/02-2022</t>
  </si>
  <si>
    <t>000059</t>
  </si>
  <si>
    <t>100805 / VJL22020064</t>
  </si>
  <si>
    <t>23/05/2022</t>
  </si>
  <si>
    <t>27/05/2022</t>
  </si>
  <si>
    <t>EGLV020100714361</t>
  </si>
  <si>
    <t>EGHU3232810</t>
  </si>
  <si>
    <t>036/QUO-VJL/02-2022</t>
  </si>
  <si>
    <t>000061</t>
  </si>
  <si>
    <t>OOLU4110330110</t>
  </si>
  <si>
    <t>OOLU0223531</t>
  </si>
  <si>
    <t>04/QUO-VJL/02-2022</t>
  </si>
  <si>
    <t>16/02/2022</t>
  </si>
  <si>
    <t>17/02/2022</t>
  </si>
  <si>
    <t>EGLV020200006882</t>
  </si>
  <si>
    <t>DRYU2758060</t>
  </si>
  <si>
    <t>031/QUO-VJL/02-2022</t>
  </si>
  <si>
    <t>000058</t>
  </si>
  <si>
    <t>18/02/2022</t>
  </si>
  <si>
    <t>20/02/2022</t>
  </si>
  <si>
    <t>21/02/2022</t>
  </si>
  <si>
    <t>GTD0662017</t>
  </si>
  <si>
    <t>TEMU2895045</t>
  </si>
  <si>
    <t>059/QUO-VJL/02-2022</t>
  </si>
  <si>
    <t>000267</t>
  </si>
  <si>
    <t>25/02/2022</t>
  </si>
  <si>
    <t>22/02/2022</t>
  </si>
  <si>
    <t>VJL22020097
101898</t>
  </si>
  <si>
    <t>COAU7236671730</t>
  </si>
  <si>
    <t>FCIU5218931 &amp; CBHU4168376</t>
  </si>
  <si>
    <t>058/QUO-VJL/02-2022</t>
  </si>
  <si>
    <t>000065</t>
  </si>
  <si>
    <t>24/02/20222</t>
  </si>
  <si>
    <t>101819 / VJL22020099</t>
  </si>
  <si>
    <t>31/03/2022</t>
  </si>
  <si>
    <t>RELPGUJKT22020016</t>
  </si>
  <si>
    <t>COLLYER / CC</t>
  </si>
  <si>
    <t>HNSU2031175, HNSU2081957 &amp; TRHU2021249</t>
  </si>
  <si>
    <t>064/QUO-VJL/02-2022</t>
  </si>
  <si>
    <t>000270</t>
  </si>
  <si>
    <t>TER3</t>
  </si>
  <si>
    <t>23/03/2022</t>
  </si>
  <si>
    <t>24/02/2022</t>
  </si>
  <si>
    <t>MJT / JAMAL /  ROY</t>
  </si>
  <si>
    <t>126-99976133</t>
  </si>
  <si>
    <t>GA - OF / CC</t>
  </si>
  <si>
    <t>1040KGS</t>
  </si>
  <si>
    <t>035/QUO-VJL/02-2022</t>
  </si>
  <si>
    <t>000063</t>
  </si>
  <si>
    <t>GIMP</t>
  </si>
  <si>
    <t>FBJKT2201315</t>
  </si>
  <si>
    <t>FREIGHT CARGO LOGISTIK / CC</t>
  </si>
  <si>
    <t>4 CARTONS / 79KG - 0.33 CBM</t>
  </si>
  <si>
    <t xml:space="preserve">	069/QUO-VJL/02-2022</t>
  </si>
  <si>
    <t>001610</t>
  </si>
  <si>
    <t>TRMA</t>
  </si>
  <si>
    <t>24/03/2022</t>
  </si>
  <si>
    <t>101848 / VJL22020139</t>
  </si>
  <si>
    <t>20/05/2022</t>
  </si>
  <si>
    <t>27/05/22</t>
  </si>
  <si>
    <t>KMTCJKT4019646</t>
  </si>
  <si>
    <t>KMTC / CC &amp; OF</t>
  </si>
  <si>
    <t>DFSU1886920</t>
  </si>
  <si>
    <t>015/QUO-VJL/02-2022</t>
  </si>
  <si>
    <t>000042</t>
  </si>
  <si>
    <t>TOMAKOMAI</t>
  </si>
  <si>
    <t>STUFF : JUMAT 31/01/2022</t>
  </si>
  <si>
    <t>VJL22020022</t>
  </si>
  <si>
    <t>KMTCJKT4018954</t>
  </si>
  <si>
    <t>BEAU2858059 &amp; DFSU1886860</t>
  </si>
  <si>
    <t>014/QUO-VJL/02-2022</t>
  </si>
  <si>
    <t>000043</t>
  </si>
  <si>
    <t>CATLAI</t>
  </si>
  <si>
    <t>STUFF : RABU, 02/02/2022</t>
  </si>
  <si>
    <t>VJL22020023</t>
  </si>
  <si>
    <t>KMTCJKT4020076</t>
  </si>
  <si>
    <t>SEGU2444024</t>
  </si>
  <si>
    <t>016/QUO-VJL/02-2022</t>
  </si>
  <si>
    <t>000044</t>
  </si>
  <si>
    <t>AKITA</t>
  </si>
  <si>
    <t>STUFF : KAMIS, 03/02/2022</t>
  </si>
  <si>
    <t>VJL22020026</t>
  </si>
  <si>
    <t xml:space="preserve"> </t>
  </si>
  <si>
    <t>Target Ika</t>
  </si>
  <si>
    <t>LIST CUST MAR 2022</t>
  </si>
  <si>
    <t>HOUJAK2206001</t>
  </si>
  <si>
    <t>BENISON / CC</t>
  </si>
  <si>
    <t>3 PLT / 3162KG / 7.358 CBM</t>
  </si>
  <si>
    <t>005/QUO-VJL/03-2022</t>
  </si>
  <si>
    <t>000268</t>
  </si>
  <si>
    <t>HOUSTON - LA</t>
  </si>
  <si>
    <t>BAND / CDC</t>
  </si>
  <si>
    <t>17/03/2022</t>
  </si>
  <si>
    <t>21/03/2022</t>
  </si>
  <si>
    <t>18/05/22</t>
  </si>
  <si>
    <t>VJL22030119 / 101058</t>
  </si>
  <si>
    <t>YHJKT-410-002-22JP / OOLU4113747190</t>
  </si>
  <si>
    <t>NTL - OOC / CC &amp; OF</t>
  </si>
  <si>
    <t>CSLU1847100, TEMU2986551, CBHU5929438 &amp; OOLU2945596</t>
  </si>
  <si>
    <t>4X20GP</t>
  </si>
  <si>
    <t>038/QUO-VJL/01-2022</t>
  </si>
  <si>
    <t>000062</t>
  </si>
  <si>
    <t>07/3/2022 2x20 &amp; 08/03/2022 2x20</t>
  </si>
  <si>
    <t>08/03/2022 2X20 &amp; 09/03/2022</t>
  </si>
  <si>
    <t>MJT &amp; PTP</t>
  </si>
  <si>
    <t>13/05/2022</t>
  </si>
  <si>
    <t>HASLC01220107611</t>
  </si>
  <si>
    <t>SKLU1120527 &amp; SKLU0753562</t>
  </si>
  <si>
    <t>2X20</t>
  </si>
  <si>
    <t>003/QUO-VJL/03-2022</t>
  </si>
  <si>
    <t>000272</t>
  </si>
  <si>
    <t>MJT &amp; PMP</t>
  </si>
  <si>
    <t>EGLV020200051632</t>
  </si>
  <si>
    <t>EGHU3333435</t>
  </si>
  <si>
    <t>004/QUO-VJL/03-2022</t>
  </si>
  <si>
    <t>000064</t>
  </si>
  <si>
    <t>COAU7236932350</t>
  </si>
  <si>
    <t>TRHU3166587 &amp; CBHU4395003</t>
  </si>
  <si>
    <t>019/QUO-VJL/03-2022</t>
  </si>
  <si>
    <t>000068</t>
  </si>
  <si>
    <t>27/02/2022</t>
  </si>
  <si>
    <t>VJL22030010
100051</t>
  </si>
  <si>
    <t>CMZ0760358</t>
  </si>
  <si>
    <t>TCLU7649664</t>
  </si>
  <si>
    <t>049/QUO-VJL/03-2022</t>
  </si>
  <si>
    <t>000279</t>
  </si>
  <si>
    <t>15/03/2022</t>
  </si>
  <si>
    <t>16/03/2022</t>
  </si>
  <si>
    <t>VJL22030069
100067</t>
  </si>
  <si>
    <t>OOLU4110345590</t>
  </si>
  <si>
    <t>CSNU1736450 &amp; IGBU3119621</t>
  </si>
  <si>
    <t>006/QUO-VJL/03-2022</t>
  </si>
  <si>
    <t>000273</t>
  </si>
  <si>
    <t>26/02/2022</t>
  </si>
  <si>
    <t>13/03/2022</t>
  </si>
  <si>
    <t>CMZ0755429</t>
  </si>
  <si>
    <t>ECMU2056156</t>
  </si>
  <si>
    <t>050/QUO-VJL/03-2022</t>
  </si>
  <si>
    <t>000280</t>
  </si>
  <si>
    <t>VJL22030071
100074</t>
  </si>
  <si>
    <t>COAU7237169890</t>
  </si>
  <si>
    <t>SEGU3729757</t>
  </si>
  <si>
    <t>051/QUO-VJL/03-2022</t>
  </si>
  <si>
    <t>000281</t>
  </si>
  <si>
    <t>EGLV0141200075513</t>
  </si>
  <si>
    <t>HMCU3082954</t>
  </si>
  <si>
    <t>008/QUO-VJL/03-2022</t>
  </si>
  <si>
    <t>000067</t>
  </si>
  <si>
    <t>28/02/2022</t>
  </si>
  <si>
    <t>18/03/2022</t>
  </si>
  <si>
    <t>HW22020832N</t>
  </si>
  <si>
    <t>SCL / CC &amp; OF</t>
  </si>
  <si>
    <t>5 PLT / 3.820KG / 6.5 CBM</t>
  </si>
  <si>
    <t>034/QUO-VJL/02-2022</t>
  </si>
  <si>
    <t>000269</t>
  </si>
  <si>
    <t>19/02/2022</t>
  </si>
  <si>
    <t xml:space="preserve"> 30-03-22</t>
  </si>
  <si>
    <t>ONEYBKKC85961800</t>
  </si>
  <si>
    <t>MOAU6726051</t>
  </si>
  <si>
    <t>083/QUO-VJL/03-2022</t>
  </si>
  <si>
    <t>000278</t>
  </si>
  <si>
    <t>22/03/2022</t>
  </si>
  <si>
    <t>HASLC01220205555</t>
  </si>
  <si>
    <t>BEAU2862212 &amp; SKLU1329522</t>
  </si>
  <si>
    <t>084/QUO-VJL/03-2022</t>
  </si>
  <si>
    <t>000282</t>
  </si>
  <si>
    <t>SNKO010220201997</t>
  </si>
  <si>
    <t>SKLU1946036</t>
  </si>
  <si>
    <t>054/QUO-VJL/03-2022</t>
  </si>
  <si>
    <t>000275</t>
  </si>
  <si>
    <t>SHJKT22245836</t>
  </si>
  <si>
    <t>IMPORT/UNDERTABLE</t>
  </si>
  <si>
    <t>GATEWAY</t>
  </si>
  <si>
    <t>1.7TON / 5CBM</t>
  </si>
  <si>
    <t xml:space="preserve">	'080/QUO-VJL/03-2022</t>
  </si>
  <si>
    <t>001666</t>
  </si>
  <si>
    <t>PRJP</t>
  </si>
  <si>
    <t>20/05/22</t>
  </si>
  <si>
    <t>COAU7237040840</t>
  </si>
  <si>
    <t>CCLU3687058</t>
  </si>
  <si>
    <t>053/QUO-VJL/03-2022</t>
  </si>
  <si>
    <t>000069</t>
  </si>
  <si>
    <t>TIANJIN - CHINA</t>
  </si>
  <si>
    <t>25/03/2022</t>
  </si>
  <si>
    <t>HASLC01220303429</t>
  </si>
  <si>
    <t>TEMU5864963</t>
  </si>
  <si>
    <t>108/QUO-VJL/03-2022</t>
  </si>
  <si>
    <t>000286</t>
  </si>
  <si>
    <t>101008 / 22030251</t>
  </si>
  <si>
    <t>21/06/2022</t>
  </si>
  <si>
    <t>GE020S/001-JKT</t>
  </si>
  <si>
    <t>FM GLOBAL LOGISTICS</t>
  </si>
  <si>
    <t>OKCU2002642</t>
  </si>
  <si>
    <t>109/QUO-VJL/03-2022</t>
  </si>
  <si>
    <t>000287</t>
  </si>
  <si>
    <t>100941 / 22030253</t>
  </si>
  <si>
    <t>KMTCJKT4055784</t>
  </si>
  <si>
    <t>KMTC / OF / CC</t>
  </si>
  <si>
    <t>CAIU6922470</t>
  </si>
  <si>
    <t>007/QUO-VJL/03-2022</t>
  </si>
  <si>
    <t>KOJA / HJS DEPOT</t>
  </si>
  <si>
    <t>STUFF : JUMAT 04/03/2022</t>
  </si>
  <si>
    <t>JKT22-00115/PKG</t>
  </si>
  <si>
    <t>SCL / COLOAD</t>
  </si>
  <si>
    <t>MIN 2</t>
  </si>
  <si>
    <t>106/QUO-VJL/03-2022</t>
  </si>
  <si>
    <t>001060</t>
  </si>
  <si>
    <t>PORT KELANG</t>
  </si>
  <si>
    <t>STUFF : SELASA,22/03/2022</t>
  </si>
  <si>
    <t xml:space="preserve">                          </t>
  </si>
  <si>
    <t>LIST CUST APRIL 2022</t>
  </si>
  <si>
    <t>INV. YTJ-20220117-03</t>
  </si>
  <si>
    <t>IMPORT UNDERNAME ALL IN</t>
  </si>
  <si>
    <t xml:space="preserve">UNDERNAME BC </t>
  </si>
  <si>
    <t>4TON / 5CBM</t>
  </si>
  <si>
    <t>020/QUO-VJL/03-2022</t>
  </si>
  <si>
    <t>BC</t>
  </si>
  <si>
    <t>24/05/2022</t>
  </si>
  <si>
    <t>CMZ0772001</t>
  </si>
  <si>
    <t>APZU3649097 &amp; APZU3525481</t>
  </si>
  <si>
    <t>002/QUO-VJL/04-2022</t>
  </si>
  <si>
    <t>000283</t>
  </si>
  <si>
    <t>101024 / VJL22030358</t>
  </si>
  <si>
    <t>EGLV020200047863</t>
  </si>
  <si>
    <t>TEMU3559467</t>
  </si>
  <si>
    <t>008/QUO-VJL/04-2022</t>
  </si>
  <si>
    <t>000071</t>
  </si>
  <si>
    <t xml:space="preserve">OSAKA </t>
  </si>
  <si>
    <t>RIZA</t>
  </si>
  <si>
    <t>KBJKT-011-004-22JP</t>
  </si>
  <si>
    <t>NTL / CC</t>
  </si>
  <si>
    <t>4 PLT / 4TON - 9.5CBM</t>
  </si>
  <si>
    <t>014/QUO-VJL/04-2022</t>
  </si>
  <si>
    <t>000289</t>
  </si>
  <si>
    <t>ARN1</t>
  </si>
  <si>
    <t>25/05/2022</t>
  </si>
  <si>
    <t>101098 / VJL22040024</t>
  </si>
  <si>
    <t>PT. BUKIT PERAK</t>
  </si>
  <si>
    <t>SWSRG2265166</t>
  </si>
  <si>
    <t>IMPORT SEMARANG</t>
  </si>
  <si>
    <t>MCL / OF COLOAD</t>
  </si>
  <si>
    <t>3TON/6CBM</t>
  </si>
  <si>
    <t>009/QUO-VJL/04-2022</t>
  </si>
  <si>
    <t>SINGAPORE TO SEMARANG</t>
  </si>
  <si>
    <t>BUKIT PERAK</t>
  </si>
  <si>
    <t>GSH22030118 / GOSUSNH1602046</t>
  </si>
  <si>
    <t>GRAND - ZIM LINE / CC &amp; OF</t>
  </si>
  <si>
    <t>ZIMU3032079</t>
  </si>
  <si>
    <t>010/QUO-VJL/04-2022</t>
  </si>
  <si>
    <t>000290</t>
  </si>
  <si>
    <t>BUDI</t>
  </si>
  <si>
    <t>18/05/2022</t>
  </si>
  <si>
    <t>101037 / VJL22040098</t>
  </si>
  <si>
    <t>GFS22030117 / COAU7237584960</t>
  </si>
  <si>
    <t>GRAND - COSCO / CC &amp; OF</t>
  </si>
  <si>
    <t>CANU1561881</t>
  </si>
  <si>
    <t>011/QUO-VJL/04-2022</t>
  </si>
  <si>
    <t>000288</t>
  </si>
  <si>
    <t>SANSHUI</t>
  </si>
  <si>
    <t>DAVID</t>
  </si>
  <si>
    <t>101086 / VJL22040104</t>
  </si>
  <si>
    <t>17/06/2022</t>
  </si>
  <si>
    <t>SNKO010220310114</t>
  </si>
  <si>
    <t>HALU2109347, SKLU1537444, SKLU1449220 &amp; SKLU1401381</t>
  </si>
  <si>
    <t>036/QUO-VJL/04-2022</t>
  </si>
  <si>
    <t>000292</t>
  </si>
  <si>
    <t>101038 / 22040110</t>
  </si>
  <si>
    <t>GOSUWUH9805545</t>
  </si>
  <si>
    <t>LARSEN</t>
  </si>
  <si>
    <t>ZIMU3153445 CAIU3506714 &amp; ZIMU3053620</t>
  </si>
  <si>
    <t>064/QUO-VJL/04-2022</t>
  </si>
  <si>
    <t>000284</t>
  </si>
  <si>
    <t>101071 / 22040156</t>
  </si>
  <si>
    <t>EGLV020200128146</t>
  </si>
  <si>
    <t>EGHU3549996</t>
  </si>
  <si>
    <t>012/QUO-VJL/04-2022</t>
  </si>
  <si>
    <t>000072</t>
  </si>
  <si>
    <t>101078 / VJL22040171</t>
  </si>
  <si>
    <t>WJCJAK220400014</t>
  </si>
  <si>
    <t>INTERLINK / CC</t>
  </si>
  <si>
    <t>1556 KG / 0.500CBM</t>
  </si>
  <si>
    <t>078/QUO-VJL/04-2022</t>
  </si>
  <si>
    <t>001758</t>
  </si>
  <si>
    <t>25/04/2022</t>
  </si>
  <si>
    <t>26/04/2022</t>
  </si>
  <si>
    <t>19/05/2022</t>
  </si>
  <si>
    <t>100990 / VJL22040176</t>
  </si>
  <si>
    <t>24/06/2022</t>
  </si>
  <si>
    <t>PT. DELISARI NUSANTARA</t>
  </si>
  <si>
    <t>OOLU2131099480</t>
  </si>
  <si>
    <t>OOLU8853305</t>
  </si>
  <si>
    <t>013/QUO-VJL/04-2022</t>
  </si>
  <si>
    <t>000007</t>
  </si>
  <si>
    <t>ANTWERPEN</t>
  </si>
  <si>
    <t>30/04/2022</t>
  </si>
  <si>
    <t>S&amp;C DSN</t>
  </si>
  <si>
    <t>17/05/2022</t>
  </si>
  <si>
    <t>100250 / VJL22040189</t>
  </si>
  <si>
    <t>30/06/2022</t>
  </si>
  <si>
    <t>BRI 116601008365538 A/N ABDUL WAHAB</t>
  </si>
  <si>
    <t>SWSRG2265409</t>
  </si>
  <si>
    <t>MIN 2 / 835KG</t>
  </si>
  <si>
    <t>075/QUO-VJL/04-2022</t>
  </si>
  <si>
    <t>VJL22040195</t>
  </si>
  <si>
    <t>KMTCJKT4085509</t>
  </si>
  <si>
    <t>SEGU3287716</t>
  </si>
  <si>
    <t xml:space="preserve">003/QUO-VJL/04-2022 </t>
  </si>
  <si>
    <t>000048</t>
  </si>
  <si>
    <t>DEPO SPM</t>
  </si>
  <si>
    <t>STUFF : KAMIS 31/03/2022</t>
  </si>
  <si>
    <t>KMTCJKT4097369</t>
  </si>
  <si>
    <t>BSIU2969880/IB270063</t>
  </si>
  <si>
    <t>031/QUO-VJL/04-2022</t>
  </si>
  <si>
    <t>000049</t>
  </si>
  <si>
    <t>STUFF : JUMAT, 08/04/2022</t>
  </si>
  <si>
    <t>101046 / 22040085</t>
  </si>
  <si>
    <t>JKT22-00153/PKG</t>
  </si>
  <si>
    <t>11.031 CBM</t>
  </si>
  <si>
    <t>046/QUO-VJL/04-2022</t>
  </si>
  <si>
    <t>STUFF : RABU, 13/04/2022</t>
  </si>
  <si>
    <t>VJL22040136</t>
  </si>
  <si>
    <t>KMTCJKT4090839</t>
  </si>
  <si>
    <t>SEGU2397998</t>
  </si>
  <si>
    <t>037/QUO-VJL/04-2022</t>
  </si>
  <si>
    <t>000050</t>
  </si>
  <si>
    <t>HJS DEPOT</t>
  </si>
  <si>
    <t>STUFF : SELASA, 12 APRIL 2022</t>
  </si>
  <si>
    <t>101045 / 22040140</t>
  </si>
  <si>
    <t>KMTCJKT4104348</t>
  </si>
  <si>
    <t>TCLU3529439 / IB316028</t>
  </si>
  <si>
    <t>038/QUO-VJL/04-2022</t>
  </si>
  <si>
    <t>SAKAIMINATO</t>
  </si>
  <si>
    <t>SPM DEPO</t>
  </si>
  <si>
    <t>STUFF : KAMIS, 14 APRIL 2022</t>
  </si>
  <si>
    <t>101044 / 22040144</t>
  </si>
  <si>
    <t>LIST CUST MEI 2022</t>
  </si>
  <si>
    <t>EGLV020200140618</t>
  </si>
  <si>
    <t>SCL-EVERGREEN/ CC &amp; OF</t>
  </si>
  <si>
    <t>EGHU3533114, FCIU4221817, EGHU3811350, EGHU3872611 &amp; EISU2156610</t>
  </si>
  <si>
    <t>5X20GP</t>
  </si>
  <si>
    <t>001/QUO-VJL/04-2022</t>
  </si>
  <si>
    <t>000074</t>
  </si>
  <si>
    <t>11/5/2022 2X20 &amp; 12/05/2022 3X20</t>
  </si>
  <si>
    <t>12/5/2022 2X20 &amp; 13/05/2022 3X20</t>
  </si>
  <si>
    <t>MJT 2 &amp; PTP 3</t>
  </si>
  <si>
    <t>100991 / VJL22040228</t>
  </si>
  <si>
    <t>29/05/2022</t>
  </si>
  <si>
    <t>MAREJKT22040031</t>
  </si>
  <si>
    <t>MTT / CC</t>
  </si>
  <si>
    <t>1197 KG / 1.010 CBM</t>
  </si>
  <si>
    <t>006/QUO-VJL/05-2022</t>
  </si>
  <si>
    <t>001795</t>
  </si>
  <si>
    <t>VJL22050014
100129</t>
  </si>
  <si>
    <t>15/07/2022</t>
  </si>
  <si>
    <t>MAEU608883687</t>
  </si>
  <si>
    <t>MAERSK / CC</t>
  </si>
  <si>
    <t>MSKU5643200</t>
  </si>
  <si>
    <t>1X20</t>
  </si>
  <si>
    <t>002/QUO-VJL/05-2022</t>
  </si>
  <si>
    <t>000277</t>
  </si>
  <si>
    <t>HOUSTON</t>
  </si>
  <si>
    <t>101089 / VJL22050015</t>
  </si>
  <si>
    <t>CTLQD22043871</t>
  </si>
  <si>
    <t>GATEWAY / CC</t>
  </si>
  <si>
    <t>1 BOX / 77KG / 1CBM</t>
  </si>
  <si>
    <t>023/QUO-VJL/05-2022</t>
  </si>
  <si>
    <t>001819</t>
  </si>
  <si>
    <t>30/05/2022</t>
  </si>
  <si>
    <t>101117 / VJL22050090</t>
  </si>
  <si>
    <t>12689091332 / PHIL22052101</t>
  </si>
  <si>
    <t>GARUDA / CC BY AIR</t>
  </si>
  <si>
    <t>1 PCS / 354 KG</t>
  </si>
  <si>
    <t>LCL BY AIR</t>
  </si>
  <si>
    <t>028/QUO-VJL/05-2022</t>
  </si>
  <si>
    <t>001818</t>
  </si>
  <si>
    <t>ICHEON</t>
  </si>
  <si>
    <t>GIMP / GARUDA</t>
  </si>
  <si>
    <t>21/05/2022</t>
  </si>
  <si>
    <t>24/08/2022</t>
  </si>
  <si>
    <t>100992 / VJL22050106</t>
  </si>
  <si>
    <t>MAREJKT22050021</t>
  </si>
  <si>
    <t>3 CASES / 4.5 CBM</t>
  </si>
  <si>
    <t>029/QUO-VJL/05-2022</t>
  </si>
  <si>
    <t>001826</t>
  </si>
  <si>
    <t>15/05/2022</t>
  </si>
  <si>
    <t>31/05/2022</t>
  </si>
  <si>
    <t>100993 / VJL220500106</t>
  </si>
  <si>
    <t>HASLS11220500336</t>
  </si>
  <si>
    <t>HASPUL / CC &amp; OF</t>
  </si>
  <si>
    <t>DRYU2602191</t>
  </si>
  <si>
    <t>020/QUO-VJL/05-2022</t>
  </si>
  <si>
    <t>DKD</t>
  </si>
  <si>
    <t>STUFF : JUMAT, 20 MAY 2022</t>
  </si>
  <si>
    <t>101104 / VJL22050110</t>
  </si>
  <si>
    <t>15/06/2022</t>
  </si>
  <si>
    <t>LIST CUST JUNI 2022</t>
  </si>
  <si>
    <t>JJKT2205006</t>
  </si>
  <si>
    <t>1 CASE / 799KG / 1.640CBM</t>
  </si>
  <si>
    <t>004/QUO-VJL/06-2022</t>
  </si>
  <si>
    <t>001842</t>
  </si>
  <si>
    <t>VJL22060016
100383</t>
  </si>
  <si>
    <t>22/07/2022</t>
  </si>
  <si>
    <t>29/07/2022</t>
  </si>
  <si>
    <t>MAREJKT22050044</t>
  </si>
  <si>
    <t>HMS / CC</t>
  </si>
  <si>
    <t>678 KG / 0.740 CBM</t>
  </si>
  <si>
    <t>003/QUO-VJL/06-2022</t>
  </si>
  <si>
    <t>001841</t>
  </si>
  <si>
    <t>VJL22060028
100396</t>
  </si>
  <si>
    <t>NJKT2205042802</t>
  </si>
  <si>
    <t>1 BOX / 660 KGS / 1 CBM</t>
  </si>
  <si>
    <t>006/QUO-VJL/06-2022</t>
  </si>
  <si>
    <t>01853</t>
  </si>
  <si>
    <t xml:space="preserve"> VJL22060032
100409</t>
  </si>
  <si>
    <t>G-NSA-SMR-22-23-036</t>
  </si>
  <si>
    <t>MIN 2 / 1.448 CBM / 808KG</t>
  </si>
  <si>
    <t>007/QUO-VJL/06-2022</t>
  </si>
  <si>
    <t>VJL22060033
100137</t>
  </si>
  <si>
    <t>13/06/2022</t>
  </si>
  <si>
    <t>COSU6330330260</t>
  </si>
  <si>
    <t>SZLU9381301</t>
  </si>
  <si>
    <t>1X40RQ</t>
  </si>
  <si>
    <t>001/QUO-VJL/06-2022</t>
  </si>
  <si>
    <t>001808</t>
  </si>
  <si>
    <t>VANCOUVER</t>
  </si>
  <si>
    <t>PMP - MUARA</t>
  </si>
  <si>
    <t>VJL22060058
100408</t>
  </si>
  <si>
    <t>HASLC01220503278</t>
  </si>
  <si>
    <t xml:space="preserve">HASPUL / CC </t>
  </si>
  <si>
    <t>GESU1253163 &amp; SKLU1926045</t>
  </si>
  <si>
    <t>016/QUO-VJL/06-2022</t>
  </si>
  <si>
    <t>000305</t>
  </si>
  <si>
    <t>SONO &amp; PMP</t>
  </si>
  <si>
    <t>VJL22060069
100395</t>
  </si>
  <si>
    <t>990-26917682 / CAN26917682</t>
  </si>
  <si>
    <t>1 PKG / 105KG</t>
  </si>
  <si>
    <t>022/QUO-VJL/06-2022</t>
  </si>
  <si>
    <t>001868</t>
  </si>
  <si>
    <t>GHUANGZHOU</t>
  </si>
  <si>
    <t>GBDL (BANGUN DESA LOG)</t>
  </si>
  <si>
    <t>14/06/2022</t>
  </si>
  <si>
    <t>VJL22060094
100410</t>
  </si>
  <si>
    <t>COAU7238574770</t>
  </si>
  <si>
    <t>SZLU9690152</t>
  </si>
  <si>
    <t>012/QUO-VJL/06-2022</t>
  </si>
  <si>
    <t>001847</t>
  </si>
  <si>
    <t>ASM - N3 SUNTER</t>
  </si>
  <si>
    <t>22/06/2022</t>
  </si>
  <si>
    <t>VJL22060068
100397</t>
  </si>
  <si>
    <t>PT. AGATA PROMAR</t>
  </si>
  <si>
    <t>SZPA41305700</t>
  </si>
  <si>
    <t>GRAND / CC &amp; OF</t>
  </si>
  <si>
    <t>HMMU2014765 &amp; KOCU4469630</t>
  </si>
  <si>
    <t>1X20 &amp; 1X40HQ</t>
  </si>
  <si>
    <t>029/QUO-VJL/06-2022</t>
  </si>
  <si>
    <t>20/06/2022</t>
  </si>
  <si>
    <t>27/06/2022</t>
  </si>
  <si>
    <t>VJL22060118</t>
  </si>
  <si>
    <t>EGLV020200187266</t>
  </si>
  <si>
    <t>EITU0337757, EITU3166719, EGHU3842392, EISU2287625, DRYU2697453, EITU0201333, EGHU3977572 &amp; EGHU3932921</t>
  </si>
  <si>
    <t>8X20GP</t>
  </si>
  <si>
    <t>032/QUO-VJL/06-2022</t>
  </si>
  <si>
    <t>000081</t>
  </si>
  <si>
    <t>25/06/2022</t>
  </si>
  <si>
    <t>26/06/2022 - 27/06/2022</t>
  </si>
  <si>
    <t>27/06/2022 - 28/06/2022</t>
  </si>
  <si>
    <t>MJT 2 &amp; PMP 6</t>
  </si>
  <si>
    <t>VJL22060134 101236</t>
  </si>
  <si>
    <t>14/07/2022</t>
  </si>
  <si>
    <t>JL16TJ2206343</t>
  </si>
  <si>
    <t>2 PLYWOOD / 240KG / 1.5CBM</t>
  </si>
  <si>
    <t xml:space="preserve">	044/QUO-VJL/06-2022</t>
  </si>
  <si>
    <t>001906</t>
  </si>
  <si>
    <t>XINGGANG</t>
  </si>
  <si>
    <t>BAND</t>
  </si>
  <si>
    <t>19/07/2022</t>
  </si>
  <si>
    <t>VJL22060159
100479</t>
  </si>
  <si>
    <t>02/08/20222</t>
  </si>
  <si>
    <t>XJKT22060421M</t>
  </si>
  <si>
    <t>1 PKG / 1.380 CBM / 1.057KG</t>
  </si>
  <si>
    <t>031/QUO-VJL/06-2022</t>
  </si>
  <si>
    <t>000308</t>
  </si>
  <si>
    <t>RAYA /APW</t>
  </si>
  <si>
    <t>23/06/2022</t>
  </si>
  <si>
    <t>VJL22060135
100140</t>
  </si>
  <si>
    <t>JJKT2206009</t>
  </si>
  <si>
    <t>1 WOODEN / 2.334KG / 3.640CBM</t>
  </si>
  <si>
    <t>043/QUO-VJL/06-2022</t>
  </si>
  <si>
    <t>001907</t>
  </si>
  <si>
    <t>16/06/2022</t>
  </si>
  <si>
    <t>26/06/2022</t>
  </si>
  <si>
    <t>DMV 1.8jt</t>
  </si>
  <si>
    <t>18/07/2022</t>
  </si>
  <si>
    <t>VJL22060150 / 101188</t>
  </si>
  <si>
    <t>26/08/2022</t>
  </si>
  <si>
    <t>HASLS11220600060</t>
  </si>
  <si>
    <t>SKLU1522845 / HAS1340367</t>
  </si>
  <si>
    <t>015/QUO-VJL/06-2022</t>
  </si>
  <si>
    <t>GLORIOUS / KOJA</t>
  </si>
  <si>
    <t>STUFF : KAMIS, 09 JUNI 2022</t>
  </si>
  <si>
    <t>VJL22060079
102147</t>
  </si>
  <si>
    <t>28/06/2022</t>
  </si>
  <si>
    <t>POTONG 1.250.000</t>
  </si>
  <si>
    <t>LIST CUST JULI 2022</t>
  </si>
  <si>
    <t>OOLU4116409100</t>
  </si>
  <si>
    <t>CSNU1515103</t>
  </si>
  <si>
    <t>001/QUO-VJL/07-2022</t>
  </si>
  <si>
    <t>000310</t>
  </si>
  <si>
    <t>VJL22070007 / 101195</t>
  </si>
  <si>
    <t>20/07/2022</t>
  </si>
  <si>
    <t>618-52441664</t>
  </si>
  <si>
    <t>SCL, CC &amp; OF</t>
  </si>
  <si>
    <t>2040KGS / 3.938M3</t>
  </si>
  <si>
    <t>003/QUO-VJL/07-2022</t>
  </si>
  <si>
    <t>000082</t>
  </si>
  <si>
    <t>KANSAI AIRPORT</t>
  </si>
  <si>
    <t>CIMP</t>
  </si>
  <si>
    <t>VJL22070051
100570</t>
  </si>
  <si>
    <t>KMTCNBO6233674</t>
  </si>
  <si>
    <t>BEAU2939530</t>
  </si>
  <si>
    <t>026/QUO-VJL/07-2022</t>
  </si>
  <si>
    <t>000317</t>
  </si>
  <si>
    <t>JAMAL</t>
  </si>
  <si>
    <t>23/08/2022</t>
  </si>
  <si>
    <t>VJL22070071
101307 / 0721/INV-VJL/07-22</t>
  </si>
  <si>
    <t>31/08/2022</t>
  </si>
  <si>
    <t>16/09/2022</t>
  </si>
  <si>
    <t>KBL22A07033</t>
  </si>
  <si>
    <t>ACT / CC</t>
  </si>
  <si>
    <t>1.260KG - 1.6 CBM</t>
  </si>
  <si>
    <t>039/QUO-VJL/07-2022</t>
  </si>
  <si>
    <t>001941</t>
  </si>
  <si>
    <t>16/07/2022</t>
  </si>
  <si>
    <t>VJL22070111/
100522</t>
  </si>
  <si>
    <t>21/10/22</t>
  </si>
  <si>
    <t>CMSSH22040513</t>
  </si>
  <si>
    <t>14 DRUM / 2.855.60KGS / 5.000 CBM</t>
  </si>
  <si>
    <t>046/QUO-VJL/07-2022</t>
  </si>
  <si>
    <t>SHANGHAI TO SEMARANG</t>
  </si>
  <si>
    <t>VJL22070115
100564</t>
  </si>
  <si>
    <t>YMLUI226171976</t>
  </si>
  <si>
    <t>TEMU0730529</t>
  </si>
  <si>
    <t>062/QUO-VJL/07-2022</t>
  </si>
  <si>
    <t>000324</t>
  </si>
  <si>
    <t>25/07/2022</t>
  </si>
  <si>
    <t>26/07/2022</t>
  </si>
  <si>
    <t>27/07/2022</t>
  </si>
  <si>
    <t>13/08/2022</t>
  </si>
  <si>
    <t xml:space="preserve">VJL22070147 / 101319 </t>
  </si>
  <si>
    <t>CD220701041</t>
  </si>
  <si>
    <t>14.75CBM / 6257KG</t>
  </si>
  <si>
    <t>051/QUO-VJL/07-2022</t>
  </si>
  <si>
    <t>001947</t>
  </si>
  <si>
    <t xml:space="preserve">SHANGHAI  </t>
  </si>
  <si>
    <t>17/07/2022</t>
  </si>
  <si>
    <t>18/08/2022</t>
  </si>
  <si>
    <t>VJL22080083 / 101407</t>
  </si>
  <si>
    <t>30/09/2022</t>
  </si>
  <si>
    <t>235-00615893</t>
  </si>
  <si>
    <t>DHL - CC</t>
  </si>
  <si>
    <t>30KG - 0.336M3</t>
  </si>
  <si>
    <t>055/QUO-VJL/07-2022</t>
  </si>
  <si>
    <t>000319</t>
  </si>
  <si>
    <t>VERONA   - ITALY</t>
  </si>
  <si>
    <t>TB09</t>
  </si>
  <si>
    <t>VJL22080090 / 101322 /0805/INV-VJL/08-22</t>
  </si>
  <si>
    <t>JKT22-00260/PKG</t>
  </si>
  <si>
    <t>FM GLOBAL / OF</t>
  </si>
  <si>
    <t>665KG / 1CBM</t>
  </si>
  <si>
    <t>040/QUO-VJL/07-2022</t>
  </si>
  <si>
    <t>22//07/2022</t>
  </si>
  <si>
    <t>28/07/2022</t>
  </si>
  <si>
    <t>STUFF : RABU, 13/07/2022</t>
  </si>
  <si>
    <t>21/07/2022</t>
  </si>
  <si>
    <t>VJL22070133</t>
  </si>
  <si>
    <t>HASLS11220700050</t>
  </si>
  <si>
    <t>HASPUL, CC &amp; OF</t>
  </si>
  <si>
    <t>SKLU1608506 / HAS1337130</t>
  </si>
  <si>
    <t>053/QUO-VJL/07-2022</t>
  </si>
  <si>
    <t>NIIGATA</t>
  </si>
  <si>
    <t>23/07/2022</t>
  </si>
  <si>
    <t>14/08/2022</t>
  </si>
  <si>
    <t>STUFF : KAMIS, 21 JULY 2022</t>
  </si>
  <si>
    <t>VJL22070151
102253</t>
  </si>
  <si>
    <t>23/09/2022</t>
  </si>
  <si>
    <t>JKT22-00258/HCM / JSGN-GCL220877G</t>
  </si>
  <si>
    <t>GATEWAY / OF &amp; CC COLOAD</t>
  </si>
  <si>
    <t>1110KGS</t>
  </si>
  <si>
    <t>052/QUO-VJL/07-2022</t>
  </si>
  <si>
    <t>HOCHIMINCH</t>
  </si>
  <si>
    <t>24/07/2022</t>
  </si>
  <si>
    <t>STUFF : RABU, 20 JULY 2022</t>
  </si>
  <si>
    <t>GHAFA</t>
  </si>
  <si>
    <t>VJL22070161 / 101359 - 0737INV</t>
  </si>
  <si>
    <t>20/09/2022</t>
  </si>
  <si>
    <t>LIST CUST AGUSTUS 2022</t>
  </si>
  <si>
    <t>KBL22A07280</t>
  </si>
  <si>
    <t>1 CASE / 14.80KGS / 0.138CBM</t>
  </si>
  <si>
    <t>005/QUO-VJL/08-2022</t>
  </si>
  <si>
    <t>DMV 450K B9176UJ</t>
  </si>
  <si>
    <t>VJL22080018   / 100642</t>
  </si>
  <si>
    <t>21/10/2022</t>
  </si>
  <si>
    <t>28/10/2022</t>
  </si>
  <si>
    <t>ILEX22070449</t>
  </si>
  <si>
    <t>KORCHINA / CC</t>
  </si>
  <si>
    <t xml:space="preserve">4 CASE / 920 KGS / </t>
  </si>
  <si>
    <t>018/QUO-VJL/08-2022</t>
  </si>
  <si>
    <t>DMV 650K</t>
  </si>
  <si>
    <t>28/09/2022</t>
  </si>
  <si>
    <t>VJL22080029
/ 100641</t>
  </si>
  <si>
    <t>TAMCB22000896</t>
  </si>
  <si>
    <t>GRAND INT / OF &amp; CC</t>
  </si>
  <si>
    <t>MRTU9631434</t>
  </si>
  <si>
    <t>001/QUO-VJL/08-2022</t>
  </si>
  <si>
    <t>ASM</t>
  </si>
  <si>
    <t>21/09/2022</t>
  </si>
  <si>
    <t>VJL22080023
100661</t>
  </si>
  <si>
    <t>352-22-01652-352633 / 609109077</t>
  </si>
  <si>
    <t>PANAH PERDANA LOGISINDO</t>
  </si>
  <si>
    <t>SUDU4869901</t>
  </si>
  <si>
    <t>1X40OT</t>
  </si>
  <si>
    <t>032/QUO-VJL/08-2022</t>
  </si>
  <si>
    <t>FELIXSTOWE</t>
  </si>
  <si>
    <t>11/8/2022 (NHI 15/08/2022)</t>
  </si>
  <si>
    <t>VJL22080056 /100762</t>
  </si>
  <si>
    <t>PT. CITRA JAYA HOSINDO</t>
  </si>
  <si>
    <t>OOLU8891347010</t>
  </si>
  <si>
    <t>OOLU0142609</t>
  </si>
  <si>
    <t>006/QUO-VJL/08-2022</t>
  </si>
  <si>
    <t>100001</t>
  </si>
  <si>
    <t>SPJM 10/08/2022</t>
  </si>
  <si>
    <t>15/08/2022</t>
  </si>
  <si>
    <t>16/08/2022</t>
  </si>
  <si>
    <t>VJL22080037 /100638</t>
  </si>
  <si>
    <t>15/09/2022</t>
  </si>
  <si>
    <t xml:space="preserve">BCA 0830188177 A/N CINNIE CHUNG </t>
  </si>
  <si>
    <t>EURFL22708508JKT</t>
  </si>
  <si>
    <t>1 PLYWOOD/ 1045KGS / 2.350 CBM</t>
  </si>
  <si>
    <t>040/QUO-VJL/08-2022</t>
  </si>
  <si>
    <t>DMV    650k</t>
  </si>
  <si>
    <t>102802 / VJL22080078</t>
  </si>
  <si>
    <t>HASLJ01220601604</t>
  </si>
  <si>
    <t>HASPUL &amp; CC</t>
  </si>
  <si>
    <t>SKLU2123177</t>
  </si>
  <si>
    <t>014/QUO-VJL/08-2022</t>
  </si>
  <si>
    <t>000325</t>
  </si>
  <si>
    <t>VJL22080093
100717</t>
  </si>
  <si>
    <t>KMTCSHAJ579562</t>
  </si>
  <si>
    <t>KMTU7420934 &amp; TCLU3765970</t>
  </si>
  <si>
    <t>064/QUO-VJL/08-2022</t>
  </si>
  <si>
    <t>000336</t>
  </si>
  <si>
    <t>25/08/2022</t>
  </si>
  <si>
    <t>VJL22080127
100742</t>
  </si>
  <si>
    <t>LSUJKT2208013</t>
  </si>
  <si>
    <t>1 PACKAGE / 1.055KG - 0.330CBM</t>
  </si>
  <si>
    <t>080/QUO-VJL/08-2022</t>
  </si>
  <si>
    <t>29/08/2022</t>
  </si>
  <si>
    <t>DMV - CDE 650</t>
  </si>
  <si>
    <t>VJL22080142 / 101515</t>
  </si>
  <si>
    <t>KBL22A08154</t>
  </si>
  <si>
    <t>1 CASE / 2.484.9KGS / 3.292CBM</t>
  </si>
  <si>
    <t>093/QUO-VJL/08-2022</t>
  </si>
  <si>
    <t>27/08/2022</t>
  </si>
  <si>
    <t>DMV 1.3</t>
  </si>
  <si>
    <t>VJL22080166 / 101514</t>
  </si>
  <si>
    <t>ILE035370 / 18032725136</t>
  </si>
  <si>
    <t>KORCHINA</t>
  </si>
  <si>
    <t>1 PC / 174KG</t>
  </si>
  <si>
    <t xml:space="preserve">	087/QUO-VJL/08-2022</t>
  </si>
  <si>
    <t>JOHN 1JT</t>
  </si>
  <si>
    <t>29/09/2022</t>
  </si>
  <si>
    <t>VJL22080155 / 100764</t>
  </si>
  <si>
    <t>BEJK4632N</t>
  </si>
  <si>
    <t>2 BOXES / 1.760KGS / CBM</t>
  </si>
  <si>
    <t>104/QUO-VJL/08-2022</t>
  </si>
  <si>
    <t>VJL22090033
100676</t>
  </si>
  <si>
    <t>695-34908156</t>
  </si>
  <si>
    <t xml:space="preserve">568KGS / 1.405CBM </t>
  </si>
  <si>
    <t>099/QUO-VJL/08-2022</t>
  </si>
  <si>
    <t>000339</t>
  </si>
  <si>
    <t>30/08/2022</t>
  </si>
  <si>
    <t>JOHN        1.1jt</t>
  </si>
  <si>
    <t>VJL22090002 / 101516</t>
  </si>
  <si>
    <t>JKT22-00282/HCM</t>
  </si>
  <si>
    <t>MCL / OF</t>
  </si>
  <si>
    <t>578KG / 2.04 CBM</t>
  </si>
  <si>
    <t>041/QUO-VJL/07-2022</t>
  </si>
  <si>
    <t>STUFF : JUMAT, 29/07/2022</t>
  </si>
  <si>
    <t>VJL22080075
102296</t>
  </si>
  <si>
    <t>HASLS11220800010</t>
  </si>
  <si>
    <t>SKLU1666462 / HAS1341359</t>
  </si>
  <si>
    <t>045/QUO-VJL/08-2022</t>
  </si>
  <si>
    <t>GTM</t>
  </si>
  <si>
    <t>STUFF : RABU, 10/08/2022</t>
  </si>
  <si>
    <t>VJL22080092 /101406</t>
  </si>
  <si>
    <t xml:space="preserve"> JKT22-00287/PEN</t>
  </si>
  <si>
    <t xml:space="preserve"> MCA / OF</t>
  </si>
  <si>
    <t>654.58KG / 2.380 CBM</t>
  </si>
  <si>
    <t>038/QUO-VJL/08-2022</t>
  </si>
  <si>
    <t>PENANG</t>
  </si>
  <si>
    <t>VJL22080074
102295</t>
  </si>
  <si>
    <t>LIST CUST SEPTEMBER 2022</t>
  </si>
  <si>
    <t>SGNCB22015857</t>
  </si>
  <si>
    <t>RCL / CC</t>
  </si>
  <si>
    <t>SEGU3257331</t>
  </si>
  <si>
    <t>012/QUO-VJL/09-2022</t>
  </si>
  <si>
    <t>000343</t>
  </si>
  <si>
    <t>THABITA 1.750</t>
  </si>
  <si>
    <t>VJL22090053 / 101519</t>
  </si>
  <si>
    <t>BEJK4675</t>
  </si>
  <si>
    <t>INTEGRA LINE</t>
  </si>
  <si>
    <t>1 PLT / 69.000KGS / 0.131CBM</t>
  </si>
  <si>
    <t>017/QUO-VJL/09-2022</t>
  </si>
  <si>
    <t>28/08/2022</t>
  </si>
  <si>
    <t>GHAFA 1.2</t>
  </si>
  <si>
    <t>VJL22090079 / 100798</t>
  </si>
  <si>
    <t>JYDSH220802181N</t>
  </si>
  <si>
    <t>3 PALETS / 2.250KGS / 6 CBM</t>
  </si>
  <si>
    <t>031/QUO-VJL/09-2022</t>
  </si>
  <si>
    <t>000337</t>
  </si>
  <si>
    <t>20/08/2022</t>
  </si>
  <si>
    <t>DMV    800K</t>
  </si>
  <si>
    <t>VJL22090179 / 101559</t>
  </si>
  <si>
    <t>30/03/2022</t>
  </si>
  <si>
    <t>YMLUI232223870</t>
  </si>
  <si>
    <t>BEAU2533731</t>
  </si>
  <si>
    <t>021/QUO-VJL/09-2022</t>
  </si>
  <si>
    <t>000344</t>
  </si>
  <si>
    <t>13/09/2022</t>
  </si>
  <si>
    <t>VJL22090109 / 100799</t>
  </si>
  <si>
    <t>ONEYTA2DKB568900</t>
  </si>
  <si>
    <t>KKTU8024296</t>
  </si>
  <si>
    <t>032/QUO-VJL/09-2022</t>
  </si>
  <si>
    <t>14/09/2022</t>
  </si>
  <si>
    <t>VJL22090151 / 100800</t>
  </si>
  <si>
    <t>PRKS22082656JKT / KMTCPUSF920440</t>
  </si>
  <si>
    <t>IMPORT EXWORK</t>
  </si>
  <si>
    <t>FSI - KMTC / OF-CC</t>
  </si>
  <si>
    <t>CXDU1206213</t>
  </si>
  <si>
    <t>1X45HQ</t>
  </si>
  <si>
    <t>030/QUO-VJL/09-2022</t>
  </si>
  <si>
    <t>17/09/2022</t>
  </si>
  <si>
    <t>VJL22090158</t>
  </si>
  <si>
    <t>19/09/2022</t>
  </si>
  <si>
    <t>YMLUN900049252</t>
  </si>
  <si>
    <t>TEMU4922432</t>
  </si>
  <si>
    <t>000331</t>
  </si>
  <si>
    <t>HAMBURG</t>
  </si>
  <si>
    <t>30/07/2022</t>
  </si>
  <si>
    <t>17/09/22</t>
  </si>
  <si>
    <t>VJL22090174
100876</t>
  </si>
  <si>
    <t>BEJK4707</t>
  </si>
  <si>
    <t>1 CASE / 400KG  / 0.410 CBM</t>
  </si>
  <si>
    <t>059/QUO-VJL/09-2022</t>
  </si>
  <si>
    <t>18/09/2022</t>
  </si>
  <si>
    <t>GAFA 1.2jt</t>
  </si>
  <si>
    <t>VJL22090213
100882</t>
  </si>
  <si>
    <t>PH16JKT229554 / TJKT22081015</t>
  </si>
  <si>
    <t>SCL / OF COLOAD</t>
  </si>
  <si>
    <t>1 PCS / 0.50 CBM  / 70KGS</t>
  </si>
  <si>
    <t>043/QUO-VJL/09-2022</t>
  </si>
  <si>
    <t>TIANJIN - SHANGHAI</t>
  </si>
  <si>
    <t>VJL22100071 / 101616</t>
  </si>
  <si>
    <t>HDMUSHAZ42837700</t>
  </si>
  <si>
    <t>HMMU2006585</t>
  </si>
  <si>
    <t>042/QUO-VJL/09-2022</t>
  </si>
  <si>
    <t>ZHENJIANG - SHANGHAI</t>
  </si>
  <si>
    <t>25/09/2022</t>
  </si>
  <si>
    <t>MJT 1.750</t>
  </si>
  <si>
    <t>VJL22090233 /100699</t>
  </si>
  <si>
    <t>SEALAND / OF - CC</t>
  </si>
  <si>
    <t>MRKU9983486 / ML-ID0260365</t>
  </si>
  <si>
    <t>034/QUO-VJL/09-2022</t>
  </si>
  <si>
    <t>SBS</t>
  </si>
  <si>
    <t>STUFF : KAMIS, 14/09/2022</t>
  </si>
  <si>
    <t>VJL22090178 / 101562</t>
  </si>
  <si>
    <t>LIST CUST OKTOBER 2022</t>
  </si>
  <si>
    <t>CCFDLJAK2200028</t>
  </si>
  <si>
    <t>MACOLINE - CC</t>
  </si>
  <si>
    <t>2 PW / 1.300KG / 2.06 CB</t>
  </si>
  <si>
    <t>015/QUO-VJL/10-2022</t>
  </si>
  <si>
    <t>200037</t>
  </si>
  <si>
    <t>GAFA 1.4JT</t>
  </si>
  <si>
    <t>VJL22100055
100917</t>
  </si>
  <si>
    <t>02//12/22</t>
  </si>
  <si>
    <t>HOR0610632 / 235BLL06046784</t>
  </si>
  <si>
    <t>TURKISH AIRLINES</t>
  </si>
  <si>
    <t>041/QUO-VJL/10-2022</t>
  </si>
  <si>
    <t>000352</t>
  </si>
  <si>
    <t>ISTANBUL</t>
  </si>
  <si>
    <t>DS06 / DSV TRANSPORT INDONESIA</t>
  </si>
  <si>
    <t>30/09/22</t>
  </si>
  <si>
    <t>IKI              850K</t>
  </si>
  <si>
    <t>VJL22100102
101014</t>
  </si>
  <si>
    <t>SKY22SE09324</t>
  </si>
  <si>
    <t>SENATOR - CC</t>
  </si>
  <si>
    <t>3 PKG / 649KG / 3.906CBM</t>
  </si>
  <si>
    <t>050/QUO-VJL/10-2022</t>
  </si>
  <si>
    <t>18/10/2022</t>
  </si>
  <si>
    <t>19/10/2022</t>
  </si>
  <si>
    <t>VJL22100114
101003</t>
  </si>
  <si>
    <t>EMJKT00281219</t>
  </si>
  <si>
    <t>1.007 KGS / 0.79CBM</t>
  </si>
  <si>
    <t>094/QUO-VJL/10-2022</t>
  </si>
  <si>
    <t>GENOA - ITALY</t>
  </si>
  <si>
    <t>14/10/2022</t>
  </si>
  <si>
    <t>VJL22110006 101730</t>
  </si>
  <si>
    <t>PT. MITRA ANDALAN KARGO</t>
  </si>
  <si>
    <t>XBMD102109</t>
  </si>
  <si>
    <t>TRUCKING ONLY</t>
  </si>
  <si>
    <t>BMOU4029637 &amp; CRSU9229205</t>
  </si>
  <si>
    <t>071/QUO-VJL/10-2022</t>
  </si>
  <si>
    <t>16/10/2022</t>
  </si>
  <si>
    <t>17/10/2022</t>
  </si>
  <si>
    <t>26/10/2022</t>
  </si>
  <si>
    <t>VJL22100160
100942</t>
  </si>
  <si>
    <t>CAZ0192879</t>
  </si>
  <si>
    <t>BEAU6249404</t>
  </si>
  <si>
    <t>070/QUO-VJL/10-2022</t>
  </si>
  <si>
    <t>JIANGMEN</t>
  </si>
  <si>
    <t>21/09/22</t>
  </si>
  <si>
    <t>19/10/22</t>
  </si>
  <si>
    <t>19/10/222</t>
  </si>
  <si>
    <t>20/10/2022</t>
  </si>
  <si>
    <t>VJL22100159
100939</t>
  </si>
  <si>
    <t>KMTCJKT4275606</t>
  </si>
  <si>
    <t>KMTC - OF / CC</t>
  </si>
  <si>
    <t>TEMU5807304 / IB445886</t>
  </si>
  <si>
    <t>026/QUO-VJL/10-22</t>
  </si>
  <si>
    <t xml:space="preserve">SPM </t>
  </si>
  <si>
    <t>STUFF : SENIN, 03 OKT 2022</t>
  </si>
  <si>
    <t>VJL22100072 / 101617</t>
  </si>
  <si>
    <t>PT. YAN TRADING &amp; LOGISTICS</t>
  </si>
  <si>
    <t>60350313163 / 603 CGK 50313163</t>
  </si>
  <si>
    <t>ATT - OF &amp; CC</t>
  </si>
  <si>
    <t>160KGS</t>
  </si>
  <si>
    <t>072/QUO-VJL/10-2022</t>
  </si>
  <si>
    <t>001163</t>
  </si>
  <si>
    <t>MALDIVES</t>
  </si>
  <si>
    <t>GAPURA</t>
  </si>
  <si>
    <t>15/10/2022</t>
  </si>
  <si>
    <t>STUFF : JUMAT 14/10/22</t>
  </si>
  <si>
    <t>YAN TL</t>
  </si>
  <si>
    <t>31/10/2022</t>
  </si>
  <si>
    <t>VJL22100175
102482</t>
  </si>
  <si>
    <t>BCA 8820895968 A/N ANNISSA FOURTA</t>
  </si>
  <si>
    <t>COAU7884329160</t>
  </si>
  <si>
    <t>COSCO - OF / CC</t>
  </si>
  <si>
    <t>FCIU4793181 / JKTA347005</t>
  </si>
  <si>
    <t>076/QUO-VJL/10-2022</t>
  </si>
  <si>
    <t>HAIPHONG</t>
  </si>
  <si>
    <t>GTM/JICT1</t>
  </si>
  <si>
    <t>STUFF : JUMAT 21/10/22</t>
  </si>
  <si>
    <t>DMV-GBK 1.750</t>
  </si>
  <si>
    <t>VJL22100190
102483</t>
  </si>
  <si>
    <t>14/11/2022</t>
  </si>
  <si>
    <t>18/11/2022</t>
  </si>
  <si>
    <t>PT. JAJAR DWI RAYA</t>
  </si>
  <si>
    <t>COSCO - OF &amp; STUFF</t>
  </si>
  <si>
    <t>106/QUO-VJL/10-2022</t>
  </si>
  <si>
    <t>GTM - JICT</t>
  </si>
  <si>
    <t>30/10/2022</t>
  </si>
  <si>
    <t>STUFF : 18/10/22 (CANCEL)</t>
  </si>
  <si>
    <t>JDR</t>
  </si>
  <si>
    <t>VJL22110005
102485</t>
  </si>
  <si>
    <t>17/11/2022</t>
  </si>
  <si>
    <t>BNI 0249401426 A/N OOM KOMARIYAH</t>
  </si>
  <si>
    <t>VJLJKT22-00354/SIN</t>
  </si>
  <si>
    <t xml:space="preserve">FSI-OF </t>
  </si>
  <si>
    <t>2500KGS /    3.381 M3</t>
  </si>
  <si>
    <t>108/QUO-VJL/10-2022</t>
  </si>
  <si>
    <t xml:space="preserve">STUFF : 30/10/2022 </t>
  </si>
  <si>
    <t>VJL22110040
102594</t>
  </si>
  <si>
    <t>LIST CUST NOVEMBER 2022</t>
  </si>
  <si>
    <t>0000361GOA /  235-48459703</t>
  </si>
  <si>
    <t>MAERSK - OF &amp; CC</t>
  </si>
  <si>
    <t>149KG/0.640M3</t>
  </si>
  <si>
    <t>026/QUO-VJL/11-2022</t>
  </si>
  <si>
    <t>25/10/22</t>
  </si>
  <si>
    <t>JOHN 500K</t>
  </si>
  <si>
    <t>VJL22110049
101023</t>
  </si>
  <si>
    <t>CD221000603</t>
  </si>
  <si>
    <t>MCL / OF - CC</t>
  </si>
  <si>
    <t>4 CASE / 3216KGS / 3.5CBM</t>
  </si>
  <si>
    <t>030/QUO-VJL/11-2022</t>
  </si>
  <si>
    <t>28/10/22</t>
  </si>
  <si>
    <t>DMV 1.2 FUSO</t>
  </si>
  <si>
    <t>VJL22110099
101024</t>
  </si>
  <si>
    <t>PT. HEXA BERTON INDONESIA / AKUN  PT. JAJAR DWI RAYA</t>
  </si>
  <si>
    <t>EMJKT00291507</t>
  </si>
  <si>
    <t>335KG / 2.3CBM</t>
  </si>
  <si>
    <t>034/QUO-VJL/11-2022</t>
  </si>
  <si>
    <t>VJL22110097
101103</t>
  </si>
  <si>
    <t>ILEX22100744</t>
  </si>
  <si>
    <t>KCI &amp; CC</t>
  </si>
  <si>
    <t>2 CASES &amp; 3.048KG / 7.012CBM</t>
  </si>
  <si>
    <t>065/QUO-VJL/11-2022</t>
  </si>
  <si>
    <t>BUSAN - KOREA</t>
  </si>
  <si>
    <t>DMV 950</t>
  </si>
  <si>
    <t xml:space="preserve"> VJL22110149
101043</t>
  </si>
  <si>
    <t>COAU8027820440</t>
  </si>
  <si>
    <t>COSCO - CC</t>
  </si>
  <si>
    <t>CSLU1216506</t>
  </si>
  <si>
    <t>035/QUO-VJL/11-2022</t>
  </si>
  <si>
    <t>SPJM 18/11/22 SPPB 28/11/22</t>
  </si>
  <si>
    <t>TIUR 1,6</t>
  </si>
  <si>
    <t>VJL22110121
101067</t>
  </si>
  <si>
    <t>MJKT22102101</t>
  </si>
  <si>
    <t>SCL / OF , UNDERNAME &amp; CC</t>
  </si>
  <si>
    <t>1 BOX / 240KGS /0.338 CBM</t>
  </si>
  <si>
    <t>032/QUO-VJL/11-2022</t>
  </si>
  <si>
    <t>22/10/2022</t>
  </si>
  <si>
    <t>DMV 750</t>
  </si>
  <si>
    <t>VJL22110133
101046</t>
  </si>
  <si>
    <t>PT. BERCA MANDIRI PERKASA</t>
  </si>
  <si>
    <t>PSINJKT2211006</t>
  </si>
  <si>
    <t>SCL - OF &amp; CC</t>
  </si>
  <si>
    <t>697KGS / 2.440CBM</t>
  </si>
  <si>
    <t>041/QUO-VJL/11-2022</t>
  </si>
  <si>
    <t>16/11/2022</t>
  </si>
  <si>
    <t>DMV 700</t>
  </si>
  <si>
    <t>VJL22120008
101065</t>
  </si>
  <si>
    <t>20/12/2022 OF 17/01/2023</t>
  </si>
  <si>
    <t>BCA 2410072575 A/N RD DENI AMAR MARUF</t>
  </si>
  <si>
    <t>NGJKT22B03007</t>
  </si>
  <si>
    <t xml:space="preserve">9 PALETS / 9,923KGS / 20,866M3 </t>
  </si>
  <si>
    <t>066/QUO-VJL/11-2022</t>
  </si>
  <si>
    <t>15/11/2022</t>
  </si>
  <si>
    <t>28/11/2022</t>
  </si>
  <si>
    <t>DMV 1,2 FUSO</t>
  </si>
  <si>
    <t>VJL22120041
101074</t>
  </si>
  <si>
    <t>10/02/202</t>
  </si>
  <si>
    <t>XBMD102862</t>
  </si>
  <si>
    <t>058/QUO-VJL/11-2022</t>
  </si>
  <si>
    <t>13/11/2022</t>
  </si>
  <si>
    <t xml:space="preserve">VJL22110112
101051 </t>
  </si>
  <si>
    <t>XBMD103272</t>
  </si>
  <si>
    <t>070/QUO-VJL/11-2022</t>
  </si>
  <si>
    <t>TIUR</t>
  </si>
  <si>
    <t>VJL22110157 101186</t>
  </si>
  <si>
    <t>MEJKT.10.008844 / JKSSB22010948</t>
  </si>
  <si>
    <t>MAXIMA - OF / CC</t>
  </si>
  <si>
    <t>MSKU2194744 / MEP1019</t>
  </si>
  <si>
    <t>028/QUO-VJL/11-2022</t>
  </si>
  <si>
    <t>GLT / TER3</t>
  </si>
  <si>
    <t>STUFF : SENIN, 03 NOV 2022</t>
  </si>
  <si>
    <t>JKT/MLE/22/00066</t>
  </si>
  <si>
    <t>KCI - OF - CC</t>
  </si>
  <si>
    <t>CAIU3681208 / KCA1136871</t>
  </si>
  <si>
    <t>077/QUO-VJL/10-2022</t>
  </si>
  <si>
    <t>001167</t>
  </si>
  <si>
    <t>CTP / JICT1</t>
  </si>
  <si>
    <t>14/10/22</t>
  </si>
  <si>
    <t>TABHITA</t>
  </si>
  <si>
    <t>VJL22110023
101152</t>
  </si>
  <si>
    <t xml:space="preserve">26/01/2023 SISA 11,995,000 </t>
  </si>
  <si>
    <t>JKT22-00394/PKG</t>
  </si>
  <si>
    <t>5.959 M3/2.400KGS</t>
  </si>
  <si>
    <t>067/QUO-VJL/11-2022</t>
  </si>
  <si>
    <t xml:space="preserve">DMV </t>
  </si>
  <si>
    <t>22/11/2022</t>
  </si>
  <si>
    <t>STUFF : SENIN, 15 NOV 2022</t>
  </si>
  <si>
    <t>DMV 650</t>
  </si>
  <si>
    <t xml:space="preserve"> VJL22120011
102498</t>
  </si>
  <si>
    <t>LIST CUST DESEMBER 2022 (VJL)</t>
  </si>
  <si>
    <t xml:space="preserve">
PT. POLYOSHIKA</t>
  </si>
  <si>
    <t>EGLV020200473382</t>
  </si>
  <si>
    <t>EITU0392414 , GLDU5750272, FCIU4638230</t>
  </si>
  <si>
    <t>001/QUO-VJL/12-2022</t>
  </si>
  <si>
    <t>DMV 1,750</t>
  </si>
  <si>
    <t>VJL22120095
100839</t>
  </si>
  <si>
    <t>Mandiri 9000003752533 an. Agil Fakhriza Daoed</t>
  </si>
  <si>
    <t>22/20/11/031/012</t>
  </si>
  <si>
    <t>1.238 KGS / 6.614M3</t>
  </si>
  <si>
    <t>036/QUO-VJL/11-2022</t>
  </si>
  <si>
    <t>SWEDEN</t>
  </si>
  <si>
    <t>VJL22120202
101764</t>
  </si>
  <si>
    <t>LIST CUST DESEMBER 2022 (ATLANTIK/ANTILIA)</t>
  </si>
  <si>
    <t>PT. MITRA ANDALAN KARGO (PT.CATUR SENTOSA BERHASIL)</t>
  </si>
  <si>
    <t>ONEYXMNC96108900</t>
  </si>
  <si>
    <t>ONE - TRUCKING ONLY</t>
  </si>
  <si>
    <t>SEGU5528957</t>
  </si>
  <si>
    <t>KINGDOM</t>
  </si>
  <si>
    <t>12328/KGF/202</t>
  </si>
  <si>
    <t>COAU7242492660</t>
  </si>
  <si>
    <t>CSNU6085068</t>
  </si>
  <si>
    <t>5X40HQ</t>
  </si>
  <si>
    <t>003/OTH/XII/2022</t>
  </si>
  <si>
    <t>000003</t>
  </si>
  <si>
    <t>JAKA 2JT INCLUDE KAWALAN</t>
  </si>
  <si>
    <t>IMP/FCL/0027/22</t>
  </si>
  <si>
    <t>TTNU4873135</t>
  </si>
  <si>
    <t>OOLU7781880</t>
  </si>
  <si>
    <t>OOLU4518886</t>
  </si>
  <si>
    <t>CBHU6375407</t>
  </si>
  <si>
    <t>COAU8027942830</t>
  </si>
  <si>
    <t>CSNU6247683</t>
  </si>
  <si>
    <t>10X40HQ</t>
  </si>
  <si>
    <t>004/OTH/XII/2022</t>
  </si>
  <si>
    <t>000004</t>
  </si>
  <si>
    <t>IMP/FCL/0028/22</t>
  </si>
  <si>
    <t>CBHU8970395</t>
  </si>
  <si>
    <t>CBHU9566372</t>
  </si>
  <si>
    <t>CSNU8492904</t>
  </si>
  <si>
    <t>CSNU6467230</t>
  </si>
  <si>
    <t>OOCU4846662</t>
  </si>
  <si>
    <t>CCLU4934403</t>
  </si>
  <si>
    <t>DFSU4189494</t>
  </si>
  <si>
    <t>DFSU4188986</t>
  </si>
  <si>
    <t>DFSU4200783</t>
  </si>
  <si>
    <t>JSEIDL20045</t>
  </si>
  <si>
    <t>DIA JAYA / NTL</t>
  </si>
  <si>
    <t>1 CR / 0,56CBM / 270KGS</t>
  </si>
  <si>
    <t>005/OTH/XII/2022</t>
  </si>
  <si>
    <t>000006</t>
  </si>
  <si>
    <t>AIRIN1</t>
  </si>
  <si>
    <t>KINGDOM 225K/CDE</t>
  </si>
  <si>
    <t xml:space="preserve"> IMP/LCL/0035/23</t>
  </si>
  <si>
    <t>PT. BAUMA UPS</t>
  </si>
  <si>
    <t>X22-09951-JKT-004</t>
  </si>
  <si>
    <t>FSI</t>
  </si>
  <si>
    <t>2 PALETS / 785KG / 1,562CBM</t>
  </si>
  <si>
    <t>007/IMP/XII/2022</t>
  </si>
  <si>
    <t>IMP/LCL/0031/22</t>
  </si>
  <si>
    <t>PT. ARYASATYA MAKMUR LESTARI</t>
  </si>
  <si>
    <t>COAU7242586762</t>
  </si>
  <si>
    <t>COSCO</t>
  </si>
  <si>
    <t>CSNU7420875</t>
  </si>
  <si>
    <t>3020/IMP/XII/22</t>
  </si>
  <si>
    <t>000001</t>
  </si>
  <si>
    <t>HO CHI MINH</t>
  </si>
  <si>
    <t>JAMAL 1,750JT</t>
  </si>
  <si>
    <t>IMP/FCL/177586/23</t>
  </si>
  <si>
    <t>VJL - SCL</t>
  </si>
  <si>
    <t>007/IMP/I/2023</t>
  </si>
  <si>
    <t>000010</t>
  </si>
  <si>
    <t>PESAKA</t>
  </si>
  <si>
    <t>AGUS ARRY 450K</t>
  </si>
  <si>
    <t>IMP/LCL/00034/23</t>
  </si>
  <si>
    <t>MEJKT.10.008995</t>
  </si>
  <si>
    <t>MAXIMA - RCL / OF</t>
  </si>
  <si>
    <t>TXGU7090386</t>
  </si>
  <si>
    <t>0011/EXP/XII/222</t>
  </si>
  <si>
    <t>STUFF: RABU, 30 NOV 22</t>
  </si>
  <si>
    <t>EXP/FCL/00021/22</t>
  </si>
  <si>
    <t>LIST CUST JANUARI 2023 (ATLANTIK/ANTILIA)</t>
  </si>
  <si>
    <t>008CX66413</t>
  </si>
  <si>
    <t>WANHAI</t>
  </si>
  <si>
    <t>BEAU4817167</t>
  </si>
  <si>
    <t>4X40HQ</t>
  </si>
  <si>
    <t>009/IMP/I/23</t>
  </si>
  <si>
    <t>000008</t>
  </si>
  <si>
    <t>AGUS ARRY 1,8X4</t>
  </si>
  <si>
    <t>IMP/FCL/0038/23</t>
  </si>
  <si>
    <t>LUNAS</t>
  </si>
  <si>
    <t>WHSU5511015</t>
  </si>
  <si>
    <t>WHSU5867515</t>
  </si>
  <si>
    <t>WHSU6375295</t>
  </si>
  <si>
    <t>008CX64787</t>
  </si>
  <si>
    <t>WHLU5821674</t>
  </si>
  <si>
    <t>3X40HQ</t>
  </si>
  <si>
    <t>010/IMP/I/23</t>
  </si>
  <si>
    <t>000009</t>
  </si>
  <si>
    <t>AGUS ARRY 1,8X3</t>
  </si>
  <si>
    <t xml:space="preserve">   IMP/FCL/0039/23 </t>
  </si>
  <si>
    <t>WHSU5324966</t>
  </si>
  <si>
    <t>WHSU5493689</t>
  </si>
  <si>
    <t>X22-10623-JKT-005</t>
  </si>
  <si>
    <t>IMPORT EXW</t>
  </si>
  <si>
    <t xml:space="preserve">OS LINE </t>
  </si>
  <si>
    <t xml:space="preserve">6 PACKAGES / 701KGS / 3,517CBM </t>
  </si>
  <si>
    <t>17601/IMP/I/23</t>
  </si>
  <si>
    <t>000011</t>
  </si>
  <si>
    <t>AGUS ARRY 450</t>
  </si>
  <si>
    <t>IMP/LCL/00045-46/23</t>
  </si>
  <si>
    <t>PT. TRUELOGS GEO ENERGI</t>
  </si>
  <si>
    <t>320113000037 / S3PL/22-23/0086</t>
  </si>
  <si>
    <t>VANGUARD - MOHIT</t>
  </si>
  <si>
    <t>6PLT / 5,896M3 / 2563KGS</t>
  </si>
  <si>
    <t>00002/IMP/I/23</t>
  </si>
  <si>
    <t>NEW DELHI - NHAVA SHEVA</t>
  </si>
  <si>
    <t>IMP/LCL/00050/23</t>
  </si>
  <si>
    <t>SNKO101230100179</t>
  </si>
  <si>
    <t>SINOKOR - CC</t>
  </si>
  <si>
    <t>HLHU8117746</t>
  </si>
  <si>
    <t>3022/IMP/I/23</t>
  </si>
  <si>
    <t>GML 1,850</t>
  </si>
  <si>
    <t>IMP/FCL/17713/23</t>
  </si>
  <si>
    <t xml:space="preserve">PT. TRACLINEOO UTAMA INDONESIA - PT. HYDR </t>
  </si>
  <si>
    <t>COAU7884525680</t>
  </si>
  <si>
    <t>IMPORT TRUCKING ONLY</t>
  </si>
  <si>
    <t>TGBU927430, OOCU8061169, CSNU7465355, FSCU8958268 &amp; CBHU5833212</t>
  </si>
  <si>
    <t>3X40HQ &amp; 2X20GP</t>
  </si>
  <si>
    <t>012/IMP/I/23</t>
  </si>
  <si>
    <t>TIANJIN</t>
  </si>
  <si>
    <t>JAMAL/HANABI</t>
  </si>
  <si>
    <t>IMP/FCL/00047/23</t>
  </si>
  <si>
    <t>BCA 6900195123 A/N DESFIRA FEBRYANTI</t>
  </si>
  <si>
    <t>PT. BINA NIAGA MULTIUSAHA</t>
  </si>
  <si>
    <t>KMTCJKT4362976</t>
  </si>
  <si>
    <t>EXPORT CUSTOM &amp; TRUCK</t>
  </si>
  <si>
    <t>KMTC</t>
  </si>
  <si>
    <t>FTAU1046156</t>
  </si>
  <si>
    <t>001/CX/I/2023</t>
  </si>
  <si>
    <t>001031</t>
  </si>
  <si>
    <t>HAIPHONG-VN</t>
  </si>
  <si>
    <t>HJS</t>
  </si>
  <si>
    <t>STUFFING : SENIN, 23/01/2023</t>
  </si>
  <si>
    <t>MJT 1,7</t>
  </si>
  <si>
    <t>EXP/FCL/00048/23</t>
  </si>
  <si>
    <t>PGBG0109099472</t>
  </si>
  <si>
    <t>ONE</t>
  </si>
  <si>
    <t>TRHU3551114</t>
  </si>
  <si>
    <t>002/CX/I/2023</t>
  </si>
  <si>
    <t>001035</t>
  </si>
  <si>
    <t>NEW YORK-US</t>
  </si>
  <si>
    <t>STUFFING : SENIN, 30/01/2023</t>
  </si>
  <si>
    <t>GML 1,7</t>
  </si>
  <si>
    <t>LIST CUST FEBRUARI 2023 (ATLANTIK/ANTILIA)</t>
  </si>
  <si>
    <t>PT. ELANG CAKRAWALA INDONESIA - PT. MITRA ANTARA KARGO</t>
  </si>
  <si>
    <t>COAU8029546880</t>
  </si>
  <si>
    <t>BSIU9641255 &amp; CSNU1237208</t>
  </si>
  <si>
    <t>1X20GP &amp; 1X40HQ</t>
  </si>
  <si>
    <t>013/IMP/II/23</t>
  </si>
  <si>
    <t>XIAOLAN</t>
  </si>
  <si>
    <t>IMP/FCL/0051/23</t>
  </si>
  <si>
    <t>SGNCB23001902</t>
  </si>
  <si>
    <t>IMPORT CC</t>
  </si>
  <si>
    <t xml:space="preserve">RCL </t>
  </si>
  <si>
    <t>CAAU6325810</t>
  </si>
  <si>
    <t>3026/IMP/23</t>
  </si>
  <si>
    <t>JAMAL/HANABI 1,750</t>
  </si>
  <si>
    <t xml:space="preserve"> IMP/FCL/177776/23</t>
  </si>
  <si>
    <t>SGNCB23002330</t>
  </si>
  <si>
    <t>CAIU4234689</t>
  </si>
  <si>
    <t>3027/IMP/23</t>
  </si>
  <si>
    <t>IMP/FCL/177775/23</t>
  </si>
  <si>
    <t>COAU7243138400</t>
  </si>
  <si>
    <t>IMPORT, TRUCKING &amp; CC</t>
  </si>
  <si>
    <t>OTPU6148254</t>
  </si>
  <si>
    <t>3029/IMP/23</t>
  </si>
  <si>
    <t>001334</t>
  </si>
  <si>
    <t>PASIR GUDANG - MALAYSIA</t>
  </si>
  <si>
    <t>PMP 1,3</t>
  </si>
  <si>
    <t>IMP/FCL/177774/23</t>
  </si>
  <si>
    <t>BCA 5350172183 A/N ARIEF RACHMAN</t>
  </si>
  <si>
    <t>HASL21230201182</t>
  </si>
  <si>
    <t>HASPUL</t>
  </si>
  <si>
    <t>CRSU9240570</t>
  </si>
  <si>
    <t>3030/IMP/23</t>
  </si>
  <si>
    <t>JAMAL/HANABI 1,750 (INV Di Sintha)</t>
  </si>
  <si>
    <t>IMP/FCL/177861/A/23</t>
  </si>
  <si>
    <t>LIST CUST MARCH 2023 (ATLANTIK/ANTILIA)</t>
  </si>
  <si>
    <t>NAMA CUSTOMER</t>
  </si>
  <si>
    <t>BL NUMBER</t>
  </si>
  <si>
    <t>JOB ORDER</t>
  </si>
  <si>
    <t>SISS23086732</t>
  </si>
  <si>
    <t>IMPORT - CC ONLY</t>
  </si>
  <si>
    <t>GEODIS WILSON INDONESIA</t>
  </si>
  <si>
    <t>4 STC / 441KGS / 2,497M3</t>
  </si>
  <si>
    <t>3033/IMP/23</t>
  </si>
  <si>
    <t>001336</t>
  </si>
  <si>
    <t>GHAFA CDD 600</t>
  </si>
  <si>
    <t>29/3/23 BY ARI - 16/03/2023</t>
  </si>
  <si>
    <t>177860/A/23</t>
  </si>
  <si>
    <t>SISS23087487</t>
  </si>
  <si>
    <t>014/IMP/III/23</t>
  </si>
  <si>
    <t>001344</t>
  </si>
  <si>
    <t>KINGDOM 450K</t>
  </si>
  <si>
    <t>30/03/23 BY ARI</t>
  </si>
  <si>
    <t>IMP/LCL/00064/23</t>
  </si>
  <si>
    <t>PT. PRIMAPLAST STRAW</t>
  </si>
  <si>
    <t>235-49892673</t>
  </si>
  <si>
    <t>IMPORT AF BY AIR</t>
  </si>
  <si>
    <t>VANGUARD-SUDAR</t>
  </si>
  <si>
    <t xml:space="preserve">3 PLT / 78,9KG </t>
  </si>
  <si>
    <t>01/IMP/III/23</t>
  </si>
  <si>
    <t>000014</t>
  </si>
  <si>
    <t>CIMP / JAS</t>
  </si>
  <si>
    <t>IMP/AIR/00058/23</t>
  </si>
  <si>
    <t>BCA 2480259893 A/N SELA THERESA TRI ASTUTI</t>
  </si>
  <si>
    <t>X23-01649-JKT-003</t>
  </si>
  <si>
    <t xml:space="preserve">OSLINE </t>
  </si>
  <si>
    <t>8PK/1002KG/5,265CBM</t>
  </si>
  <si>
    <t>3039/IMP/23</t>
  </si>
  <si>
    <t>001340</t>
  </si>
  <si>
    <t>KINGDOM 500K</t>
  </si>
  <si>
    <t>IMP/LCL/177880-81A/23</t>
  </si>
  <si>
    <t>17/04/2023 OF &amp;  31/05/2023 CC</t>
  </si>
  <si>
    <t>SGNCB23003578</t>
  </si>
  <si>
    <t>RCL</t>
  </si>
  <si>
    <t>FCIU8957262/40HQ &amp; TCLU7537113/20GP</t>
  </si>
  <si>
    <t>3034/IMP/23</t>
  </si>
  <si>
    <t>HANABI 1,5/1,6</t>
  </si>
  <si>
    <t>29/3/23 BY ARI</t>
  </si>
  <si>
    <t>PT. FECALINDO DINAMIKA INTIPRIMA</t>
  </si>
  <si>
    <t>PRG0166247</t>
  </si>
  <si>
    <t>CMA</t>
  </si>
  <si>
    <t>TRLU7544390</t>
  </si>
  <si>
    <t>3038/IMP/23</t>
  </si>
  <si>
    <t>000012</t>
  </si>
  <si>
    <t>KINGDOM 1,7</t>
  </si>
  <si>
    <t>IMP/FCL/177911/23</t>
  </si>
  <si>
    <t>BCA 0830129774 A/N FELIPE FANGIO CHUNG</t>
  </si>
  <si>
    <t>MUN331654JKR</t>
  </si>
  <si>
    <t>ZIM</t>
  </si>
  <si>
    <t>ECNU2012676</t>
  </si>
  <si>
    <t>3036/IMP/23</t>
  </si>
  <si>
    <t>000013</t>
  </si>
  <si>
    <t>MUNDRA</t>
  </si>
  <si>
    <t>KINGDOM 1,450</t>
  </si>
  <si>
    <t>TAOJKTN20004</t>
  </si>
  <si>
    <t>MACOLINE</t>
  </si>
  <si>
    <t>1 PK / 451KG / 3,5CBM</t>
  </si>
  <si>
    <t>017/IMP/III/23</t>
  </si>
  <si>
    <t>001348</t>
  </si>
  <si>
    <t>IMP/LCL/00070-A/23</t>
  </si>
  <si>
    <t>JUST INVOICE</t>
  </si>
  <si>
    <t>SEALAND</t>
  </si>
  <si>
    <t>MAEU3480451</t>
  </si>
  <si>
    <t>1X40DRY &amp; 2X40FLATRACK</t>
  </si>
  <si>
    <t>018/IMP/III/23</t>
  </si>
  <si>
    <t>IMP/FCL/00059/23</t>
  </si>
  <si>
    <t>ONEYJHBD02568500</t>
  </si>
  <si>
    <t>FSCU7280767</t>
  </si>
  <si>
    <t>015/IMP/III/23</t>
  </si>
  <si>
    <t>001351</t>
  </si>
  <si>
    <t>GUANGZHOU</t>
  </si>
  <si>
    <t>27/03/2023 KARENA SWB ISSUED JUMAT 14:00</t>
  </si>
  <si>
    <t>PMP 1,3JT</t>
  </si>
  <si>
    <t>IMP/FCL/0067-A/23</t>
  </si>
  <si>
    <t>LGZJKT2322344</t>
  </si>
  <si>
    <t>HYPER MEGA SHIPPING</t>
  </si>
  <si>
    <t>1 PL / 200KG / 1 CBM</t>
  </si>
  <si>
    <t>016/IMP/III/23</t>
  </si>
  <si>
    <t>001347</t>
  </si>
  <si>
    <t>ARN3</t>
  </si>
  <si>
    <t>IMP/LCL/00065/23</t>
  </si>
  <si>
    <t>CMZ1055501</t>
  </si>
  <si>
    <t>CNC</t>
  </si>
  <si>
    <t>3040/IMP/23</t>
  </si>
  <si>
    <t>IMP/FCL/177926-A/23</t>
  </si>
  <si>
    <t>MEJKT,10,009292</t>
  </si>
  <si>
    <t>CADU2026970/MEP1097</t>
  </si>
  <si>
    <t>0021/EXP/III/23</t>
  </si>
  <si>
    <t>000076</t>
  </si>
  <si>
    <t>BSA/TER3</t>
  </si>
  <si>
    <t>STUFF : SENIN, 13/03/2023</t>
  </si>
  <si>
    <t>KINGDOM 1,5JT</t>
  </si>
  <si>
    <t>EXP/FCL/00063/23</t>
  </si>
  <si>
    <t>PT. GUNTNER INDONESIA / PT. OBOR INDONESIA</t>
  </si>
  <si>
    <t>COSU6890767100</t>
  </si>
  <si>
    <t>EXPORT TRUCK &amp; EMKL</t>
  </si>
  <si>
    <t>CSLU6002066 &amp; TGBU4100153</t>
  </si>
  <si>
    <t>2X40DRY</t>
  </si>
  <si>
    <t>0022/EXP/III/23</t>
  </si>
  <si>
    <t>013265</t>
  </si>
  <si>
    <t>APAPA</t>
  </si>
  <si>
    <t>STUFF : SABTU, 20/03/2023</t>
  </si>
  <si>
    <t>MACOLINE 3,250</t>
  </si>
  <si>
    <t>EXP/FCL/0060-A/23</t>
  </si>
  <si>
    <t>ARL/JKT/LCL/PKG/0019/23</t>
  </si>
  <si>
    <t>OSLINE  - OF &amp; CC</t>
  </si>
  <si>
    <t>4 PLT / 16 PKG / 3,400KGS / 5,033CBM</t>
  </si>
  <si>
    <t>0020/EXP/III/23</t>
  </si>
  <si>
    <t>000077</t>
  </si>
  <si>
    <t>GCL WH</t>
  </si>
  <si>
    <t>STUFF : SELASA, 16/03/2023</t>
  </si>
  <si>
    <t>KINGDOM 1,2JT FUSO</t>
  </si>
  <si>
    <t>EXP/LCL/00061/23</t>
  </si>
  <si>
    <t>LIST CUST APRIL 2023 (ATLANTIK/ANTILIA)</t>
  </si>
  <si>
    <t>AWSJKT124632 / YMLUI450448655</t>
  </si>
  <si>
    <t>IMPORT - OF &amp; CC</t>
  </si>
  <si>
    <t xml:space="preserve">AWS / YANGMING </t>
  </si>
  <si>
    <t>YMLU8716572</t>
  </si>
  <si>
    <t>00005/IMP/III/23</t>
  </si>
  <si>
    <t>001359</t>
  </si>
  <si>
    <t>OB AIRIN</t>
  </si>
  <si>
    <t>18/04/2023</t>
  </si>
  <si>
    <t>IMP/FCL/00077/23</t>
  </si>
  <si>
    <t>S00215842 / COAU8036158210</t>
  </si>
  <si>
    <t>IMPORT, OF &amp; CC</t>
  </si>
  <si>
    <t>SANCO/COSCO- OF / CC</t>
  </si>
  <si>
    <t>OOLU0585470</t>
  </si>
  <si>
    <t>00003/IMP/III/23</t>
  </si>
  <si>
    <t>000423</t>
  </si>
  <si>
    <t>DAVID 1,5</t>
  </si>
  <si>
    <t>YMLUI236297936</t>
  </si>
  <si>
    <t>YANGMING</t>
  </si>
  <si>
    <t>YMLU6806050/20FR</t>
  </si>
  <si>
    <t>3X20FR &amp; 2X40HQ</t>
  </si>
  <si>
    <t>019/IMP/III/23</t>
  </si>
  <si>
    <t>IMP/FCL/00066/23</t>
  </si>
  <si>
    <t>TEMU8945729/40HQ</t>
  </si>
  <si>
    <t>YMLU6811668/20FR</t>
  </si>
  <si>
    <t>FCIU7525942/40HC</t>
  </si>
  <si>
    <t>YMLU6811879/20FR</t>
  </si>
  <si>
    <t>PT. NATA KIMINDO PRATAMA</t>
  </si>
  <si>
    <t>784-38399561</t>
  </si>
  <si>
    <t>CZ</t>
  </si>
  <si>
    <t>5 PCP / 67 KGS</t>
  </si>
  <si>
    <t>02/IMP/IV/2023</t>
  </si>
  <si>
    <t>000092</t>
  </si>
  <si>
    <t>SHENZEN</t>
  </si>
  <si>
    <t>GAPURA (GPRA)</t>
  </si>
  <si>
    <t>NKP</t>
  </si>
  <si>
    <t>IMP/FCL/0067/23</t>
  </si>
  <si>
    <t>WS230400017 / 695-41501456</t>
  </si>
  <si>
    <t>01/IMP/IV/23</t>
  </si>
  <si>
    <t>000425</t>
  </si>
  <si>
    <t>CARDIG (CIMP)</t>
  </si>
  <si>
    <t>KINGDOM 1,4</t>
  </si>
  <si>
    <t>IMP/AIR/00068/23</t>
  </si>
  <si>
    <t>SGNCB23006190</t>
  </si>
  <si>
    <t>SEGU1511447</t>
  </si>
  <si>
    <t>020/IMP/IV/23</t>
  </si>
  <si>
    <t>000017</t>
  </si>
  <si>
    <t>ONEYJHBD03736300</t>
  </si>
  <si>
    <t>TRIU8991613</t>
  </si>
  <si>
    <t>021/IMP/IV/23</t>
  </si>
  <si>
    <t>001363</t>
  </si>
  <si>
    <t>NCT1</t>
  </si>
  <si>
    <t>KINGDOM 1,2 BM LUNAS 14/04/23</t>
  </si>
  <si>
    <t>IMP/FCL/00074-A/23</t>
  </si>
  <si>
    <t>PT. BERINGIN MITRA GUNA</t>
  </si>
  <si>
    <t>S00216264 / OOLU2715967310</t>
  </si>
  <si>
    <t>SANCO/OOCL - OF / CC</t>
  </si>
  <si>
    <t>CSLU1764270</t>
  </si>
  <si>
    <t>00004/IMP/III/23</t>
  </si>
  <si>
    <t>001358</t>
  </si>
  <si>
    <t>SHANTOU</t>
  </si>
  <si>
    <t>IMP/FCL/00071-A/B/23</t>
  </si>
  <si>
    <t>WFLQDCJKT23032237</t>
  </si>
  <si>
    <t>WIN FAST</t>
  </si>
  <si>
    <t>UACU3854968</t>
  </si>
  <si>
    <t>0022/IMP/IV/23</t>
  </si>
  <si>
    <t>000015</t>
  </si>
  <si>
    <t>HANABI 1,5</t>
  </si>
  <si>
    <t>IMP/FCL/00072-A/23</t>
  </si>
  <si>
    <t>CEM0101191</t>
  </si>
  <si>
    <t>APZU4680137</t>
  </si>
  <si>
    <t>12X40HQ &amp; 1X20GP</t>
  </si>
  <si>
    <t>024/IMP/IV/23</t>
  </si>
  <si>
    <t>001367</t>
  </si>
  <si>
    <t>DALIAN - CHINA</t>
  </si>
  <si>
    <t>PMP 1,7X7, ASM 1,8X3, PTP 1,9X2 &amp; HANABI 1,5X20GP</t>
  </si>
  <si>
    <t>IMP/FCL/00075/23</t>
  </si>
  <si>
    <t>APZU4817209</t>
  </si>
  <si>
    <t>CMAU3314761</t>
  </si>
  <si>
    <t>CMAU3314798</t>
  </si>
  <si>
    <t>CMAU3314801</t>
  </si>
  <si>
    <t>CMAU3314817</t>
  </si>
  <si>
    <t>CMAU3314951</t>
  </si>
  <si>
    <t>CMAU8326723</t>
  </si>
  <si>
    <t>CMAU9027877</t>
  </si>
  <si>
    <t>IKSU4125955</t>
  </si>
  <si>
    <t>TCKU1803543</t>
  </si>
  <si>
    <t>TCKU4541724</t>
  </si>
  <si>
    <t>TGHU4932448</t>
  </si>
  <si>
    <t xml:space="preserve">INVOICE ALISPED &amp; CUSTOM </t>
  </si>
  <si>
    <t>MRKU3761795</t>
  </si>
  <si>
    <t>2X40DR</t>
  </si>
  <si>
    <t>023/IMP/IV/23</t>
  </si>
  <si>
    <t>001362</t>
  </si>
  <si>
    <t>PMP 1,7X2 + TOESLAGH 50%</t>
  </si>
  <si>
    <t xml:space="preserve">IMP/FCL/00081-A/23, IMP/FCL/00081-B/23 </t>
  </si>
  <si>
    <t>MRSU4375911</t>
  </si>
  <si>
    <t>COAU8034361490</t>
  </si>
  <si>
    <t>IMPORT, CC &amp; TRUCK</t>
  </si>
  <si>
    <t>CCLU5254714</t>
  </si>
  <si>
    <t>4X40GP</t>
  </si>
  <si>
    <t>025/IMP/IV/23</t>
  </si>
  <si>
    <t>001366</t>
  </si>
  <si>
    <t>PMP 1,7</t>
  </si>
  <si>
    <t xml:space="preserve">IMP/FCL/00082/23, IMP/FCL/00082-A/23 </t>
  </si>
  <si>
    <t>CCLU5290049</t>
  </si>
  <si>
    <t>CCLU5163888</t>
  </si>
  <si>
    <t>OOLU4282553</t>
  </si>
  <si>
    <t>COAU7243633300</t>
  </si>
  <si>
    <t>CXDU1371141</t>
  </si>
  <si>
    <t>026/IMP/IV/23</t>
  </si>
  <si>
    <t>001365</t>
  </si>
  <si>
    <t xml:space="preserve">IMP/FCL/00083/23, IMP/FCL/00083-A/23 </t>
  </si>
  <si>
    <t>CCLU5262134</t>
  </si>
  <si>
    <t>OOLU4362854</t>
  </si>
  <si>
    <t>GESU6653096</t>
  </si>
  <si>
    <t>IMPORT INV, CC &amp; TRUCK</t>
  </si>
  <si>
    <t>CIPU5226894</t>
  </si>
  <si>
    <t>5X40DRY</t>
  </si>
  <si>
    <t>029/IMP/IV/23</t>
  </si>
  <si>
    <t>000016</t>
  </si>
  <si>
    <t>IMP/FCL/00089/23</t>
  </si>
  <si>
    <t>31/05/2023 OF &amp; 17/07/2023 CC</t>
  </si>
  <si>
    <t>HASU4462533</t>
  </si>
  <si>
    <t>APMU8041299</t>
  </si>
  <si>
    <t>MRSU5394876</t>
  </si>
  <si>
    <t>SUDU8574581</t>
  </si>
  <si>
    <t>MSKU9318180</t>
  </si>
  <si>
    <t>4X40DRY</t>
  </si>
  <si>
    <t>028/IMP/IV/23</t>
  </si>
  <si>
    <t>000019</t>
  </si>
  <si>
    <t>IMP/FCL/00091/23</t>
  </si>
  <si>
    <t>31/05/2023 OF</t>
  </si>
  <si>
    <t>MSKU9685267</t>
  </si>
  <si>
    <t>MSKU9867430</t>
  </si>
  <si>
    <t>TCKU7408654</t>
  </si>
  <si>
    <t>MRSU4084829</t>
  </si>
  <si>
    <t>030/IMP/IV/23</t>
  </si>
  <si>
    <t>IMP/FCL/00090/23</t>
  </si>
  <si>
    <t>31/05/2023 OF / 13/11/23</t>
  </si>
  <si>
    <t>HASU4873745</t>
  </si>
  <si>
    <t>MRKU3872145</t>
  </si>
  <si>
    <t>SUDU6948492</t>
  </si>
  <si>
    <t>10X40DR</t>
  </si>
  <si>
    <t>031/IMP/IV/23</t>
  </si>
  <si>
    <t>000018</t>
  </si>
  <si>
    <t xml:space="preserve">PMP </t>
  </si>
  <si>
    <t>IMP/FCL/00088/23</t>
  </si>
  <si>
    <t>MRKU3556229</t>
  </si>
  <si>
    <t>MRSU4541273</t>
  </si>
  <si>
    <t>MRKU6425639</t>
  </si>
  <si>
    <t>MRKU4413500</t>
  </si>
  <si>
    <t>HASU4331390</t>
  </si>
  <si>
    <t>MRSU5756743</t>
  </si>
  <si>
    <t>TCKU7320429</t>
  </si>
  <si>
    <t>MRKU4271112</t>
  </si>
  <si>
    <t>MRKU3198233</t>
  </si>
  <si>
    <t>144DX03316</t>
  </si>
  <si>
    <t>WHSU2240814 &amp; WHSU2740785</t>
  </si>
  <si>
    <t>2X20SD</t>
  </si>
  <si>
    <t>032/IMP/IV/23</t>
  </si>
  <si>
    <t>CHENNAI - INDIA</t>
  </si>
  <si>
    <t>17/05/202</t>
  </si>
  <si>
    <t>HANABI 1,650</t>
  </si>
  <si>
    <t>IMP/FCL/000105-A/23</t>
  </si>
  <si>
    <t xml:space="preserve">PT. Belva Transtama Abadi / Sh: PT. Diza Aishwarya Global </t>
  </si>
  <si>
    <t>ARM0293828</t>
  </si>
  <si>
    <t>1X20ST</t>
  </si>
  <si>
    <t>003/CX/23</t>
  </si>
  <si>
    <t>LIANHUSHAN-CHINA</t>
  </si>
  <si>
    <t>STUFF : RABU, 12/04/2023</t>
  </si>
  <si>
    <t>KINGDOM 1,6JT</t>
  </si>
  <si>
    <t xml:space="preserve">17/04/23 TITIP KA ARI </t>
  </si>
  <si>
    <t>EXP/FCL/BT/000003/23</t>
  </si>
  <si>
    <t>LOKAL / DOMESTIK</t>
  </si>
  <si>
    <t>PT. CITRA NIAGA LOGISTIK / RADHIKA CARGO SERVICE</t>
  </si>
  <si>
    <t>BJKTC23012281</t>
  </si>
  <si>
    <t>LOKAL TRUCK ONLY</t>
  </si>
  <si>
    <t>MERATUS</t>
  </si>
  <si>
    <t>MRTU9607274 / H208454</t>
  </si>
  <si>
    <t>003/OTH/23</t>
  </si>
  <si>
    <t>JKT-MAKASSAR</t>
  </si>
  <si>
    <t>TER2 / CY 216</t>
  </si>
  <si>
    <t>STUFFING: JUMAT 14-15/04/2023</t>
  </si>
  <si>
    <t>PTP 1,8 X 2</t>
  </si>
  <si>
    <t>17/04/23 TITIP KA ARI</t>
  </si>
  <si>
    <t>EXP/FCL/RC/00004/23</t>
  </si>
  <si>
    <t>SPK NO 048/SKPB-MSD-HE/IV/2023</t>
  </si>
  <si>
    <t>DOMESTIK</t>
  </si>
  <si>
    <t>KAPAL RORO</t>
  </si>
  <si>
    <t>3 UNIT BULLDOSER</t>
  </si>
  <si>
    <t>0001/DOM/IV/23</t>
  </si>
  <si>
    <t>JKT-BANJARMASIN</t>
  </si>
  <si>
    <t>JATAKE-MERAK-BANJARMASIN</t>
  </si>
  <si>
    <t>STUFFING: RABU, 12/4/2023</t>
  </si>
  <si>
    <t>SURYA PANDAWA NUSA</t>
  </si>
  <si>
    <t>IMP/FCL/00079/23</t>
  </si>
  <si>
    <t>LIST CUST MEI 2023 (ATLANTIK/ANTILIA)</t>
  </si>
  <si>
    <t>KMTCSGN4661962</t>
  </si>
  <si>
    <t>FCIU6142297</t>
  </si>
  <si>
    <t>1X20DC</t>
  </si>
  <si>
    <t>033/IMP/IV/23</t>
  </si>
  <si>
    <t>000020</t>
  </si>
  <si>
    <t>IMP/FCL/000106-A/23</t>
  </si>
  <si>
    <t>MSKU8952395</t>
  </si>
  <si>
    <t>4X40DRY &amp; 1X20GP</t>
  </si>
  <si>
    <t>034/IMP/IV/23</t>
  </si>
  <si>
    <t>001374</t>
  </si>
  <si>
    <t xml:space="preserve">PMP 1,6/20 &amp; 1,7X4 </t>
  </si>
  <si>
    <t>IMP/FCL/00092/23</t>
  </si>
  <si>
    <t>XINU1645900</t>
  </si>
  <si>
    <t>WS230400084/CMZ1081293</t>
  </si>
  <si>
    <t>IMPORT, OF &amp; CUSTOM</t>
  </si>
  <si>
    <t>WINSHARE / CNC</t>
  </si>
  <si>
    <t>APZU3318838</t>
  </si>
  <si>
    <t>011/IMP/IV/23</t>
  </si>
  <si>
    <t>001372</t>
  </si>
  <si>
    <t>15/06/2023</t>
  </si>
  <si>
    <t xml:space="preserve">IMP/FCL/00094-A/23, IMP/FCL/00094-B/23 </t>
  </si>
  <si>
    <t>GTD0776598</t>
  </si>
  <si>
    <t>BMOU5291636</t>
  </si>
  <si>
    <t>001/IMP/V/23</t>
  </si>
  <si>
    <t>001376</t>
  </si>
  <si>
    <t>LAEM CHABANG - THAILAND</t>
  </si>
  <si>
    <t>IMP/FCL/001009/23</t>
  </si>
  <si>
    <t>23/06/203</t>
  </si>
  <si>
    <t>CMAU5913671</t>
  </si>
  <si>
    <t>MSKU1483573</t>
  </si>
  <si>
    <t>3X40DRY</t>
  </si>
  <si>
    <t>035/IMP/IV/23</t>
  </si>
  <si>
    <t>001375</t>
  </si>
  <si>
    <t>IMP/FCL/00093/23</t>
  </si>
  <si>
    <t>MRKU5234176</t>
  </si>
  <si>
    <t>MSKU1598295</t>
  </si>
  <si>
    <t>OOLU2139437570</t>
  </si>
  <si>
    <t>OOCL</t>
  </si>
  <si>
    <t>OOCU7557600</t>
  </si>
  <si>
    <t>027/IMP/IV/23</t>
  </si>
  <si>
    <t>KINGDOM 1,2</t>
  </si>
  <si>
    <t>IMP/FCL/000101/23</t>
  </si>
  <si>
    <t>CNICB23006450001</t>
  </si>
  <si>
    <t>REGU3269408</t>
  </si>
  <si>
    <t>002/IMP/V/23</t>
  </si>
  <si>
    <t>000022</t>
  </si>
  <si>
    <t>CHENAI</t>
  </si>
  <si>
    <t>IMP/FCL/000107-A/23</t>
  </si>
  <si>
    <t>PT. CITRA PERDANA PUTRA</t>
  </si>
  <si>
    <t>TSNA59929200</t>
  </si>
  <si>
    <t>IMPORT CUSTOM AND TRUCK</t>
  </si>
  <si>
    <t>HMM</t>
  </si>
  <si>
    <t>HMMU2046910</t>
  </si>
  <si>
    <t>006/IMP/V/23</t>
  </si>
  <si>
    <t>001382</t>
  </si>
  <si>
    <t>KINGDOM 1,450 &amp; PMP 1,4</t>
  </si>
  <si>
    <t>IMP/FCL/000137-A/23</t>
  </si>
  <si>
    <t>WFHU1463502</t>
  </si>
  <si>
    <t>BCA 7015107219 A/N Dewi Arpiyati</t>
  </si>
  <si>
    <t>DELJAK210530</t>
  </si>
  <si>
    <t>CARGO PORT</t>
  </si>
  <si>
    <t>3 PALET / 82 BAG / 1,950KGS / 3,756CBM</t>
  </si>
  <si>
    <t>036/IMP/IV/23</t>
  </si>
  <si>
    <t>000021</t>
  </si>
  <si>
    <t>ICD TKD NEW DELHI</t>
  </si>
  <si>
    <t>IMP/LCL/000129/23</t>
  </si>
  <si>
    <t>HASLS21230500344</t>
  </si>
  <si>
    <t>SKLU1986954</t>
  </si>
  <si>
    <t>008/IMP/V/23</t>
  </si>
  <si>
    <t>000023</t>
  </si>
  <si>
    <t>KINGDOM 1,450K</t>
  </si>
  <si>
    <t>IMP/FCL/000134-A/23</t>
  </si>
  <si>
    <t>SNKO190230403352</t>
  </si>
  <si>
    <t>SINOKOR</t>
  </si>
  <si>
    <t>BMOU5416986</t>
  </si>
  <si>
    <t>6X40HQ</t>
  </si>
  <si>
    <t>010/IMP/V/23</t>
  </si>
  <si>
    <t>001383</t>
  </si>
  <si>
    <t>24/05/2023</t>
  </si>
  <si>
    <t>25/05/2023</t>
  </si>
  <si>
    <t>PMP 1,7 (2)</t>
  </si>
  <si>
    <t xml:space="preserve">IMP/FCL/00131/23, IMP/FCL/00131-A/23 </t>
  </si>
  <si>
    <t>GESU6424016</t>
  </si>
  <si>
    <t>SKHU9110487</t>
  </si>
  <si>
    <t>SKHU9542161</t>
  </si>
  <si>
    <t>TCNU8532622</t>
  </si>
  <si>
    <t>TCNU8533300</t>
  </si>
  <si>
    <t>HASU4215940</t>
  </si>
  <si>
    <t>8X40DRY</t>
  </si>
  <si>
    <t>003/IMP/V/23</t>
  </si>
  <si>
    <t>001381</t>
  </si>
  <si>
    <t xml:space="preserve">IMP/FCL/00132-A/23, IMP/FCL/00132-A/23 </t>
  </si>
  <si>
    <t>HASU4713958</t>
  </si>
  <si>
    <t>HASU4011798</t>
  </si>
  <si>
    <t>MSKU9247790</t>
  </si>
  <si>
    <t>MRKU5712974</t>
  </si>
  <si>
    <t>TEMU7189545</t>
  </si>
  <si>
    <t>MRSU4773319</t>
  </si>
  <si>
    <t>MRSU3242534</t>
  </si>
  <si>
    <t>CNICB2300694402</t>
  </si>
  <si>
    <t>CAIU3265073</t>
  </si>
  <si>
    <t>009/IMP/V/23</t>
  </si>
  <si>
    <t>000024</t>
  </si>
  <si>
    <t>IMP/FCL/000133-A/23</t>
  </si>
  <si>
    <t>GTD0782596</t>
  </si>
  <si>
    <t>CMAU7319376</t>
  </si>
  <si>
    <t>4X40DR</t>
  </si>
  <si>
    <t>012/IMP/V/23</t>
  </si>
  <si>
    <t>001385</t>
  </si>
  <si>
    <t>PATOGAR 1,650/40HQ</t>
  </si>
  <si>
    <t xml:space="preserve">IMP/FCL/00130/23, IMP/FCL/00130-A/23 </t>
  </si>
  <si>
    <t>SEGU4820455</t>
  </si>
  <si>
    <t>TGHU9899213</t>
  </si>
  <si>
    <t>CMAU031807</t>
  </si>
  <si>
    <t>205-20968356</t>
  </si>
  <si>
    <t>NH</t>
  </si>
  <si>
    <t>10PK / 136KGS</t>
  </si>
  <si>
    <t>03/IMP/V/23</t>
  </si>
  <si>
    <t>IMP/AIR/000120-A/23</t>
  </si>
  <si>
    <t>19/07/2023</t>
  </si>
  <si>
    <t>PT. SINERGI MANDIRI SELARAS</t>
  </si>
  <si>
    <t>H700204875 / GEN102157</t>
  </si>
  <si>
    <t>IMPORT JASA EDIT &amp; STAMP ONLY</t>
  </si>
  <si>
    <t>PT. PORT ALLIANCE/CMA</t>
  </si>
  <si>
    <t>SGCU4548916, TCLU7001183 &amp; TRIU0569807</t>
  </si>
  <si>
    <t>3X40OT</t>
  </si>
  <si>
    <t>005/IMP/V/23</t>
  </si>
  <si>
    <t>GENOA</t>
  </si>
  <si>
    <t>23/05/2023</t>
  </si>
  <si>
    <t>IMP/FCL/00097/23</t>
  </si>
  <si>
    <t>BCA A/N SITI RUKAYA SIAHAAN 7410419356 / BCA BAMBANG</t>
  </si>
  <si>
    <t>MX/19/802568 / ONEYGOAV38152500</t>
  </si>
  <si>
    <t>PT. ACT LOG / ONE</t>
  </si>
  <si>
    <t>TRLU5040791, CRTU7613215, TRLU5946955, NYKU0510209 &amp; CAIU5607365</t>
  </si>
  <si>
    <t>5X40OT</t>
  </si>
  <si>
    <t>004/IMP/V/23</t>
  </si>
  <si>
    <t>IMP/FCL/00098/23</t>
  </si>
  <si>
    <t>PT. KARUNIA MAS SEWATAMA / TUNAS SUMBER</t>
  </si>
  <si>
    <t>TRUCK ONLY NON PPN</t>
  </si>
  <si>
    <t>TEMU3453984</t>
  </si>
  <si>
    <t>1X20DRY</t>
  </si>
  <si>
    <t>006/IMP/23</t>
  </si>
  <si>
    <t>16/05/2023</t>
  </si>
  <si>
    <t>IMP/FCL/KM3/00005/23</t>
  </si>
  <si>
    <t>BCA A/N SITI RUKAYA SIAHAAN 7410419356</t>
  </si>
  <si>
    <t>SH: PT. TUNAS SUMBER IDEAKREASI KIMIA FW: TRACLINEOO</t>
  </si>
  <si>
    <t>SHJK230028PK</t>
  </si>
  <si>
    <t>EXPORT, COO ONLY</t>
  </si>
  <si>
    <t>002A/EXP/V/23</t>
  </si>
  <si>
    <t>PORT KELANG NORTH</t>
  </si>
  <si>
    <t>STUFF : JUMAT, 28/04/2023</t>
  </si>
  <si>
    <t>14/06/2023</t>
  </si>
  <si>
    <t>PT. OBOR INDONESIA PRATAMA</t>
  </si>
  <si>
    <t>049DX03763</t>
  </si>
  <si>
    <t>EXPORT CUSTOM</t>
  </si>
  <si>
    <t>WHSU6560360 &amp; WHSU6675630</t>
  </si>
  <si>
    <t>006/OTH/23</t>
  </si>
  <si>
    <t>STUFF : SELASA, 09/05/2023</t>
  </si>
  <si>
    <t>PMP 600X2</t>
  </si>
  <si>
    <t>EXP/FCL/00105/23</t>
  </si>
  <si>
    <t>049DX03975</t>
  </si>
  <si>
    <t>WHLU5756711</t>
  </si>
  <si>
    <t>009/OTH/23</t>
  </si>
  <si>
    <t>STUFF : SELASA, 16/05/2023</t>
  </si>
  <si>
    <t>PMP 600</t>
  </si>
  <si>
    <t>EXP/FCL/00104/23</t>
  </si>
  <si>
    <t>049DX03974</t>
  </si>
  <si>
    <t>WHLU5629928</t>
  </si>
  <si>
    <t>008/OTH/23</t>
  </si>
  <si>
    <t>EXP/FCL/00103/23</t>
  </si>
  <si>
    <t>23/05/23 BYR 1,5 SISA NYA BELUM - 25/08/2023</t>
  </si>
  <si>
    <t>OERT110702M00610</t>
  </si>
  <si>
    <t>OEC FREIGHT</t>
  </si>
  <si>
    <t>TEMU1020901 / C9104670</t>
  </si>
  <si>
    <t>010/OTH/23</t>
  </si>
  <si>
    <t>NEW YORK</t>
  </si>
  <si>
    <t>STUFFING : KAMIS, 25/05/2023</t>
  </si>
  <si>
    <t>PMP 1,550</t>
  </si>
  <si>
    <t>EXP/FCL/00108/23</t>
  </si>
  <si>
    <t>SPK NO 052/SKPB-MSD-HE/IV/2023</t>
  </si>
  <si>
    <t>TOWING</t>
  </si>
  <si>
    <t>1 UNIT</t>
  </si>
  <si>
    <t>002/DOM/IV/23</t>
  </si>
  <si>
    <t>JKT-BALI</t>
  </si>
  <si>
    <t>DOM/FCL/00095/23</t>
  </si>
  <si>
    <t>SPK NO 110/SKPB-MSD-MH/V/2023</t>
  </si>
  <si>
    <t>00003/DOM/V/23</t>
  </si>
  <si>
    <t>JATAKE-JAMBI</t>
  </si>
  <si>
    <t>STUFFING: JUMAT, 26/05/2023</t>
  </si>
  <si>
    <t>BERKAH LAKSAMANA CHENGHO</t>
  </si>
  <si>
    <t xml:space="preserve">DOM/FCL/00113/23 </t>
  </si>
  <si>
    <t>BIT1023042000001</t>
  </si>
  <si>
    <t>CHARCOAL</t>
  </si>
  <si>
    <t>TEGU6813097 &amp; TEGU6805722</t>
  </si>
  <si>
    <t>005/OTH/23</t>
  </si>
  <si>
    <t>BITUNG-JKT</t>
  </si>
  <si>
    <t>TER3 - KD211</t>
  </si>
  <si>
    <t>PMP 1,2</t>
  </si>
  <si>
    <t>EXP/FCL/00099/23</t>
  </si>
  <si>
    <t>BIT1023050600005</t>
  </si>
  <si>
    <t>TEGU6804264 &amp; TEGU6807772</t>
  </si>
  <si>
    <t>007/OTH/23</t>
  </si>
  <si>
    <t>TER2</t>
  </si>
  <si>
    <t>EXP/FCL/00100/23</t>
  </si>
  <si>
    <t>LIST CUST JUNI 2023 (ATLANTIK/ANTILIA)</t>
  </si>
  <si>
    <t>PT. AGRAPRANA EKSPRESS</t>
  </si>
  <si>
    <t>IMPORT OF ONLY</t>
  </si>
  <si>
    <t>OSLINE</t>
  </si>
  <si>
    <t>2050KG / 4,462CBM</t>
  </si>
  <si>
    <t>037/IMP/IV/23</t>
  </si>
  <si>
    <t>ROTTERDAM</t>
  </si>
  <si>
    <t>IMP/LCL/000118-19/23</t>
  </si>
  <si>
    <t>COAU8038084470</t>
  </si>
  <si>
    <t>DFSU1723760</t>
  </si>
  <si>
    <t>011/IMP/V/23</t>
  </si>
  <si>
    <t>001384</t>
  </si>
  <si>
    <t>PMP 1,4 + KINGDOM 1,45</t>
  </si>
  <si>
    <t>IMP/FCL/000121-A/23</t>
  </si>
  <si>
    <t>OOLU1822431</t>
  </si>
  <si>
    <t>CMAU7859841</t>
  </si>
  <si>
    <t>007/IMP/V/23</t>
  </si>
  <si>
    <t>000025</t>
  </si>
  <si>
    <t>PATOGAR 1,650</t>
  </si>
  <si>
    <t>IMP/FCL/000122-23</t>
  </si>
  <si>
    <t xml:space="preserve">SEALAND </t>
  </si>
  <si>
    <t>HASU1127629</t>
  </si>
  <si>
    <t>013/IMP/V/23</t>
  </si>
  <si>
    <t>DAVID 1,450 15/06/23 INV TERIMA</t>
  </si>
  <si>
    <t>IMP/FCL/000138-A/23</t>
  </si>
  <si>
    <t xml:space="preserve">BCA  7015107219 A/N DEWI ARPIYATI </t>
  </si>
  <si>
    <t>SITGSHSRQ116404</t>
  </si>
  <si>
    <t>IMPORT INV ONLY</t>
  </si>
  <si>
    <t>SITC</t>
  </si>
  <si>
    <t>SITU0403410</t>
  </si>
  <si>
    <t>2X40FR &amp; 1X40HQ</t>
  </si>
  <si>
    <t>014/IMP/V/23</t>
  </si>
  <si>
    <t>000028</t>
  </si>
  <si>
    <t xml:space="preserve">IMP/FCL/00124/23 </t>
  </si>
  <si>
    <t>TLLU1495087</t>
  </si>
  <si>
    <t>TCKU616828</t>
  </si>
  <si>
    <t>EGLV235300605401</t>
  </si>
  <si>
    <t>EVERGREEN</t>
  </si>
  <si>
    <t>EITU0277827</t>
  </si>
  <si>
    <t>002/IMP/VI/23</t>
  </si>
  <si>
    <t>PMP 1,650</t>
  </si>
  <si>
    <t>IMP/FCL/000152-A/23</t>
  </si>
  <si>
    <t>0408/2023</t>
  </si>
  <si>
    <t>JJCSHSYA337408</t>
  </si>
  <si>
    <t>FORESCASTLE</t>
  </si>
  <si>
    <t>TWCU2166707</t>
  </si>
  <si>
    <t>015/IMP/V/23</t>
  </si>
  <si>
    <t>002212</t>
  </si>
  <si>
    <t>ALOR BINTANG SBY 1,650 + 300</t>
  </si>
  <si>
    <t>17/07/2023</t>
  </si>
  <si>
    <t>IMP/FCL/000162/23</t>
  </si>
  <si>
    <t>24/10/2023</t>
  </si>
  <si>
    <t>COAU8038243870</t>
  </si>
  <si>
    <t>CBHU4407418</t>
  </si>
  <si>
    <t>004/IMP/VI/23</t>
  </si>
  <si>
    <t>000029</t>
  </si>
  <si>
    <t>16/06/2023 &amp; 21/06/2023</t>
  </si>
  <si>
    <t xml:space="preserve">17/06/2023 &amp; 20/06/2023 DENDA SPPB KONFIRM </t>
  </si>
  <si>
    <t>DAVID 1,5 PT. TURANGGA CAHYA SINERGI - INV SDH DI KASIH KE SHINTA</t>
  </si>
  <si>
    <t>IMP/FCL/0000148-A/23</t>
  </si>
  <si>
    <t>CSLU1562073</t>
  </si>
  <si>
    <t>CSNU1689065</t>
  </si>
  <si>
    <t>AXI0240929</t>
  </si>
  <si>
    <t>FFAU4893692</t>
  </si>
  <si>
    <t>001/IMP/VI/23</t>
  </si>
  <si>
    <t>001387</t>
  </si>
  <si>
    <t>20/06/2023 DO BLM DAPAT JUGA</t>
  </si>
  <si>
    <t>INV TRUCK 26/06/23</t>
  </si>
  <si>
    <t>IMP/FCL/00151/23</t>
  </si>
  <si>
    <t>03/07/2023 OF &amp; 17/07/2023 CC 14/08/2023</t>
  </si>
  <si>
    <t>CMAU7609101</t>
  </si>
  <si>
    <t>CMAU8421886</t>
  </si>
  <si>
    <t>TRHU4304844</t>
  </si>
  <si>
    <t>MCC</t>
  </si>
  <si>
    <t>MRKU2462402</t>
  </si>
  <si>
    <t>1X40DRY</t>
  </si>
  <si>
    <t>XIAMEN/JKT</t>
  </si>
  <si>
    <t>SPJM  &amp; SPPB 3/07/2023</t>
  </si>
  <si>
    <t>DAVID 1,2</t>
  </si>
  <si>
    <t>18/07/2023</t>
  </si>
  <si>
    <t>IMP/FCL/00168/23</t>
  </si>
  <si>
    <t>CRSU1319452</t>
  </si>
  <si>
    <t>006/IMP/VI/23</t>
  </si>
  <si>
    <t>000030</t>
  </si>
  <si>
    <t>SPJM  15/06/2023 - 22/06/2023 SPPB</t>
  </si>
  <si>
    <t>MJT 1,1</t>
  </si>
  <si>
    <t>IMP/FCL/00169/23</t>
  </si>
  <si>
    <t>MRSU4424370</t>
  </si>
  <si>
    <t>003/IMP/VI/23</t>
  </si>
  <si>
    <t xml:space="preserve">IMP/FCL/000165/23 &amp; IMP/FCL/000164/23, IMP/FCL/000165-A/23 </t>
  </si>
  <si>
    <t>02/08/2023 &amp; 22/08/2023</t>
  </si>
  <si>
    <t>MRKU4714268</t>
  </si>
  <si>
    <t>PONU7909645</t>
  </si>
  <si>
    <t>OOLU8894095020</t>
  </si>
  <si>
    <t>OOLU0141860</t>
  </si>
  <si>
    <t>005/IMP/VI/23</t>
  </si>
  <si>
    <t>QINZHOU</t>
  </si>
  <si>
    <t>06/07/2023 KARANTINA LIBUR</t>
  </si>
  <si>
    <t>22/6/23 DP BILLING</t>
  </si>
  <si>
    <t>IMP/FCL/000163-A/23</t>
  </si>
  <si>
    <t>JKT300310800</t>
  </si>
  <si>
    <t>EXPORT CC</t>
  </si>
  <si>
    <t>PIL</t>
  </si>
  <si>
    <t>PCIU1306335 &amp; PCIU1683452</t>
  </si>
  <si>
    <t>011/OTH/23</t>
  </si>
  <si>
    <t>011379</t>
  </si>
  <si>
    <t>LAEMCHABANG</t>
  </si>
  <si>
    <t>SPM</t>
  </si>
  <si>
    <t>STUFFING : RABU, 07 JUNI 2023</t>
  </si>
  <si>
    <t>EXP/FCL/000125/23</t>
  </si>
  <si>
    <t>049DX04730</t>
  </si>
  <si>
    <t>WHSU6163634</t>
  </si>
  <si>
    <t>013/OTH/23</t>
  </si>
  <si>
    <t>STUFF : SENIN, 12/06/2023</t>
  </si>
  <si>
    <t>EXP/FCL/00143/23</t>
  </si>
  <si>
    <t>049DX04731</t>
  </si>
  <si>
    <t>WHSU5619416</t>
  </si>
  <si>
    <t>014/OTH/23</t>
  </si>
  <si>
    <t>EXP/FCL/00144/23</t>
  </si>
  <si>
    <t>PT. RAMADYA CAKRA SEMESTA</t>
  </si>
  <si>
    <t>0106/SKPB-ARL/VI/DOM/2023</t>
  </si>
  <si>
    <t>KAI LOG</t>
  </si>
  <si>
    <t>CLHU3195628</t>
  </si>
  <si>
    <t>1X20"</t>
  </si>
  <si>
    <t>004/DOM/VI/23</t>
  </si>
  <si>
    <t>CIKARANG - KENDARI</t>
  </si>
  <si>
    <t>PICK UP</t>
  </si>
  <si>
    <t>06/06/2023 JKT 15/06/2023 SUB</t>
  </si>
  <si>
    <t>STUFFING : SENIN, 05 JUNI 2023</t>
  </si>
  <si>
    <t>KAI 19JT</t>
  </si>
  <si>
    <t>DOM/FCL/00015/23</t>
  </si>
  <si>
    <t>BIT1023060300002</t>
  </si>
  <si>
    <t>TEGU6813348, TEGU6803102 &amp; TEGU6812064</t>
  </si>
  <si>
    <t>012/OTH/23</t>
  </si>
  <si>
    <t>DOM/FCL/00142/23</t>
  </si>
  <si>
    <t>LIST CUST JULI 2023 (ANTILLIA)</t>
  </si>
  <si>
    <t>COAU8038801920</t>
  </si>
  <si>
    <t>OOLU0249449</t>
  </si>
  <si>
    <t>008/IMP/VI/23</t>
  </si>
  <si>
    <t>MJT 1,5 + PMP 1,450 KINGDOM 1,4</t>
  </si>
  <si>
    <t>IMP/FCL/000175-A/23</t>
  </si>
  <si>
    <t>24/08/2023 -REIMBURS BLM DI BYAR - 27/09/2023</t>
  </si>
  <si>
    <t>CSLU1633876</t>
  </si>
  <si>
    <t>FCIU5196302</t>
  </si>
  <si>
    <t>BCA A/N DEWI</t>
  </si>
  <si>
    <t>KMTCTAO6894383</t>
  </si>
  <si>
    <t>TEMU5020411</t>
  </si>
  <si>
    <t xml:space="preserve">1X20GP </t>
  </si>
  <si>
    <t>011/IMP/VI/23</t>
  </si>
  <si>
    <t>000033</t>
  </si>
  <si>
    <t>IMP/FCL/000174-A/23</t>
  </si>
  <si>
    <t>SITGSHJTQ118116</t>
  </si>
  <si>
    <t>MAGU2265385/20GP</t>
  </si>
  <si>
    <t>1X20GP, 5X40FR &amp; 2X40HQ</t>
  </si>
  <si>
    <t>009/IMP/VI/23</t>
  </si>
  <si>
    <t>IMP/FCL/000149/23</t>
  </si>
  <si>
    <t>SEGU7649794</t>
  </si>
  <si>
    <t>SITU0402753</t>
  </si>
  <si>
    <t>SITU0404606</t>
  </si>
  <si>
    <t>TEXU6002490</t>
  </si>
  <si>
    <t>TLLU1499061</t>
  </si>
  <si>
    <t>TRHU5778180/40HQ</t>
  </si>
  <si>
    <t>UETU5249364/40HQ</t>
  </si>
  <si>
    <t>SITGSHJTQ118120</t>
  </si>
  <si>
    <t>IMPORT CC &amp; OF</t>
  </si>
  <si>
    <t>TLLU1493551</t>
  </si>
  <si>
    <t>1X40FR</t>
  </si>
  <si>
    <t>010/IMP/VI/23</t>
  </si>
  <si>
    <t>000034</t>
  </si>
  <si>
    <t>IBNU ALL IN 16,750,000</t>
  </si>
  <si>
    <t xml:space="preserve">IMP/FCL/000156/23, IMP/FCL/000157-A/23 </t>
  </si>
  <si>
    <t>27/07/2023 OF - 11/09/2023 CC</t>
  </si>
  <si>
    <t>WS230700039 / CPL0113847</t>
  </si>
  <si>
    <t>BEAU2181409 / 20”</t>
  </si>
  <si>
    <t>3X40HQ &amp; 1X20GP</t>
  </si>
  <si>
    <t>008/IMP/VII/23</t>
  </si>
  <si>
    <t>000040</t>
  </si>
  <si>
    <t>PMP 1,6 &amp; 1,7</t>
  </si>
  <si>
    <t xml:space="preserve"> IMP/FCL/000202/23, IMP/FCL/000203-A/23  IDR</t>
  </si>
  <si>
    <t>04/09/2023 OF - 18/09/2023 CC</t>
  </si>
  <si>
    <t xml:space="preserve">    TCKU6354893/ 40”</t>
  </si>
  <si>
    <t xml:space="preserve">    TCNU1176828 / 40’’</t>
  </si>
  <si>
    <t xml:space="preserve">    FFAU4226473 / 40’</t>
  </si>
  <si>
    <t>WS230700008 / MEDUQC689674</t>
  </si>
  <si>
    <t>WANHAI / WIN SHARE YOLANDA</t>
  </si>
  <si>
    <t>MSDU5861085</t>
  </si>
  <si>
    <t>003/IMP/VII/23</t>
  </si>
  <si>
    <t>000039</t>
  </si>
  <si>
    <t xml:space="preserve">IMP/FCL/000170/23, IMP/FCL/000171-A/23 </t>
  </si>
  <si>
    <t>14/08/2023 OF - 02/10/2023</t>
  </si>
  <si>
    <t>WS230700028 / 025D642007</t>
  </si>
  <si>
    <t>WHLU1402710</t>
  </si>
  <si>
    <t>2X40FR</t>
  </si>
  <si>
    <t>007/IMP/VII/23</t>
  </si>
  <si>
    <t>16/07/2023</t>
  </si>
  <si>
    <t>H. FAIS 12JT</t>
  </si>
  <si>
    <t xml:space="preserve"> IMP/FCL/000204/23, IMP/FCL/000205-A/23 </t>
  </si>
  <si>
    <t>WHLU1410187</t>
  </si>
  <si>
    <t>HCS344717JKR</t>
  </si>
  <si>
    <t>012/IMP/VI/23</t>
  </si>
  <si>
    <t>IMP/FCL/000182-A/23</t>
  </si>
  <si>
    <t>2703040501</t>
  </si>
  <si>
    <t>IMPORT CC &amp; TRUCK</t>
  </si>
  <si>
    <t>MAERSK</t>
  </si>
  <si>
    <t>TCLU2543031</t>
  </si>
  <si>
    <t>013/IMP/VI/23</t>
  </si>
  <si>
    <t>000035</t>
  </si>
  <si>
    <t>PMP 1,4 + 1,6</t>
  </si>
  <si>
    <t>IMP/FCL/000195-A/23</t>
  </si>
  <si>
    <t>HASU1530104</t>
  </si>
  <si>
    <t>BCA 7015107219 A/N DEWI ARPIYATI</t>
  </si>
  <si>
    <t>NSA-JKTG119834</t>
  </si>
  <si>
    <t>CAAU2157169</t>
  </si>
  <si>
    <t>001/IMP/VII/23</t>
  </si>
  <si>
    <t>000038</t>
  </si>
  <si>
    <t>UDI EMKL 1,550 &amp; DAVID 1,5</t>
  </si>
  <si>
    <t>IMP/FCL/000181-A/23</t>
  </si>
  <si>
    <t>SEGU3511024</t>
  </si>
  <si>
    <t>COAU8039648240</t>
  </si>
  <si>
    <t>CSLU2007516</t>
  </si>
  <si>
    <t>13/09/2023</t>
  </si>
  <si>
    <t>IMP/FCL/000209-A/23</t>
  </si>
  <si>
    <t>DFSU1020540</t>
  </si>
  <si>
    <t>OOLU2721618793</t>
  </si>
  <si>
    <t>TRHU3195667</t>
  </si>
  <si>
    <t>002/IMP/VII/23</t>
  </si>
  <si>
    <t>DAVID 1,5 NAROGONG BEKASI</t>
  </si>
  <si>
    <t>IMP/FCL/000201-A/23</t>
  </si>
  <si>
    <t>BEAU2260494</t>
  </si>
  <si>
    <t>PT. DOLPHIN FOOD &amp; BEVERAGES INDUSTRY</t>
  </si>
  <si>
    <t>1KT888751 / WB854625</t>
  </si>
  <si>
    <t>EXPORT CUSTOM &amp; TRUCKING</t>
  </si>
  <si>
    <t>SUDU5970969</t>
  </si>
  <si>
    <t>015/OTH/23</t>
  </si>
  <si>
    <t>001825</t>
  </si>
  <si>
    <t>JKT-FIJI ISLAND</t>
  </si>
  <si>
    <t>STUFFING : JUMAT, 07 JULY 2023</t>
  </si>
  <si>
    <t>PMP 1,8 + Lolo 960k</t>
  </si>
  <si>
    <t>EXP/FCL/000167/23</t>
  </si>
  <si>
    <t>JKT300380300</t>
  </si>
  <si>
    <t>MSC</t>
  </si>
  <si>
    <t>CAIU6706320 &amp; BMOU2628385</t>
  </si>
  <si>
    <t>016/OTH/23</t>
  </si>
  <si>
    <t>001090</t>
  </si>
  <si>
    <t>JKT-FELIXSTOWE</t>
  </si>
  <si>
    <t>CPC</t>
  </si>
  <si>
    <t>STUFFING: SENIN, 24 JULY 2023</t>
  </si>
  <si>
    <t>PMP 1,55</t>
  </si>
  <si>
    <t>EXP/FCL/000201-A/23</t>
  </si>
  <si>
    <t>938-36176361</t>
  </si>
  <si>
    <t>DOMESTIK AF</t>
  </si>
  <si>
    <t>KUYTRANS</t>
  </si>
  <si>
    <t xml:space="preserve">125KG </t>
  </si>
  <si>
    <t xml:space="preserve">6 SACK X 20KG </t>
  </si>
  <si>
    <t>005/DOM/VII/23</t>
  </si>
  <si>
    <t>CGK TO PADANG</t>
  </si>
  <si>
    <t>SOETTA</t>
  </si>
  <si>
    <t>KUY TRANS</t>
  </si>
  <si>
    <t>DOM/LCL/000178-79/23</t>
  </si>
  <si>
    <t>237-00130130</t>
  </si>
  <si>
    <t xml:space="preserve">5 SACK X 20KG </t>
  </si>
  <si>
    <t>006/DOM/VII/23</t>
  </si>
  <si>
    <t>CGK TO PANGKEP</t>
  </si>
  <si>
    <t>DOM/LCL/000176-77/23</t>
  </si>
  <si>
    <t>182/SKPB-MSD-MH/VII/23</t>
  </si>
  <si>
    <t>HAJI FAIZ SAHAL</t>
  </si>
  <si>
    <t>007/DOM/VII/23</t>
  </si>
  <si>
    <t>JATAKE - CAKUNG</t>
  </si>
  <si>
    <t>STUFFING: SELASA, 25 JULY 2023</t>
  </si>
  <si>
    <t>DOM/FCL/00180/23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</si>
  <si>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</si>
  <si>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CUST AGUSTUS 2023 (ANTILLIA)</t>
  </si>
  <si>
    <t>WS230700119 / JJCSHJKA389416</t>
  </si>
  <si>
    <t>IMPORT OF &amp; CC</t>
  </si>
  <si>
    <t>JJ SHIPPING</t>
  </si>
  <si>
    <t>HAHU5039970</t>
  </si>
  <si>
    <t>018/IMP/VII/23</t>
  </si>
  <si>
    <t xml:space="preserve"> IMP/FCL/000213/23, IMP/FCL/000214-A/23 </t>
  </si>
  <si>
    <t>11/09/2023 OF  - 02/10/2023</t>
  </si>
  <si>
    <t>FSCU7247917</t>
  </si>
  <si>
    <t>PT. AGRAPRANA JAYA EXPRESS / PT. POLYCHEMIE</t>
  </si>
  <si>
    <t>WS23080062 / 112-14098173</t>
  </si>
  <si>
    <t>IMPORTAF</t>
  </si>
  <si>
    <t>CHINA AIRLINE &amp; WIN SHARE</t>
  </si>
  <si>
    <t>1 PLT / 1028KGS</t>
  </si>
  <si>
    <t>BY AIR</t>
  </si>
  <si>
    <t>0014/IMP/VIII/23</t>
  </si>
  <si>
    <t>PUDONG - CGK</t>
  </si>
  <si>
    <t>AGRAPRANA AF ONLY</t>
  </si>
  <si>
    <t>IMP/AIR/000211 -212/23</t>
  </si>
  <si>
    <t>MEDUDI737468</t>
  </si>
  <si>
    <t>MSDU2320087</t>
  </si>
  <si>
    <t>004/IMP/VII/23</t>
  </si>
  <si>
    <t>001699</t>
  </si>
  <si>
    <t>UTPK III SEMARANG</t>
  </si>
  <si>
    <t>17/8/2023 &amp; 20/08/2023</t>
  </si>
  <si>
    <t>18/08/2023 &amp; 21/08/2023</t>
  </si>
  <si>
    <t>MKT 5JT X 3 UNIT</t>
  </si>
  <si>
    <t>IMP/FCL/000207-A/23</t>
  </si>
  <si>
    <t>25/10/23</t>
  </si>
  <si>
    <t>BMOU2096195</t>
  </si>
  <si>
    <t>MSCU3759070</t>
  </si>
  <si>
    <t>25/10/2023</t>
  </si>
  <si>
    <t>PT. ALADDIN INDONESIA</t>
  </si>
  <si>
    <t>CENJKT23088503</t>
  </si>
  <si>
    <t>PRECISION LOGISTIK INTERNATIONAL</t>
  </si>
  <si>
    <t>95KG / 0,66CBM</t>
  </si>
  <si>
    <t xml:space="preserve">LCL </t>
  </si>
  <si>
    <t>001/IMP/VIII/23</t>
  </si>
  <si>
    <t>000045</t>
  </si>
  <si>
    <t>23/08/2023 SELESAI STRIPPING</t>
  </si>
  <si>
    <t>JOHN 350K</t>
  </si>
  <si>
    <t>IMP/LCL/000230/23</t>
  </si>
  <si>
    <t>13/10/2023</t>
  </si>
  <si>
    <t>BCA 6630536519 A/N JEFRI NIRWANA</t>
  </si>
  <si>
    <t>WS230800054 / KMTCSHAL013520D</t>
  </si>
  <si>
    <t>WIN SHARE / KMTC</t>
  </si>
  <si>
    <t>SEKU5232213</t>
  </si>
  <si>
    <t>009/IMP/VIII/23</t>
  </si>
  <si>
    <t>SHANGHAI JKT</t>
  </si>
  <si>
    <t xml:space="preserve">IMP/FCL/000237-A/23 </t>
  </si>
  <si>
    <t>18/09/2023 OF</t>
  </si>
  <si>
    <t>WS230800080 / YMLUI236318560</t>
  </si>
  <si>
    <t>WIN SHARE  / YANGMING</t>
  </si>
  <si>
    <t>TEMU7658576</t>
  </si>
  <si>
    <t>010/IMP/VIII/23</t>
  </si>
  <si>
    <t>000741</t>
  </si>
  <si>
    <t>SHANGHAI TO BATAM</t>
  </si>
  <si>
    <t>BATAM</t>
  </si>
  <si>
    <t>KELVIN 1,9</t>
  </si>
  <si>
    <t xml:space="preserve"> IMP/FCL/000239/23 </t>
  </si>
  <si>
    <t>S3PL/23-24/00/ FBLDJKT0823/00724</t>
  </si>
  <si>
    <t>MOHIT &amp; OSLINE</t>
  </si>
  <si>
    <t>273,4KG / 0,553CBM</t>
  </si>
  <si>
    <t>006/IMP/VIII/23</t>
  </si>
  <si>
    <t>NEW DELHI</t>
  </si>
  <si>
    <t>IMP/LCL/000231/23</t>
  </si>
  <si>
    <t>SITGSHJTQ116945</t>
  </si>
  <si>
    <t>SITC / ALISPEED</t>
  </si>
  <si>
    <t>CAXU5724208</t>
  </si>
  <si>
    <t>6X40FR</t>
  </si>
  <si>
    <t>004/IMP/VIII/23</t>
  </si>
  <si>
    <t>PIB LINK PASIFIK</t>
  </si>
  <si>
    <t>SHANGHAI - JKT</t>
  </si>
  <si>
    <t>01/09/2023 - 02/09/2023</t>
  </si>
  <si>
    <t>FAIZ SAHAL 23JT</t>
  </si>
  <si>
    <t xml:space="preserve">IMP/FCL/000256/23 </t>
  </si>
  <si>
    <t>CXSU1144090</t>
  </si>
  <si>
    <t>BCA PUTU</t>
  </si>
  <si>
    <t>SEGU7651894</t>
  </si>
  <si>
    <t>SITU0402959</t>
  </si>
  <si>
    <t>TEXU6002313</t>
  </si>
  <si>
    <t>TEXU8931441</t>
  </si>
  <si>
    <t>S00245344 /MEDUQK124541</t>
  </si>
  <si>
    <t>SANCO / MSC</t>
  </si>
  <si>
    <t>MSDU1876831</t>
  </si>
  <si>
    <t>016/IMP/VIII/23</t>
  </si>
  <si>
    <t>NINGBO JKT</t>
  </si>
  <si>
    <t>PMP 1,6</t>
  </si>
  <si>
    <t xml:space="preserve"> IMP/FCL/000241/23 </t>
  </si>
  <si>
    <t>18/09/2023 OF / 06/11/2023</t>
  </si>
  <si>
    <t>23/11/23</t>
  </si>
  <si>
    <t>H2300749423</t>
  </si>
  <si>
    <t>JASINDO LINTASTAMA</t>
  </si>
  <si>
    <t>002/IMP/VIII/23</t>
  </si>
  <si>
    <t>QINGDAO JKT</t>
  </si>
  <si>
    <t>MJT 1,550</t>
  </si>
  <si>
    <t>IMP/FCL/000261-A/23</t>
  </si>
  <si>
    <t>PONU0521365</t>
  </si>
  <si>
    <t>003/IMP/VIII/23</t>
  </si>
  <si>
    <t>XINGGANG JKT</t>
  </si>
  <si>
    <t>PAK UDI EMKL 1,550</t>
  </si>
  <si>
    <t>IMP/FCL/000254-A/23</t>
  </si>
  <si>
    <t>WS230800089 / 177IETETS03757UWS</t>
  </si>
  <si>
    <t>WIN SHARE</t>
  </si>
  <si>
    <t>MSDU5126429</t>
  </si>
  <si>
    <t>017/IMP/VIII/23</t>
  </si>
  <si>
    <t>SHANGHAI TO JKT</t>
  </si>
  <si>
    <t xml:space="preserve">IMP/FCL/000245/23 </t>
  </si>
  <si>
    <t>18/09/2023 OF / 13/11/23</t>
  </si>
  <si>
    <t>TGBU4809940</t>
  </si>
  <si>
    <t>FFAU3956482</t>
  </si>
  <si>
    <t>SEGU6992026</t>
  </si>
  <si>
    <t>MSMU4235400</t>
  </si>
  <si>
    <t>TGBU9899762</t>
  </si>
  <si>
    <t>WS230800091 / 177IETETS03756UWS</t>
  </si>
  <si>
    <t>MSDU8489639</t>
  </si>
  <si>
    <t>018/IMP/VIII/23</t>
  </si>
  <si>
    <t xml:space="preserve">IMP/FCL/000243-A/23 </t>
  </si>
  <si>
    <t>TCNU7839466</t>
  </si>
  <si>
    <t>MSDU8734464</t>
  </si>
  <si>
    <t>MSMU7631093</t>
  </si>
  <si>
    <t>MSMU7622363</t>
  </si>
  <si>
    <t>FFAU4051565</t>
  </si>
  <si>
    <t>RF ASIAH</t>
  </si>
  <si>
    <t>RF DENI AMAR</t>
  </si>
  <si>
    <t>LIST CUST SEPTEMBER 2023 (ANTILLIA)</t>
  </si>
  <si>
    <t>GTD0798916</t>
  </si>
  <si>
    <t>CMAU4816907</t>
  </si>
  <si>
    <t>4X40HQ LOGISNEXT CIF</t>
  </si>
  <si>
    <t>005/IMP/VIII/23</t>
  </si>
  <si>
    <t>LAEM CHABANG - JKT</t>
  </si>
  <si>
    <t>IMP/FCL/000284-A/23</t>
  </si>
  <si>
    <t>20/11/23</t>
  </si>
  <si>
    <t>TEMU7401952</t>
  </si>
  <si>
    <t>ECMU9589115</t>
  </si>
  <si>
    <t>FCIU9378645</t>
  </si>
  <si>
    <t>MCLMAA2301259</t>
  </si>
  <si>
    <t>MONTER GLOBAL INDONESIA</t>
  </si>
  <si>
    <t>MGEU2104215</t>
  </si>
  <si>
    <t>007/IMP/VIII/23</t>
  </si>
  <si>
    <t>000005</t>
  </si>
  <si>
    <t>CHENNAI, INDIA</t>
  </si>
  <si>
    <t>JAMAL 1,5</t>
  </si>
  <si>
    <t>IMP/FCL/000278-A/23</t>
  </si>
  <si>
    <t>MAERSK LINE</t>
  </si>
  <si>
    <t>MJT 1,55</t>
  </si>
  <si>
    <t>21/10/23</t>
  </si>
  <si>
    <t>IMP/FCL/000268-A/23</t>
  </si>
  <si>
    <t>GUA23090001 / 784-02585730</t>
  </si>
  <si>
    <t>1 PCS / 266KG / 0,522CBM</t>
  </si>
  <si>
    <t>10/IMP/IX/23</t>
  </si>
  <si>
    <t>000066</t>
  </si>
  <si>
    <t>GUANGZHOU - CGK</t>
  </si>
  <si>
    <t>GPRA</t>
  </si>
  <si>
    <t>JOHN 400K</t>
  </si>
  <si>
    <t>IMP/AIR/000283-A/23</t>
  </si>
  <si>
    <t>OOLU2724496600</t>
  </si>
  <si>
    <t>CSNU1512573</t>
  </si>
  <si>
    <t>003/IMP/IX/23</t>
  </si>
  <si>
    <t>DA CHAN BAY - CHINA JKT</t>
  </si>
  <si>
    <t>19/09/2023</t>
  </si>
  <si>
    <t>21/09/23</t>
  </si>
  <si>
    <t>22/09/23</t>
  </si>
  <si>
    <t>PRATINDO 1,550</t>
  </si>
  <si>
    <t>IMP/FCL/000279-A/23</t>
  </si>
  <si>
    <t>OOLU0425867</t>
  </si>
  <si>
    <t>OOLU1363749</t>
  </si>
  <si>
    <t>ONEYLCBD20617600</t>
  </si>
  <si>
    <t>CRSU1543251</t>
  </si>
  <si>
    <t>001/IMP/IX/23</t>
  </si>
  <si>
    <t>000380</t>
  </si>
  <si>
    <t>LAEM CHABANG - MEDAN</t>
  </si>
  <si>
    <t>GABI</t>
  </si>
  <si>
    <t>20/09/2023</t>
  </si>
  <si>
    <t>SDL FIRMAN</t>
  </si>
  <si>
    <t>MDACB23003881</t>
  </si>
  <si>
    <t>REGU3304514</t>
  </si>
  <si>
    <t>008/IMP/VIII/23</t>
  </si>
  <si>
    <t>MUNDRA INDIA</t>
  </si>
  <si>
    <t>IMP/FCL/000302-A/23</t>
  </si>
  <si>
    <t>WS230800146 / 177IETETS03875</t>
  </si>
  <si>
    <t>WIN SHARE / UWS</t>
  </si>
  <si>
    <t>TCLU9100605</t>
  </si>
  <si>
    <t>012/IMP/IX/23</t>
  </si>
  <si>
    <t>SHANGHAI  - JKT</t>
  </si>
  <si>
    <t>IMP/FCL/000289-A/23</t>
  </si>
  <si>
    <t>MSDU7379827</t>
  </si>
  <si>
    <t>MSCU5463529</t>
  </si>
  <si>
    <t>MSMU6103614</t>
  </si>
  <si>
    <t>MSMU5240783</t>
  </si>
  <si>
    <t>MSDU8957560</t>
  </si>
  <si>
    <t>MEDU4368668</t>
  </si>
  <si>
    <t>TRHU7908107</t>
  </si>
  <si>
    <t>TXGU5438298</t>
  </si>
  <si>
    <t>MSMU4263017</t>
  </si>
  <si>
    <t>WS230800145 / 177IETETS03874</t>
  </si>
  <si>
    <t>MSDU8058924</t>
  </si>
  <si>
    <t>013/IMP/IX/23</t>
  </si>
  <si>
    <t>IMP/FCL/000295-A/23</t>
  </si>
  <si>
    <t>MSDU5905075</t>
  </si>
  <si>
    <t>CAIU9036963</t>
  </si>
  <si>
    <t>S00247795 / MEDUQK463998</t>
  </si>
  <si>
    <t>SANCO - MSC</t>
  </si>
  <si>
    <t>MEDU3217498</t>
  </si>
  <si>
    <t>008/IMP/IX/23</t>
  </si>
  <si>
    <t>NINGBO - JKT</t>
  </si>
  <si>
    <t>23/09/23</t>
  </si>
  <si>
    <t>IMP/FCL/000291-A/23</t>
  </si>
  <si>
    <t>ONEYLCBD20518600</t>
  </si>
  <si>
    <t>DFSU1025590</t>
  </si>
  <si>
    <t>002/IMP/IX/23</t>
  </si>
  <si>
    <t>000165</t>
  </si>
  <si>
    <t>LAEM CHABANG - SURABAYA</t>
  </si>
  <si>
    <t>CTPS SBY</t>
  </si>
  <si>
    <t>26/09/23</t>
  </si>
  <si>
    <t>27/09/23</t>
  </si>
  <si>
    <t>ALOR DESY</t>
  </si>
  <si>
    <t>S00248869 / COAU8034728910</t>
  </si>
  <si>
    <t>SANCO - COSCO</t>
  </si>
  <si>
    <t>TLLU2055544</t>
  </si>
  <si>
    <t>009/IMP/IX/23</t>
  </si>
  <si>
    <t>000070</t>
  </si>
  <si>
    <t>QINGDAO - JKT</t>
  </si>
  <si>
    <t>25/09/23</t>
  </si>
  <si>
    <t>IMP/FCL/000293-A/23</t>
  </si>
  <si>
    <t>GTD0801181</t>
  </si>
  <si>
    <t>GESU6094589</t>
  </si>
  <si>
    <t>7X40HQ</t>
  </si>
  <si>
    <t>004/IMP/IX/23 OUTSIDE</t>
  </si>
  <si>
    <t>BANGKOK - JKT</t>
  </si>
  <si>
    <t>PMP + PRATINDO 1,7</t>
  </si>
  <si>
    <t>IMP/FCL/000287-A/23</t>
  </si>
  <si>
    <t>CMAU5932408</t>
  </si>
  <si>
    <t>CAIU7596552</t>
  </si>
  <si>
    <t>CMAU5682551</t>
  </si>
  <si>
    <t>TCNU5119148</t>
  </si>
  <si>
    <t>GESU5133850</t>
  </si>
  <si>
    <t>CMAU5232826</t>
  </si>
  <si>
    <t>WS230800147 / OOLU2724058700</t>
  </si>
  <si>
    <t>WIN SHARE / OOCL</t>
  </si>
  <si>
    <t>TEMU8257264</t>
  </si>
  <si>
    <t xml:space="preserve">4X40HQ - BAIFA </t>
  </si>
  <si>
    <t>010/IMP/IX/23</t>
  </si>
  <si>
    <t>SHANGHAI - JKT EXW</t>
  </si>
  <si>
    <t>UTPK III</t>
  </si>
  <si>
    <t>IMP/FCL/000297-A/23</t>
  </si>
  <si>
    <t>CSNU8457098</t>
  </si>
  <si>
    <t>FFAU3299475</t>
  </si>
  <si>
    <t>TCNU7446411</t>
  </si>
  <si>
    <t>S00248604 / MEDUQK452777</t>
  </si>
  <si>
    <t>SANCO</t>
  </si>
  <si>
    <t>CAIU6707142</t>
  </si>
  <si>
    <t>004/IMP/IX/24</t>
  </si>
  <si>
    <t>000164</t>
  </si>
  <si>
    <t>NINGBO - SBY</t>
  </si>
  <si>
    <t>IMP/FCL/000299-A/23</t>
  </si>
  <si>
    <t>112-70755624</t>
  </si>
  <si>
    <t>MU</t>
  </si>
  <si>
    <t>10PK / 133KGS</t>
  </si>
  <si>
    <t>12/IMP/IX/23</t>
  </si>
  <si>
    <t>24/09/23</t>
  </si>
  <si>
    <t>IMP/AIR/000309/23</t>
  </si>
  <si>
    <t>WS230900045 / KMTCSHAL196059</t>
  </si>
  <si>
    <t>BEAU4933911</t>
  </si>
  <si>
    <t>3X40HQ - BAIFA</t>
  </si>
  <si>
    <t>019/IMP/IX/23</t>
  </si>
  <si>
    <t>SHANGHAI  - JKT EXW</t>
  </si>
  <si>
    <t>21/09/25</t>
  </si>
  <si>
    <t>IMP/FCL000301-A/23</t>
  </si>
  <si>
    <t>BEAU4861679</t>
  </si>
  <si>
    <t>SEGU4788862</t>
  </si>
  <si>
    <t>PT. AGRAPRANA  / PT. POLYCHEMIE</t>
  </si>
  <si>
    <t>TLC230927075 / EGLV020300333388</t>
  </si>
  <si>
    <t>EMC</t>
  </si>
  <si>
    <t>OCGU2029387</t>
  </si>
  <si>
    <t>005/IMP/IX/23</t>
  </si>
  <si>
    <t>YOKOHAMA - JKT</t>
  </si>
  <si>
    <t>IMP/FCL/000305/23</t>
  </si>
  <si>
    <t>SSLKAJKTCAA0885</t>
  </si>
  <si>
    <t>MOL</t>
  </si>
  <si>
    <t>SIKU3103831</t>
  </si>
  <si>
    <t>006/IMP/IX/23</t>
  </si>
  <si>
    <t>KATTUPALI - JKT</t>
  </si>
  <si>
    <t>18/09/23</t>
  </si>
  <si>
    <t>CNICB23014321</t>
  </si>
  <si>
    <t>REGU3246059</t>
  </si>
  <si>
    <t>CHENNAI, INDIA - JKT</t>
  </si>
  <si>
    <t>11//10/2023</t>
  </si>
  <si>
    <t>ORD1048628 / NAM6458612</t>
  </si>
  <si>
    <t xml:space="preserve">WANHAI </t>
  </si>
  <si>
    <t>SEGU1144017</t>
  </si>
  <si>
    <t>KOBE - JKT</t>
  </si>
  <si>
    <t>JICT</t>
  </si>
  <si>
    <t>30/09/23</t>
  </si>
  <si>
    <t>WHSU6872199</t>
  </si>
  <si>
    <t>ORD1048610 / NAM6442929</t>
  </si>
  <si>
    <t>ANCHOR - CNC</t>
  </si>
  <si>
    <t>HOUSTON JKT</t>
  </si>
  <si>
    <t>215/SKPB-MSD-MH/IX/23</t>
  </si>
  <si>
    <t>IRGI</t>
  </si>
  <si>
    <t>001/DOM/IX/23</t>
  </si>
  <si>
    <t>JATAKE - JAMBI</t>
  </si>
  <si>
    <t>STUFFING: JUMAT, 01 SEPT 2023</t>
  </si>
  <si>
    <t>DOM/FCL/000248/23</t>
  </si>
  <si>
    <t>13/11/23</t>
  </si>
  <si>
    <t>WS230900121 / YMLUI236324418</t>
  </si>
  <si>
    <t>YMMU6193100</t>
  </si>
  <si>
    <t>000853</t>
  </si>
  <si>
    <t>SHANGHAI - BATAM</t>
  </si>
  <si>
    <t>BATU AMPAR - PSA</t>
  </si>
  <si>
    <t>29/09/2023</t>
  </si>
  <si>
    <t>KELVIN</t>
  </si>
  <si>
    <t>008DX48553</t>
  </si>
  <si>
    <t>001342</t>
  </si>
  <si>
    <t>KOBE - SBY</t>
  </si>
  <si>
    <t>14/09/23</t>
  </si>
  <si>
    <t>SMART LOG</t>
  </si>
  <si>
    <t>MRKU7011989</t>
  </si>
  <si>
    <t>25/09/2023</t>
  </si>
  <si>
    <t>CAIU2423317</t>
  </si>
  <si>
    <t>008DX50218</t>
  </si>
  <si>
    <t>WHSU6684437</t>
  </si>
  <si>
    <t>WS230900184 / SITGSHJTT00131</t>
  </si>
  <si>
    <t>TRIU0828472</t>
  </si>
  <si>
    <t>1X40HQ + 1X40FR (IG) + 1X40FR (OWOH)  - KONECRANES</t>
  </si>
  <si>
    <t>SHANGHAI  - JKT FOB</t>
  </si>
  <si>
    <t>SITU0402331</t>
  </si>
  <si>
    <t>CAAU6302563</t>
  </si>
  <si>
    <t>008DX51940</t>
  </si>
  <si>
    <t>28/09/2023</t>
  </si>
  <si>
    <t>OOLU2725001292</t>
  </si>
  <si>
    <t>TCLU3133005</t>
  </si>
  <si>
    <t>ZHUHAI - JKT</t>
  </si>
  <si>
    <t>LIST CUST OKTOBER 2023 (EWIL)</t>
  </si>
  <si>
    <t>SO NUMBER</t>
  </si>
  <si>
    <t>INV / DN NO</t>
  </si>
  <si>
    <t>PT Citra Jaya Hosindo</t>
  </si>
  <si>
    <t>ONEYTA3DK7430300</t>
  </si>
  <si>
    <t>TRHU1993143</t>
  </si>
  <si>
    <t>SO2310-001</t>
  </si>
  <si>
    <t>004943</t>
  </si>
  <si>
    <t>14/10/23</t>
  </si>
  <si>
    <t>30/10/23</t>
  </si>
  <si>
    <t>31/10/23</t>
  </si>
  <si>
    <t>HANABI</t>
  </si>
  <si>
    <t>EWL2310-001/R</t>
  </si>
  <si>
    <t>15/11/23</t>
  </si>
  <si>
    <t>PT Citra Perdana Putra</t>
  </si>
  <si>
    <t>MAEU273487610</t>
  </si>
  <si>
    <t>Import CC &amp; Truck</t>
  </si>
  <si>
    <t>MSKU3869267</t>
  </si>
  <si>
    <t>SO2310-002</t>
  </si>
  <si>
    <t>003957</t>
  </si>
  <si>
    <t>16/09/23</t>
  </si>
  <si>
    <t>24/10/23</t>
  </si>
  <si>
    <t>26/10/23 titip Depo</t>
  </si>
  <si>
    <t>SPS</t>
  </si>
  <si>
    <t>17/11/2023</t>
  </si>
  <si>
    <t>EWL2311-002/R</t>
  </si>
  <si>
    <t>PT Bepahkupi Global Ekspor</t>
  </si>
  <si>
    <t>126-88894481</t>
  </si>
  <si>
    <t xml:space="preserve">Import AF Exw </t>
  </si>
  <si>
    <t>853kg / 4 Pallets</t>
  </si>
  <si>
    <t>SO2310-003</t>
  </si>
  <si>
    <t>16/10/2023</t>
  </si>
  <si>
    <t>EWL2310-003</t>
  </si>
  <si>
    <t>MAEU273487613</t>
  </si>
  <si>
    <t>TCLU3486506</t>
  </si>
  <si>
    <t>SO2310-004</t>
  </si>
  <si>
    <t>004952</t>
  </si>
  <si>
    <t>15/10/23</t>
  </si>
  <si>
    <t>26/10/23</t>
  </si>
  <si>
    <t>EWL2310-004/R</t>
  </si>
  <si>
    <t>MAEU273487791</t>
  </si>
  <si>
    <t>TEMU0698643</t>
  </si>
  <si>
    <t>SO2310-005</t>
  </si>
  <si>
    <t>004961</t>
  </si>
  <si>
    <t>EWL2310-005/R</t>
  </si>
  <si>
    <t>LIST CUST NOVEMBER 2023 (EWIL)</t>
  </si>
  <si>
    <t>PT Agata Promar</t>
  </si>
  <si>
    <t>OOLU2300926930</t>
  </si>
  <si>
    <t>Import OF, CC &amp; Truck</t>
  </si>
  <si>
    <t>CSLU6214893</t>
  </si>
  <si>
    <t>SO2311-001</t>
  </si>
  <si>
    <t>004977</t>
  </si>
  <si>
    <t>14/11/2023</t>
  </si>
  <si>
    <t>22/11/2023</t>
  </si>
  <si>
    <t>24/11/23</t>
  </si>
  <si>
    <t>25/11/23</t>
  </si>
  <si>
    <t>BUDI 1,65</t>
  </si>
  <si>
    <t>EWL2311-007/R</t>
  </si>
  <si>
    <t>PT Exodus International</t>
  </si>
  <si>
    <t>OOLU2143333180</t>
  </si>
  <si>
    <t>Truck Only</t>
  </si>
  <si>
    <t>BMOU1587240</t>
  </si>
  <si>
    <t>SO2311-003</t>
  </si>
  <si>
    <t>USA - JKT</t>
  </si>
  <si>
    <t>MJT 1,65</t>
  </si>
  <si>
    <t>EWL2311-003/R</t>
  </si>
  <si>
    <t>PT Dolphin Food &amp; Beverages</t>
  </si>
  <si>
    <t>MEDUIE724659</t>
  </si>
  <si>
    <t>Export CC &amp; Truck</t>
  </si>
  <si>
    <t>MSMU4218213</t>
  </si>
  <si>
    <t>SO2311-002</t>
  </si>
  <si>
    <t>001895</t>
  </si>
  <si>
    <t>JKT - SIN</t>
  </si>
  <si>
    <t>BSA - IPC</t>
  </si>
  <si>
    <t>26/11/23</t>
  </si>
  <si>
    <t>STUFFING : 20 NOVEMBER 2023</t>
  </si>
  <si>
    <t>HANABI 1,6</t>
  </si>
  <si>
    <t>EWL2311-001</t>
  </si>
  <si>
    <t>LIST CUST DESEMBER 2023 (EWIL)</t>
  </si>
  <si>
    <t>PT CITRA PERDANA PUTRA</t>
  </si>
  <si>
    <t>SITGTXDR451950</t>
  </si>
  <si>
    <t>TLLU3244748</t>
  </si>
  <si>
    <t>10X20GP</t>
  </si>
  <si>
    <t>SO2311-004</t>
  </si>
  <si>
    <t>000107</t>
  </si>
  <si>
    <t>XINGANG - SEMARANG</t>
  </si>
  <si>
    <t>29/10/23</t>
  </si>
  <si>
    <t>18/12/2023</t>
  </si>
  <si>
    <t>EWL2311-004R</t>
  </si>
  <si>
    <t>FCIU6633460</t>
  </si>
  <si>
    <t>TLLU3520002</t>
  </si>
  <si>
    <t>TCLU3434842</t>
  </si>
  <si>
    <t>SITU2850335</t>
  </si>
  <si>
    <t>TGBU2548750</t>
  </si>
  <si>
    <t>SITU2884947</t>
  </si>
  <si>
    <t>TGBU2720052</t>
  </si>
  <si>
    <t>TRHU3168379</t>
  </si>
  <si>
    <t>TLLU3232198</t>
  </si>
  <si>
    <t>MAEU273769814</t>
  </si>
  <si>
    <t>HASU1091418</t>
  </si>
  <si>
    <t>SO2311-005</t>
  </si>
  <si>
    <t>004986</t>
  </si>
  <si>
    <t>XINGANG - JAKARTA</t>
  </si>
  <si>
    <t>HANABI 1,4</t>
  </si>
  <si>
    <t>EWL2311-005R</t>
  </si>
  <si>
    <t>SITGTXDR451692</t>
  </si>
  <si>
    <t>FCIU6579369</t>
  </si>
  <si>
    <t>SO2311-006</t>
  </si>
  <si>
    <t>000120</t>
  </si>
  <si>
    <t>EWL2311-006R</t>
  </si>
  <si>
    <t>TLLU3054178</t>
  </si>
  <si>
    <t>BEAU2866434</t>
  </si>
  <si>
    <t>SITU2773497</t>
  </si>
  <si>
    <t>BEAU2910753</t>
  </si>
  <si>
    <t>SITU2828199</t>
  </si>
  <si>
    <t>TLLU3119480</t>
  </si>
  <si>
    <t>TGBU2573460</t>
  </si>
  <si>
    <t>RFCU2308106</t>
  </si>
  <si>
    <t>SITU2885711</t>
  </si>
  <si>
    <t>PT FECALINDO DINAMIKA INTIPRIMA</t>
  </si>
  <si>
    <t>CTLTDD0000223979</t>
  </si>
  <si>
    <t>CPL / MAERSK</t>
  </si>
  <si>
    <t>MSKU9189816</t>
  </si>
  <si>
    <t>SO2312-001</t>
  </si>
  <si>
    <t>000118 SSM</t>
  </si>
  <si>
    <t>NZ - JKT</t>
  </si>
  <si>
    <t>29/11/2023</t>
  </si>
  <si>
    <t>25/12/2023</t>
  </si>
  <si>
    <t>30/12/2023</t>
  </si>
  <si>
    <t>SARBINI 2JT</t>
  </si>
  <si>
    <t>EWL2312001/R</t>
  </si>
  <si>
    <t>MAEU273769710</t>
  </si>
  <si>
    <t>MRKU9672400</t>
  </si>
  <si>
    <t>SO2312-002</t>
  </si>
  <si>
    <t>004991</t>
  </si>
  <si>
    <t>EWL2312-002R</t>
  </si>
  <si>
    <t>MSKU7307740</t>
  </si>
  <si>
    <t>MAEU232500561</t>
  </si>
  <si>
    <t>TCLU2331691</t>
  </si>
  <si>
    <t>SO2312-003</t>
  </si>
  <si>
    <t>000149</t>
  </si>
  <si>
    <t>EWL2312003R</t>
  </si>
  <si>
    <t>MSKU5072570</t>
  </si>
  <si>
    <t>TGHU1583635</t>
  </si>
  <si>
    <t>TEMU2963936</t>
  </si>
  <si>
    <t>MSKU7749980</t>
  </si>
  <si>
    <t>MRKU7183118</t>
  </si>
  <si>
    <t>MRKU8045617</t>
  </si>
  <si>
    <t>SUDU7491420</t>
  </si>
  <si>
    <t>HLCUTS12310AVTM1</t>
  </si>
  <si>
    <t>HAPAG</t>
  </si>
  <si>
    <t>UACU3765639</t>
  </si>
  <si>
    <t>SO2312-004</t>
  </si>
  <si>
    <t>000027</t>
  </si>
  <si>
    <t>XINGANG - BELAWAN</t>
  </si>
  <si>
    <t>BELAWAN MEDAN</t>
  </si>
  <si>
    <t>19/11/23</t>
  </si>
  <si>
    <t>16/12/2023</t>
  </si>
  <si>
    <t>EWL2312004/R</t>
  </si>
  <si>
    <t>CAIU2613718</t>
  </si>
  <si>
    <t>MAEU273769960</t>
  </si>
  <si>
    <t>MRKU7078149</t>
  </si>
  <si>
    <t>SO2312-008</t>
  </si>
  <si>
    <t>27/11/2023</t>
  </si>
  <si>
    <t>24/12/2023</t>
  </si>
  <si>
    <t>EWL2312-008/R</t>
  </si>
  <si>
    <t>MRKU7444227</t>
  </si>
  <si>
    <t>MSKU3774840</t>
  </si>
  <si>
    <t>MRKU8534840</t>
  </si>
  <si>
    <t>MRSU0093421</t>
  </si>
  <si>
    <t>MSKU7564754</t>
  </si>
  <si>
    <t>MSKU3297496</t>
  </si>
  <si>
    <t>MRKU7803230</t>
  </si>
  <si>
    <t>MRKU7958904</t>
  </si>
  <si>
    <t>MRKU6695486</t>
  </si>
  <si>
    <t>MAEU273769961</t>
  </si>
  <si>
    <t>TCKU3865122</t>
  </si>
  <si>
    <t>SO2312-009</t>
  </si>
  <si>
    <t>EWL2312-009/R</t>
  </si>
  <si>
    <t>MSKU7762214</t>
  </si>
  <si>
    <t>CRSU1309834</t>
  </si>
  <si>
    <t>HASU1393038</t>
  </si>
  <si>
    <t>HASU1521930</t>
  </si>
  <si>
    <t>PT QUANTERM LOGISTINDO</t>
  </si>
  <si>
    <t>JKTD89721500</t>
  </si>
  <si>
    <t>CAAU4021633 / IDA338528</t>
  </si>
  <si>
    <t>3X40RF</t>
  </si>
  <si>
    <t>SO2312-005</t>
  </si>
  <si>
    <t>JKT-SONGHKLA</t>
  </si>
  <si>
    <t>BSA - JICT1</t>
  </si>
  <si>
    <t>15/12/2023</t>
  </si>
  <si>
    <t>17/12/2023</t>
  </si>
  <si>
    <t>STUFFING : RABU, 06 DES 2023</t>
  </si>
  <si>
    <t>EWL2312-005/A</t>
  </si>
  <si>
    <t>FSCU5819607 / IDA338527</t>
  </si>
  <si>
    <t>STUFFING : KAMIS, 07 DES 2023</t>
  </si>
  <si>
    <t>FSCU5832614 / IDA338526</t>
  </si>
  <si>
    <t>JKT2312288</t>
  </si>
  <si>
    <t>MBFU4161456</t>
  </si>
  <si>
    <t>SO2312-006</t>
  </si>
  <si>
    <t>001911</t>
  </si>
  <si>
    <t>JKT - HONOIRA</t>
  </si>
  <si>
    <t>DWIPA - JICT1</t>
  </si>
  <si>
    <t>21/12/2023</t>
  </si>
  <si>
    <t>STUFFING : 19 DESEMBER 2023</t>
  </si>
  <si>
    <t>PMP 1.7</t>
  </si>
  <si>
    <t>EWL2312-006</t>
  </si>
  <si>
    <t>PT PRIMAPLAST INDONESIA</t>
  </si>
  <si>
    <t>AA23120517</t>
  </si>
  <si>
    <t>EXPORT AF &amp; CUSTOM</t>
  </si>
  <si>
    <t>ATT</t>
  </si>
  <si>
    <t>20 BOX / 307KG</t>
  </si>
  <si>
    <t>SO2312-007</t>
  </si>
  <si>
    <t>017372</t>
  </si>
  <si>
    <t>JKT - NGO JAPAN</t>
  </si>
  <si>
    <t>22/12/2023</t>
  </si>
  <si>
    <t>STUFFING : 20 DESEMBER 2023</t>
  </si>
  <si>
    <t>ATT 850</t>
  </si>
  <si>
    <t>EWL2312-007/R</t>
  </si>
  <si>
    <t xml:space="preserve">BCA SELA </t>
  </si>
  <si>
    <t>PT OBOR INDONESIA PRATAMA</t>
  </si>
  <si>
    <t>BTG2302127200012</t>
  </si>
  <si>
    <t>TANTO</t>
  </si>
  <si>
    <t>ICBU6046694</t>
  </si>
  <si>
    <t>SO2312-010</t>
  </si>
  <si>
    <t>GFC-DPI</t>
  </si>
  <si>
    <t>26/12/2023</t>
  </si>
  <si>
    <t>28/12/2023</t>
  </si>
  <si>
    <t>PICK UP : 28 DESEMBER 2023</t>
  </si>
  <si>
    <t>PMP 1,1</t>
  </si>
  <si>
    <t>EWL2312-010</t>
  </si>
  <si>
    <t>LIST CUST JANUARI 2024 (EWIL)</t>
  </si>
  <si>
    <t>PT Kay Ocean Indonesia</t>
  </si>
  <si>
    <t>KMTCTAO07183485013</t>
  </si>
  <si>
    <t>LCL CDD Box</t>
  </si>
  <si>
    <t>SO2401-001</t>
  </si>
  <si>
    <t>CDC - BAND</t>
  </si>
  <si>
    <t>EWL2401001</t>
  </si>
  <si>
    <t>MANDIRI 1360032330323 A/N MUFTIYA AFAYASTATI N</t>
  </si>
  <si>
    <t>MAEU273770258</t>
  </si>
  <si>
    <t>MSKU2912543</t>
  </si>
  <si>
    <t>SO2401-002</t>
  </si>
  <si>
    <t>000104</t>
  </si>
  <si>
    <t>XINGANG - SURABAYA</t>
  </si>
  <si>
    <t>ALOR</t>
  </si>
  <si>
    <t>EWL2401-002/R</t>
  </si>
  <si>
    <t>TGHU0725817</t>
  </si>
  <si>
    <t>TRLU9260500</t>
  </si>
  <si>
    <t>HASU1392047</t>
  </si>
  <si>
    <t>MAEU273770257</t>
  </si>
  <si>
    <t>MSKU5631339</t>
  </si>
  <si>
    <t>SO2401-003</t>
  </si>
  <si>
    <t>000105</t>
  </si>
  <si>
    <t>EWL2401003/R</t>
  </si>
  <si>
    <t>SUDU1398109</t>
  </si>
  <si>
    <t>MAEU273770361</t>
  </si>
  <si>
    <t>MRKU9734170</t>
  </si>
  <si>
    <t>S02401-004</t>
  </si>
  <si>
    <t>000106</t>
  </si>
  <si>
    <t>EWL2401-004/R</t>
  </si>
  <si>
    <t>MAEU273770260</t>
  </si>
  <si>
    <t>SUDU7425140</t>
  </si>
  <si>
    <t>SO2401-005</t>
  </si>
  <si>
    <t>000108</t>
  </si>
  <si>
    <t>ABE</t>
  </si>
  <si>
    <t>EWL2401005/R</t>
  </si>
  <si>
    <t>MSKU7330463</t>
  </si>
  <si>
    <t>MRKU9444397</t>
  </si>
  <si>
    <t>MRKU8318603</t>
  </si>
  <si>
    <t>MSKU7660212</t>
  </si>
  <si>
    <t>MAEU273770259</t>
  </si>
  <si>
    <t>MSKU7535885</t>
  </si>
  <si>
    <t>SO2401-006</t>
  </si>
  <si>
    <t>000176</t>
  </si>
  <si>
    <t>EWL2401006/R</t>
  </si>
  <si>
    <t>TGHU448667</t>
  </si>
  <si>
    <t>MRKU9846288</t>
  </si>
  <si>
    <t>MAEU273770256</t>
  </si>
  <si>
    <t>MSKU5200054</t>
  </si>
  <si>
    <t>SO2401-007</t>
  </si>
  <si>
    <t>000026</t>
  </si>
  <si>
    <t>EWL2401007/R</t>
  </si>
  <si>
    <t>TCKU1127407</t>
  </si>
  <si>
    <t>MSKU5407444</t>
  </si>
  <si>
    <t>PT Cahaya Nuansa Samudera</t>
  </si>
  <si>
    <t>EGLV148300368978</t>
  </si>
  <si>
    <t>Import CC &amp; Truk</t>
  </si>
  <si>
    <t>EGSU3063185</t>
  </si>
  <si>
    <t>SO2401-009</t>
  </si>
  <si>
    <t>Fuzhou - SBY</t>
  </si>
  <si>
    <t>RAFINDO SBY</t>
  </si>
  <si>
    <t>EWL2401009</t>
  </si>
  <si>
    <t>MANDIRI GUN GUN ARIANSYAH</t>
  </si>
  <si>
    <t>CV Elmaro</t>
  </si>
  <si>
    <t>COAU7247361710</t>
  </si>
  <si>
    <t>Cosco / Winshare</t>
  </si>
  <si>
    <t>GLDU9317620</t>
  </si>
  <si>
    <t>SO2401-013</t>
  </si>
  <si>
    <t>005027</t>
  </si>
  <si>
    <t>Kopindo 1,7</t>
  </si>
  <si>
    <t>EWL2401013</t>
  </si>
  <si>
    <t>MANDIRI IRMA</t>
  </si>
  <si>
    <t>235172273</t>
  </si>
  <si>
    <t>BSIU8152990</t>
  </si>
  <si>
    <t>SO2401-008</t>
  </si>
  <si>
    <t>JKT - FIJI ISLAND</t>
  </si>
  <si>
    <t>SEACON - NPCT1</t>
  </si>
  <si>
    <t>STUFFING : 11 JANUARI 2024</t>
  </si>
  <si>
    <t>DAVID 1.750</t>
  </si>
  <si>
    <t>EWL2401008</t>
  </si>
  <si>
    <t>PT Quanterm Logistindo</t>
  </si>
  <si>
    <t>EBKG07727040</t>
  </si>
  <si>
    <t>OTPU6559419</t>
  </si>
  <si>
    <t>SO2401-010</t>
  </si>
  <si>
    <t>JKT - GDANSK</t>
  </si>
  <si>
    <t>BSA-NPCT1</t>
  </si>
  <si>
    <t>STUFFING : 23 JANUARI 2024</t>
  </si>
  <si>
    <t>PMP 1.8</t>
  </si>
  <si>
    <t>EWL2401010</t>
  </si>
  <si>
    <t>EBKG07781117</t>
  </si>
  <si>
    <t>OTPU6560683</t>
  </si>
  <si>
    <t>SO2401-011</t>
  </si>
  <si>
    <t>STUFFING : 25 JANUARI 2024</t>
  </si>
  <si>
    <t>EWL2401011</t>
  </si>
  <si>
    <t>BTG2405121200029</t>
  </si>
  <si>
    <t>TAKU6067250</t>
  </si>
  <si>
    <t>SO2401-012</t>
  </si>
  <si>
    <t>TANTO-GFC-PDRI</t>
  </si>
  <si>
    <t>PICK UP : 25 JANUARI 24</t>
  </si>
  <si>
    <t>JAMAL 1.050</t>
  </si>
  <si>
    <t>EWL2401012</t>
  </si>
  <si>
    <t>LIST CUST FEB 2024 (EWIL)</t>
  </si>
  <si>
    <t>999-04122403</t>
  </si>
  <si>
    <t>Air China Cargo</t>
  </si>
  <si>
    <t>LCL By Air</t>
  </si>
  <si>
    <t>1 Pcs / 647 Kg</t>
  </si>
  <si>
    <t>SO2402-001</t>
  </si>
  <si>
    <t>022673</t>
  </si>
  <si>
    <t>Beijing - CGK</t>
  </si>
  <si>
    <t>EWL2402001/R</t>
  </si>
  <si>
    <t>MAEU273770653</t>
  </si>
  <si>
    <t>Maersk Line</t>
  </si>
  <si>
    <t>MRKU8106712</t>
  </si>
  <si>
    <t>SO2402-004</t>
  </si>
  <si>
    <t>000271</t>
  </si>
  <si>
    <t>Xingang - SBY</t>
  </si>
  <si>
    <t>EWL2402004/R</t>
  </si>
  <si>
    <t>MRKU6667925</t>
  </si>
  <si>
    <t>MRKU8913123</t>
  </si>
  <si>
    <t>MAEU273770886</t>
  </si>
  <si>
    <t>MRKU7244321</t>
  </si>
  <si>
    <t>SO2402-007</t>
  </si>
  <si>
    <t>Xingang - SMG</t>
  </si>
  <si>
    <t>SMG</t>
  </si>
  <si>
    <t>SUDU1415274</t>
  </si>
  <si>
    <t>MAEU273770887</t>
  </si>
  <si>
    <t>MSKU5577053</t>
  </si>
  <si>
    <t>SO2402-008</t>
  </si>
  <si>
    <t>000227</t>
  </si>
  <si>
    <t>EWL2402008/R</t>
  </si>
  <si>
    <t>MAEU273770814</t>
  </si>
  <si>
    <t>MRKU8599326</t>
  </si>
  <si>
    <t>SO2402-009</t>
  </si>
  <si>
    <t>000226</t>
  </si>
  <si>
    <t>ABE / Kusmantoro</t>
  </si>
  <si>
    <t>EWL2402009/R</t>
  </si>
  <si>
    <t>MRKU6977155</t>
  </si>
  <si>
    <t>MAEU273770821</t>
  </si>
  <si>
    <t>MRKU8590170</t>
  </si>
  <si>
    <t>SO2402-010</t>
  </si>
  <si>
    <t>EWL2402010/R</t>
  </si>
  <si>
    <t>MSKU5594868</t>
  </si>
  <si>
    <t>MSKU7275290</t>
  </si>
  <si>
    <t>MAGU2547537</t>
  </si>
  <si>
    <t>PT Abadi Jaya Unggul Logistik</t>
  </si>
  <si>
    <t>SJ2402050/BO/101/ATU</t>
  </si>
  <si>
    <t>Vendor : Soin</t>
  </si>
  <si>
    <t>1 Unit Fuso Bak</t>
  </si>
  <si>
    <t>SO2402-011</t>
  </si>
  <si>
    <t>Kapuk - Sepatan</t>
  </si>
  <si>
    <t>Soin</t>
  </si>
  <si>
    <t>EWL2402-011/R</t>
  </si>
  <si>
    <t>PT Logisklik Gemilang Indonesia</t>
  </si>
  <si>
    <t>HLCUDM2231212602</t>
  </si>
  <si>
    <t>Import Trucking Only</t>
  </si>
  <si>
    <t>Hapag</t>
  </si>
  <si>
    <t>SEGU9299782</t>
  </si>
  <si>
    <t>1X40RF</t>
  </si>
  <si>
    <t>SO2402-012</t>
  </si>
  <si>
    <t>DAMMAM - JKT</t>
  </si>
  <si>
    <t>Awaludin</t>
  </si>
  <si>
    <t>EWL2402012</t>
  </si>
  <si>
    <t>HLCUDM2231212584</t>
  </si>
  <si>
    <t>HLBU9868061</t>
  </si>
  <si>
    <t>2X40RF</t>
  </si>
  <si>
    <t>SO2402-013</t>
  </si>
  <si>
    <t>EWL2402013</t>
  </si>
  <si>
    <t>HLBU9159019</t>
  </si>
  <si>
    <t>MAEU273770977</t>
  </si>
  <si>
    <t>MRSU0371775</t>
  </si>
  <si>
    <t>SO2402-015</t>
  </si>
  <si>
    <t>MRSU0370995</t>
  </si>
  <si>
    <t>MAEU273770973</t>
  </si>
  <si>
    <t>MRSU0362264</t>
  </si>
  <si>
    <t>SO2402-016</t>
  </si>
  <si>
    <t>MRSU0354649</t>
  </si>
  <si>
    <t>MRSU0362222</t>
  </si>
  <si>
    <t>PT Obor Indonesia Pratama</t>
  </si>
  <si>
    <t>049EX01294</t>
  </si>
  <si>
    <t>Export Trucking Only</t>
  </si>
  <si>
    <t>WHSU5137414</t>
  </si>
  <si>
    <t>SO2402-002</t>
  </si>
  <si>
    <t>JKT - XIAMEN</t>
  </si>
  <si>
    <t>GFC</t>
  </si>
  <si>
    <t>STUFFING : 6 FEB 24</t>
  </si>
  <si>
    <t>PMP 1.1</t>
  </si>
  <si>
    <t>EWL2402002</t>
  </si>
  <si>
    <t>049EX01293</t>
  </si>
  <si>
    <t>WHSU5116031</t>
  </si>
  <si>
    <t>SO2402-003</t>
  </si>
  <si>
    <t>EWL2402003</t>
  </si>
  <si>
    <t>WHSU6347550</t>
  </si>
  <si>
    <t>WHSU6697706</t>
  </si>
  <si>
    <t>ONEYJKTE14727700</t>
  </si>
  <si>
    <t>TRHU4420464</t>
  </si>
  <si>
    <t>SO2402-017</t>
  </si>
  <si>
    <t>JKT - Laem Chabang</t>
  </si>
  <si>
    <t>CLC - TMAL</t>
  </si>
  <si>
    <t>STUFFING : 1 MARET 24</t>
  </si>
  <si>
    <t>EWL2402017</t>
  </si>
  <si>
    <t>PT Satya Liprindo</t>
  </si>
  <si>
    <t>MEJKT.10.01030800</t>
  </si>
  <si>
    <t xml:space="preserve">Export OF </t>
  </si>
  <si>
    <t>Maxima</t>
  </si>
  <si>
    <t>LCL By Ses</t>
  </si>
  <si>
    <t>3 Crt / 516 CR / 4.111 CBM</t>
  </si>
  <si>
    <t>SO2402-014</t>
  </si>
  <si>
    <t>JKT - HCM</t>
  </si>
  <si>
    <t>MBP</t>
  </si>
  <si>
    <t>STUFF : 22 FEB 24</t>
  </si>
  <si>
    <t>EWL2402014</t>
  </si>
  <si>
    <t>BTG2402127400021</t>
  </si>
  <si>
    <t>Domestik Trucking Only</t>
  </si>
  <si>
    <t>TAKU6067809</t>
  </si>
  <si>
    <t>SO2402-005</t>
  </si>
  <si>
    <t>PICK UP : 07 FEB 24</t>
  </si>
  <si>
    <t>ROSY 1.1</t>
  </si>
  <si>
    <t>EWL2402005</t>
  </si>
  <si>
    <t>PT Masaji Kargosentra Tama</t>
  </si>
  <si>
    <t>WINGSBOX 1</t>
  </si>
  <si>
    <t>SO2402-006</t>
  </si>
  <si>
    <t>CIKAMPEK - PENJARINGAN</t>
  </si>
  <si>
    <t>PICK UP : 06 FEB 24</t>
  </si>
  <si>
    <t>JOHN 2.2</t>
  </si>
  <si>
    <t>EWL2402006</t>
  </si>
  <si>
    <t>LIST CUST MARET 2024 (EWIL)</t>
  </si>
  <si>
    <t>049EX02306</t>
  </si>
  <si>
    <t>Wan Hai</t>
  </si>
  <si>
    <t>WHSU5032157</t>
  </si>
  <si>
    <t>SO2403-001</t>
  </si>
  <si>
    <t>JKT - CHINA</t>
  </si>
  <si>
    <t>SINERGY - GFC</t>
  </si>
  <si>
    <t>STUFFING : SENIN 4 MARET 2024</t>
  </si>
  <si>
    <t>KOPINDO 1.050</t>
  </si>
  <si>
    <t>EWL2403001</t>
  </si>
  <si>
    <t>WHSU5399538</t>
  </si>
  <si>
    <t>KMTCSHAL839484</t>
  </si>
  <si>
    <t>Towing 2 Unit</t>
  </si>
  <si>
    <t>2 Unit Towing</t>
  </si>
  <si>
    <t>GFC - Juanda Gambir</t>
  </si>
  <si>
    <t>PICK UP &amp; DELIVERY : SENIN, 4 MARET 24</t>
  </si>
  <si>
    <t>ZEPTA 800</t>
  </si>
  <si>
    <t>EWL2403002</t>
  </si>
  <si>
    <t>ANGSURAN EMAS 10GR - 3THN (36 BULAN)</t>
  </si>
  <si>
    <t>Angsuran ke</t>
  </si>
  <si>
    <t>Jth Tempo</t>
  </si>
  <si>
    <t>Nominal</t>
  </si>
  <si>
    <t>Paid Tgl</t>
  </si>
  <si>
    <t xml:space="preserve">Keterangan </t>
  </si>
  <si>
    <t>DP/UM</t>
  </si>
  <si>
    <t>UPS</t>
  </si>
  <si>
    <t>Admin</t>
  </si>
  <si>
    <t>VIA MANDIRI + 2,5K ADM</t>
  </si>
  <si>
    <t>VIA BCA + 2,5K ADM</t>
  </si>
  <si>
    <t>Total Keseluruhan</t>
  </si>
  <si>
    <t>Note :</t>
  </si>
  <si>
    <t>Harga Jual Emas</t>
  </si>
  <si>
    <t>Laba / Rugi</t>
  </si>
  <si>
    <t>PLN NENEK BULANAN</t>
  </si>
  <si>
    <t>Listrik + Adm 3rb</t>
  </si>
  <si>
    <t>KEBUTUHAN LISTRIK, IPL, AIR DLL PMA</t>
  </si>
  <si>
    <t>Akses Mobil</t>
  </si>
  <si>
    <t>Other</t>
  </si>
  <si>
    <t>Akses Motor</t>
  </si>
  <si>
    <t>Listrik &amp; Air</t>
  </si>
  <si>
    <t>Akses Patah</t>
  </si>
  <si>
    <t>Listrik, Air &amp; IPL 3 Bulan</t>
  </si>
  <si>
    <t>Reparasi Dinding &amp; AC</t>
  </si>
  <si>
    <t>Total Sementara</t>
  </si>
  <si>
    <t>CICILAN PMA STUDIO TD31B15 15TH / 180BULAN</t>
  </si>
  <si>
    <t>Booking Fee</t>
  </si>
  <si>
    <t>Akad</t>
  </si>
  <si>
    <t>Via Mandiri (Hold dana 3,909,923) Lunas di refund</t>
  </si>
  <si>
    <t>Cek Mutasi Mandiri</t>
  </si>
  <si>
    <t>Late Charges</t>
  </si>
  <si>
    <t>Total</t>
  </si>
  <si>
    <t>ANGSURAN ASURANSI 10THN / 120BULAN</t>
  </si>
  <si>
    <t>Angsuran Sep 21</t>
  </si>
  <si>
    <t>Angsurang Okt 21</t>
  </si>
  <si>
    <t>Angsuran Nov 21</t>
  </si>
  <si>
    <t>Angsuran Des 21 +Late Charge</t>
  </si>
  <si>
    <t>Angsurang Jan 22</t>
  </si>
  <si>
    <t>Angsuran Feb 22</t>
  </si>
  <si>
    <t>Angsuran Mar 22</t>
  </si>
  <si>
    <t>Angsuran Apr 22 + Late Charge</t>
  </si>
  <si>
    <t>Angsuran Mei 22</t>
  </si>
  <si>
    <t>Angsurang Jun  22</t>
  </si>
  <si>
    <t>Angsurang Jul  22</t>
  </si>
  <si>
    <t>Angsurang Aug  22</t>
  </si>
  <si>
    <t>Angsurang Sept  22</t>
  </si>
  <si>
    <t>Angsurang Okt  22</t>
  </si>
  <si>
    <t>Angsurang Nov  22</t>
  </si>
  <si>
    <t>Angsurang Des  22</t>
  </si>
  <si>
    <t>Angsurang Jan  23</t>
  </si>
  <si>
    <t>Angsurang Feb 23</t>
  </si>
  <si>
    <t>Angsurang Mar 23</t>
  </si>
  <si>
    <t>Angsurang Apr 23</t>
  </si>
  <si>
    <t>Angsuran Mei 23 + Late Charge</t>
  </si>
  <si>
    <t>Angsuran Jun 23 + Late Charge</t>
  </si>
  <si>
    <t>Angsuran Jul 23 + Late Charge</t>
  </si>
  <si>
    <t>MSR JANUARI 2023</t>
  </si>
  <si>
    <t>Marketing  : IKA</t>
  </si>
  <si>
    <t>PERIODR 01-31 JANUARI 2023</t>
  </si>
  <si>
    <t>NO</t>
  </si>
  <si>
    <t>REFF NO</t>
  </si>
  <si>
    <t>DESCRIPTION</t>
  </si>
  <si>
    <t>CUSTOMER</t>
  </si>
  <si>
    <t>NO. B/L</t>
  </si>
  <si>
    <t>ORIGIN</t>
  </si>
  <si>
    <t>BUYING</t>
  </si>
  <si>
    <t>SELLING</t>
  </si>
  <si>
    <t>PAYMENT DATE</t>
  </si>
  <si>
    <t>ACCOUNT</t>
  </si>
  <si>
    <t>CUSTOM CLEARANCE &amp; TRUCKING 4X40HQ</t>
  </si>
  <si>
    <t>ANTILLIA</t>
  </si>
  <si>
    <t>CUSTOM CLEARANCE &amp; TRUCKING 3X40HQ</t>
  </si>
  <si>
    <t>OF EXW, CUSTOM CLEARANCE &amp; TRUCKING LCL</t>
  </si>
  <si>
    <t>ATLANTIK</t>
  </si>
  <si>
    <t>CUSTOM CLEARANCE &amp; TRUCKING 1X40HQ</t>
  </si>
  <si>
    <t>OF EXWORK IMPORT NEW DELHI TO JAKARTA</t>
  </si>
  <si>
    <t>320113000037</t>
  </si>
  <si>
    <t>PT. TRACLINEOO UTAMA INDONESIA</t>
  </si>
  <si>
    <t xml:space="preserve">TIANJIN </t>
  </si>
  <si>
    <t xml:space="preserve">             </t>
  </si>
  <si>
    <t>Total Profit Import</t>
  </si>
  <si>
    <t>DESTINASI</t>
  </si>
  <si>
    <t>CUSTOM EXPORT &amp; TRUCKING</t>
  </si>
  <si>
    <t>HAIPHONG - VIETNAM</t>
  </si>
  <si>
    <t>Total Profit Export</t>
  </si>
  <si>
    <t xml:space="preserve">Total Export Import </t>
  </si>
  <si>
    <t>Target Marketing</t>
  </si>
  <si>
    <t xml:space="preserve">Total Komisi 12,5% </t>
  </si>
  <si>
    <t>Total Komisi IKA</t>
  </si>
  <si>
    <t>MSR FEBRUARI 2023</t>
  </si>
  <si>
    <t>PERIODR 01-28 FEBRUARI 2023</t>
  </si>
  <si>
    <t>Selisih Target</t>
  </si>
  <si>
    <t>MSR MARET 2023</t>
  </si>
  <si>
    <t>PERIODR 01-31 MARCH 2023</t>
  </si>
  <si>
    <t>CUSTOM &amp; TRUCKING</t>
  </si>
  <si>
    <t>IMPORT OF, CC &amp; TRUCKING</t>
  </si>
  <si>
    <t>3036/IMP/24</t>
  </si>
  <si>
    <t>TALANGAN INV ONLY</t>
  </si>
  <si>
    <t>OF, TRUCK &amp; CUSTOM</t>
  </si>
  <si>
    <t>TRUCK &amp; EMKL SBY</t>
  </si>
  <si>
    <t>SH: PT. GUNTNER INDONESIA / PT. OBOR INDONESIA</t>
  </si>
  <si>
    <t>APAPA - SURABAYA</t>
  </si>
  <si>
    <t xml:space="preserve">MSR IKA </t>
  </si>
  <si>
    <t>PERIODE JANUARI S/D MARET 2023</t>
  </si>
  <si>
    <t>JANUARI</t>
  </si>
  <si>
    <t>FEBRUARI</t>
  </si>
  <si>
    <t>MARET</t>
  </si>
  <si>
    <t>Total Export Import</t>
  </si>
  <si>
    <t>MSR APRIL2023</t>
  </si>
  <si>
    <t>PERIODE 1-30 APRIL 2023</t>
  </si>
  <si>
    <t>026/IMP/IV /23</t>
  </si>
  <si>
    <t>Total Profit Domestik</t>
  </si>
  <si>
    <t>Total Export Import &amp; Domestik</t>
  </si>
  <si>
    <t>Deduct Berca</t>
  </si>
  <si>
    <t>lunas 27/07/2023</t>
  </si>
  <si>
    <t>MSR MAY 2023</t>
  </si>
  <si>
    <t>PERIODE 1-31 MAY 2023</t>
  </si>
  <si>
    <t>WS23040084/CMZ1081293</t>
  </si>
  <si>
    <t>Sisa Potongan Berca</t>
  </si>
  <si>
    <t>Lunas</t>
  </si>
  <si>
    <t>MSR JUNI 2023</t>
  </si>
  <si>
    <t>PERIODE 01-30 JUNI 2023</t>
  </si>
  <si>
    <t>03/07/2023 OF &amp; 17/07/2023 CC</t>
  </si>
  <si>
    <t>MSR JULY 2023</t>
  </si>
  <si>
    <t>PERIODE JULI 01-31 JULY 2023</t>
  </si>
  <si>
    <t>24/08/2023 -REIMBURS BLM DI BYAR</t>
  </si>
  <si>
    <t>04/09/2023 OF</t>
  </si>
  <si>
    <t>14/08/2023 OF</t>
  </si>
  <si>
    <t>MSR AGUSTUS 2023</t>
  </si>
  <si>
    <t>PERIODE 01-31 AGUSTUS 2023</t>
  </si>
  <si>
    <t xml:space="preserve">Total Komisi 15% </t>
  </si>
  <si>
    <t>MSR SEPTEMBER 2023</t>
  </si>
  <si>
    <t>PERIODE 01-30 SEPTEMBER 2023</t>
  </si>
  <si>
    <t>TGL PAYMENT</t>
  </si>
  <si>
    <t>NULL</t>
  </si>
  <si>
    <t>lunas 19/1/24</t>
  </si>
  <si>
    <t>MSR OKTOBER 2023</t>
  </si>
  <si>
    <t>PERIODE 01 - 30 OKTOBER2023</t>
  </si>
  <si>
    <t>2310-001</t>
  </si>
  <si>
    <t xml:space="preserve">IMPORT CC </t>
  </si>
  <si>
    <t>PT CITRA JAYA HOSINDO</t>
  </si>
  <si>
    <t>2310-002</t>
  </si>
  <si>
    <t>2310-003</t>
  </si>
  <si>
    <t xml:space="preserve">IMPORT AF </t>
  </si>
  <si>
    <t>PT BEPAHKUPI GLOBAL EKSPOR</t>
  </si>
  <si>
    <t>WS23100088 / 126-88894481</t>
  </si>
  <si>
    <t>19/10/23</t>
  </si>
  <si>
    <t>16/110/23</t>
  </si>
  <si>
    <t>2310-004</t>
  </si>
  <si>
    <t>17/10/23</t>
  </si>
  <si>
    <t>2310-005</t>
  </si>
  <si>
    <t xml:space="preserve">Total Komisi 10% </t>
  </si>
  <si>
    <t>MSR NOVEMBER 2023</t>
  </si>
  <si>
    <t>PERIODE 01 - 30 NOVEMBER 2023</t>
  </si>
  <si>
    <t>S02311-001</t>
  </si>
  <si>
    <t>IMPORT OF &amp; CUSTOM</t>
  </si>
  <si>
    <t>PT AGATA PROMAR</t>
  </si>
  <si>
    <t>DA CHAN BAY CHINA</t>
  </si>
  <si>
    <t>22/11/23</t>
  </si>
  <si>
    <t>CUSTOM EXPORT</t>
  </si>
  <si>
    <t>PT DOLPHIN FOOD &amp; BEVERAGES</t>
  </si>
  <si>
    <t>JAKARTA - SIN</t>
  </si>
  <si>
    <t>S02311-003</t>
  </si>
  <si>
    <t>TRUCKING 1X20GP</t>
  </si>
  <si>
    <t>PT EXODUS INTERNATIONAL</t>
  </si>
  <si>
    <t>USA</t>
  </si>
  <si>
    <t>17/11/23</t>
  </si>
  <si>
    <t>23-30/11/23</t>
  </si>
  <si>
    <t>GAJIAN  TGL 30/11 IDR 2.100</t>
  </si>
  <si>
    <t>MSR DESEMBER 2023</t>
  </si>
  <si>
    <t>PERIODE 01 - 31 DESEMBER 2023</t>
  </si>
  <si>
    <t>lunas 05/01/24</t>
  </si>
  <si>
    <t>MSR MARET 2024</t>
  </si>
  <si>
    <t>PERIODE 01-31 MARET 2024</t>
  </si>
  <si>
    <t>No</t>
  </si>
  <si>
    <t>Muat</t>
  </si>
  <si>
    <t>Tujuan</t>
  </si>
  <si>
    <t>Trucking Rate</t>
  </si>
  <si>
    <t>Keterangan</t>
  </si>
  <si>
    <t>20"</t>
  </si>
  <si>
    <t>40"</t>
  </si>
  <si>
    <t>Priok Area</t>
  </si>
  <si>
    <t>Tg. Priok</t>
  </si>
  <si>
    <t>Cakung</t>
  </si>
  <si>
    <t>Marunda</t>
  </si>
  <si>
    <t>Pulo Gadung</t>
  </si>
  <si>
    <t>Ancol - Mangga Dua</t>
  </si>
  <si>
    <t>Sunter - Plumpang</t>
  </si>
  <si>
    <t>Sunda Kelapa</t>
  </si>
  <si>
    <t xml:space="preserve">Pluit Bandengan </t>
  </si>
  <si>
    <t>Lintas Cikampek</t>
  </si>
  <si>
    <t>Pondok Ungu</t>
  </si>
  <si>
    <t>Bekasi, Tambun</t>
  </si>
  <si>
    <t>Cibitung</t>
  </si>
  <si>
    <t>Cikarang/Jababeka</t>
  </si>
  <si>
    <t>Cikarang Pusat</t>
  </si>
  <si>
    <t>Karawang Barat</t>
  </si>
  <si>
    <t>Karawang Timur</t>
  </si>
  <si>
    <t>Cikampek / Klari</t>
  </si>
  <si>
    <t>Subang</t>
  </si>
  <si>
    <t>Indramayu</t>
  </si>
  <si>
    <t>Cirebon</t>
  </si>
  <si>
    <t>Lintas Jagorawi</t>
  </si>
  <si>
    <t>Ciracas, Ps. Rebo, Kr. Jati</t>
  </si>
  <si>
    <t>Cimanggis, Cileungsi, Gn. Putri</t>
  </si>
  <si>
    <t>Citeureup, Cibinong, Jonggol</t>
  </si>
  <si>
    <t>Bogor</t>
  </si>
  <si>
    <t>Ciawi</t>
  </si>
  <si>
    <t>Cicurug, Pr. Kuda, Sukabumi</t>
  </si>
  <si>
    <t>Lintas Tol Merak</t>
  </si>
  <si>
    <t>BSD, Legok</t>
  </si>
  <si>
    <t>Curug, Karawaci, Bitung</t>
  </si>
  <si>
    <t>Jatake, Cikupa, Tigaraksa</t>
  </si>
  <si>
    <t>Tangerang, Mauk, Ps. Kemis</t>
  </si>
  <si>
    <t>Cikande</t>
  </si>
  <si>
    <t>Kapuk, Dadap, Kembangan</t>
  </si>
  <si>
    <t>Serang, Rks Bitung</t>
  </si>
  <si>
    <t>Cilegon, Bojonegoro, Merak</t>
  </si>
  <si>
    <t>Daan Mogot, X-Deres, Batuceper</t>
  </si>
  <si>
    <t>Lintas Bandung</t>
  </si>
  <si>
    <t>Padalarang</t>
  </si>
  <si>
    <t>Kopo</t>
  </si>
  <si>
    <t>Rancaekek</t>
  </si>
  <si>
    <t>Cianjur</t>
  </si>
  <si>
    <t>Garut</t>
  </si>
  <si>
    <t>Sumedang</t>
  </si>
  <si>
    <t>Tasikmalaya</t>
  </si>
  <si>
    <t>Ciamis, Banjar</t>
  </si>
  <si>
    <t>Pangandaran</t>
  </si>
  <si>
    <t>Lintas Sumatera</t>
  </si>
  <si>
    <t>Palembang</t>
  </si>
  <si>
    <t>Medan</t>
  </si>
  <si>
    <r>
      <rPr>
        <b/>
        <sz val="24"/>
        <color rgb="FF000000"/>
        <rFont val="宋体"/>
        <charset val="134"/>
      </rPr>
      <t>PEMBUKUAN</t>
    </r>
    <r>
      <rPr>
        <b/>
        <sz val="24"/>
        <color rgb="FF000000"/>
        <rFont val="宋体"/>
        <charset val="134"/>
      </rPr>
      <t xml:space="preserve"> </t>
    </r>
    <r>
      <rPr>
        <b/>
        <sz val="24"/>
        <color rgb="FF000000"/>
        <rFont val="宋体"/>
        <charset val="134"/>
      </rPr>
      <t>PT</t>
    </r>
    <r>
      <rPr>
        <b/>
        <sz val="24"/>
        <color rgb="FF000000"/>
        <rFont val="宋体"/>
        <charset val="134"/>
      </rPr>
      <t xml:space="preserve"> </t>
    </r>
    <r>
      <rPr>
        <b/>
        <sz val="24"/>
        <color rgb="FF000000"/>
        <rFont val="宋体"/>
        <charset val="134"/>
      </rPr>
      <t>ESHAKA</t>
    </r>
    <r>
      <rPr>
        <b/>
        <sz val="24"/>
        <color rgb="FF000000"/>
        <rFont val="宋体"/>
        <charset val="134"/>
      </rPr>
      <t xml:space="preserve"> </t>
    </r>
    <r>
      <rPr>
        <b/>
        <sz val="24"/>
        <color rgb="FF000000"/>
        <rFont val="宋体"/>
        <charset val="134"/>
      </rPr>
      <t>WIJAYA</t>
    </r>
    <r>
      <rPr>
        <b/>
        <sz val="24"/>
        <color rgb="FF000000"/>
        <rFont val="宋体"/>
        <charset val="134"/>
      </rPr>
      <t xml:space="preserve"> </t>
    </r>
    <r>
      <rPr>
        <b/>
        <sz val="24"/>
        <color rgb="FF000000"/>
        <rFont val="宋体"/>
        <charset val="134"/>
      </rPr>
      <t>LOGISTICS</t>
    </r>
    <r>
      <rPr>
        <b/>
        <sz val="24"/>
        <color rgb="FF000000"/>
        <rFont val="宋体"/>
        <charset val="134"/>
      </rPr>
      <t xml:space="preserve"> </t>
    </r>
    <r>
      <rPr>
        <b/>
        <sz val="24"/>
        <color rgb="FF000000"/>
        <rFont val="宋体"/>
        <charset val="134"/>
      </rPr>
      <t>TAHUN</t>
    </r>
    <r>
      <rPr>
        <b/>
        <sz val="24"/>
        <color rgb="FF000000"/>
        <rFont val="宋体"/>
        <charset val="134"/>
      </rPr>
      <t xml:space="preserve"> </t>
    </r>
    <r>
      <rPr>
        <b/>
        <sz val="24"/>
        <color rgb="FF000000"/>
        <rFont val="宋体"/>
        <charset val="134"/>
      </rPr>
      <t>2023</t>
    </r>
  </si>
  <si>
    <r>
      <rPr>
        <b/>
        <sz val="16"/>
        <color rgb="FF000000"/>
        <rFont val="宋体"/>
        <charset val="134"/>
      </rPr>
      <t>Periode</t>
    </r>
    <r>
      <rPr>
        <b/>
        <sz val="16"/>
        <color rgb="FF000000"/>
        <rFont val="宋体"/>
        <charset val="134"/>
      </rPr>
      <t xml:space="preserve"> </t>
    </r>
    <r>
      <rPr>
        <b/>
        <sz val="16"/>
        <color rgb="FF000000"/>
        <rFont val="宋体"/>
        <charset val="134"/>
      </rPr>
      <t>:</t>
    </r>
    <r>
      <rPr>
        <b/>
        <sz val="16"/>
        <color rgb="FF000000"/>
        <rFont val="宋体"/>
        <charset val="134"/>
      </rPr>
      <t xml:space="preserve"> </t>
    </r>
    <r>
      <rPr>
        <b/>
        <sz val="16"/>
        <color rgb="FF000000"/>
        <rFont val="宋体"/>
        <charset val="134"/>
      </rPr>
      <t>Oktober</t>
    </r>
    <r>
      <rPr>
        <b/>
        <sz val="16"/>
        <color rgb="FF000000"/>
        <rFont val="宋体"/>
        <charset val="134"/>
      </rPr>
      <t xml:space="preserve"> </t>
    </r>
    <r>
      <rPr>
        <b/>
        <sz val="16"/>
        <color rgb="FF000000"/>
        <rFont val="宋体"/>
        <charset val="134"/>
      </rPr>
      <t>2023</t>
    </r>
  </si>
  <si>
    <r>
      <rPr>
        <sz val="11"/>
        <color rgb="FF000000"/>
        <rFont val="宋体"/>
        <charset val="134"/>
      </rPr>
      <t>Order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Number</t>
    </r>
  </si>
  <si>
    <r>
      <rPr>
        <sz val="11"/>
        <color rgb="FF000000"/>
        <rFont val="宋体"/>
        <charset val="134"/>
      </rPr>
      <t>Customer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Name</t>
    </r>
  </si>
  <si>
    <r>
      <rPr>
        <sz val="11"/>
        <color rgb="FF000000"/>
        <rFont val="宋体"/>
        <charset val="134"/>
      </rPr>
      <t>Shipper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Name</t>
    </r>
  </si>
  <si>
    <r>
      <rPr>
        <sz val="11"/>
        <color rgb="FF000000"/>
        <rFont val="宋体"/>
        <charset val="134"/>
      </rPr>
      <t>BL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Number</t>
    </r>
  </si>
  <si>
    <t>Type</t>
  </si>
  <si>
    <r>
      <rPr>
        <sz val="11"/>
        <color rgb="FF000000"/>
        <rFont val="宋体"/>
        <charset val="134"/>
      </rPr>
      <t>Kontainer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No.</t>
    </r>
  </si>
  <si>
    <r>
      <rPr>
        <sz val="11"/>
        <color rgb="FF000000"/>
        <rFont val="宋体"/>
        <charset val="134"/>
      </rPr>
      <t>Commodity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</si>
  <si>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POL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-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POD</t>
    </r>
  </si>
  <si>
    <r>
      <rPr>
        <sz val="11"/>
        <color rgb="FF000000"/>
        <rFont val="宋体"/>
        <charset val="134"/>
      </rPr>
      <t>Delivery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Date</t>
    </r>
  </si>
  <si>
    <r>
      <rPr>
        <sz val="11"/>
        <color rgb="FF000000"/>
        <rFont val="宋体"/>
        <charset val="134"/>
      </rPr>
      <t>Liner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Airliner</t>
    </r>
  </si>
  <si>
    <t>Description</t>
  </si>
  <si>
    <t>Vendor</t>
  </si>
  <si>
    <t>Buying</t>
  </si>
  <si>
    <t>Selling</t>
  </si>
  <si>
    <r>
      <rPr>
        <sz val="11"/>
        <color rgb="FF000000"/>
        <rFont val="宋体"/>
        <charset val="134"/>
      </rPr>
      <t>Pot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PPh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2%</t>
    </r>
  </si>
  <si>
    <r>
      <rPr>
        <sz val="11"/>
        <color rgb="FF000000"/>
        <rFont val="宋体"/>
        <charset val="134"/>
      </rPr>
      <t>Margin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Revenue</t>
    </r>
  </si>
  <si>
    <t>Remark</t>
  </si>
  <si>
    <r>
      <rPr>
        <sz val="11"/>
        <color rgb="FF000000"/>
        <rFont val="宋体"/>
        <charset val="134"/>
      </rPr>
      <t>PT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Citra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Jaya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Hosindo</t>
    </r>
  </si>
  <si>
    <r>
      <rPr>
        <sz val="11"/>
        <color rgb="FF000000"/>
        <rFont val="宋体"/>
        <charset val="134"/>
      </rPr>
      <t>Henan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Huvlone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Hydraulic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Technology</t>
    </r>
  </si>
  <si>
    <r>
      <rPr>
        <sz val="11"/>
        <color rgb="FF000000"/>
        <rFont val="宋体"/>
        <charset val="134"/>
      </rPr>
      <t>Hydraulic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Hose</t>
    </r>
  </si>
  <si>
    <r>
      <rPr>
        <sz val="11"/>
        <color rgb="FF000000"/>
        <rFont val="宋体"/>
        <charset val="134"/>
      </rPr>
      <t>Qingdao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-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Jakarta</t>
    </r>
  </si>
  <si>
    <r>
      <rPr>
        <b/>
        <sz val="11"/>
        <color rgb="FF000000"/>
        <rFont val="宋体"/>
        <charset val="134"/>
      </rPr>
      <t>Invoice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Jasa</t>
    </r>
  </si>
  <si>
    <t>Handling</t>
  </si>
  <si>
    <t>Kaka Trans</t>
  </si>
  <si>
    <r>
      <rPr>
        <b/>
        <sz val="11"/>
        <color rgb="FF000000"/>
        <rFont val="宋体"/>
        <charset val="134"/>
      </rPr>
      <t>AJU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: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004943</t>
    </r>
  </si>
  <si>
    <r>
      <rPr>
        <sz val="11"/>
        <color rgb="FF000000"/>
        <rFont val="宋体"/>
        <charset val="134"/>
      </rPr>
      <t>PIB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EDI</t>
    </r>
  </si>
  <si>
    <t>JNE Tagihan</t>
  </si>
  <si>
    <t>Ewil</t>
  </si>
  <si>
    <t>LUNAS 15 /11/2023</t>
  </si>
  <si>
    <t>Pot Adm Bank</t>
  </si>
  <si>
    <t>CJH</t>
  </si>
  <si>
    <t>Trucking</t>
  </si>
  <si>
    <t>Hanabi</t>
  </si>
  <si>
    <r>
      <rPr>
        <b/>
        <sz val="11"/>
        <color rgb="FF000000"/>
        <rFont val="宋体"/>
        <charset val="134"/>
      </rPr>
      <t>Debit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Note</t>
    </r>
  </si>
  <si>
    <r>
      <rPr>
        <sz val="11"/>
        <color rgb="FF000000"/>
        <rFont val="宋体"/>
        <charset val="134"/>
      </rPr>
      <t>Lift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Of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Lift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On</t>
    </r>
  </si>
  <si>
    <t>As Per Receipt</t>
  </si>
  <si>
    <r>
      <rPr>
        <sz val="11"/>
        <color rgb="FF000000"/>
        <rFont val="宋体"/>
        <charset val="134"/>
      </rPr>
      <t>Storage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Pelindo</t>
    </r>
  </si>
  <si>
    <r>
      <rPr>
        <sz val="11"/>
        <color rgb="FF000000"/>
        <rFont val="宋体"/>
        <charset val="134"/>
      </rPr>
      <t>Do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Charges</t>
    </r>
  </si>
  <si>
    <t>Parkir</t>
  </si>
  <si>
    <t>Biaya Bongkar</t>
  </si>
  <si>
    <t>TF 15/11/23</t>
  </si>
  <si>
    <r>
      <rPr>
        <sz val="11"/>
        <color rgb="FF000000"/>
        <rFont val="宋体"/>
        <charset val="134"/>
      </rPr>
      <t>PT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Citra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Perdana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Putra</t>
    </r>
  </si>
  <si>
    <r>
      <rPr>
        <sz val="11"/>
        <color rgb="FF000000"/>
        <rFont val="宋体"/>
        <charset val="134"/>
      </rPr>
      <t>Inner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Mongolia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Epen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Biotech</t>
    </r>
  </si>
  <si>
    <r>
      <rPr>
        <sz val="11"/>
        <color rgb="FF000000"/>
        <rFont val="宋体"/>
        <charset val="134"/>
      </rPr>
      <t>Monosodium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Glutamate</t>
    </r>
  </si>
  <si>
    <r>
      <rPr>
        <sz val="11"/>
        <color rgb="FF000000"/>
        <rFont val="宋体"/>
        <charset val="134"/>
      </rPr>
      <t>Xinggang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-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Semarang</t>
    </r>
  </si>
  <si>
    <r>
      <rPr>
        <sz val="11"/>
        <color rgb="FF000000"/>
        <rFont val="宋体"/>
        <charset val="134"/>
      </rPr>
      <t>26-10-2023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TITIP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DEPO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PENITIPAN</t>
    </r>
  </si>
  <si>
    <r>
      <rPr>
        <sz val="11"/>
        <color rgb="FF000000"/>
        <rFont val="宋体"/>
        <charset val="134"/>
      </rPr>
      <t>Handling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Green</t>
    </r>
  </si>
  <si>
    <r>
      <rPr>
        <b/>
        <sz val="11"/>
        <color rgb="FF000000"/>
        <rFont val="宋体"/>
        <charset val="134"/>
      </rPr>
      <t>AJU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: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003957</t>
    </r>
  </si>
  <si>
    <r>
      <rPr>
        <sz val="11"/>
        <color rgb="FF000000"/>
        <rFont val="宋体"/>
        <charset val="134"/>
      </rPr>
      <t>Materai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Pcs</t>
    </r>
  </si>
  <si>
    <t>EWL2310-002/R</t>
  </si>
  <si>
    <r>
      <rPr>
        <sz val="11"/>
        <color rgb="FF000000"/>
        <rFont val="宋体"/>
        <charset val="134"/>
      </rPr>
      <t>Trucking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SMG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-Yogya</t>
    </r>
  </si>
  <si>
    <r>
      <rPr>
        <sz val="11"/>
        <color rgb="FF000000"/>
        <rFont val="宋体"/>
        <charset val="134"/>
      </rPr>
      <t>Trucking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Repo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Penitipan</t>
    </r>
  </si>
  <si>
    <r>
      <rPr>
        <sz val="11"/>
        <color rgb="FF000000"/>
        <rFont val="宋体"/>
        <charset val="134"/>
      </rPr>
      <t>Storage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Penitipan</t>
    </r>
  </si>
  <si>
    <r>
      <rPr>
        <sz val="11"/>
        <color rgb="FF000000"/>
        <rFont val="宋体"/>
        <charset val="134"/>
      </rPr>
      <t>Lolo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Penitipan</t>
    </r>
  </si>
  <si>
    <r>
      <rPr>
        <sz val="11"/>
        <color rgb="FF000000"/>
        <rFont val="宋体"/>
        <charset val="134"/>
      </rPr>
      <t>Admin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Penitipan</t>
    </r>
  </si>
  <si>
    <t xml:space="preserve">Refund Dewi </t>
  </si>
  <si>
    <t>Do Charges</t>
  </si>
  <si>
    <t>Storage</t>
  </si>
  <si>
    <t>Detention</t>
  </si>
  <si>
    <t>Adm Det</t>
  </si>
  <si>
    <t>Biaya Materai</t>
  </si>
  <si>
    <r>
      <rPr>
        <sz val="11"/>
        <color rgb="FF000000"/>
        <rFont val="宋体"/>
        <charset val="134"/>
      </rPr>
      <t>PT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Bepahkupi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Global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Ekspor</t>
    </r>
  </si>
  <si>
    <r>
      <rPr>
        <sz val="11"/>
        <color rgb="FF000000"/>
        <rFont val="宋体"/>
        <charset val="134"/>
      </rPr>
      <t>Beijing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Guixia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Legend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Trading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</si>
  <si>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Import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LCL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Air</t>
    </r>
  </si>
  <si>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Pallet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853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Kg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Cbm</t>
    </r>
  </si>
  <si>
    <r>
      <rPr>
        <sz val="11"/>
        <color rgb="FF000000"/>
        <rFont val="宋体"/>
        <charset val="134"/>
      </rPr>
      <t>Coffee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Sparepart</t>
    </r>
  </si>
  <si>
    <r>
      <rPr>
        <sz val="11"/>
        <color rgb="FF000000"/>
        <rFont val="宋体"/>
        <charset val="134"/>
      </rPr>
      <t>Shanghai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-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CGK</t>
    </r>
  </si>
  <si>
    <r>
      <rPr>
        <sz val="11"/>
        <color rgb="FF000000"/>
        <rFont val="宋体"/>
        <charset val="134"/>
      </rPr>
      <t>19/10/23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16:00</t>
    </r>
  </si>
  <si>
    <t>GA</t>
  </si>
  <si>
    <r>
      <rPr>
        <sz val="11"/>
        <color rgb="FF000000"/>
        <rFont val="宋体"/>
        <charset val="134"/>
      </rPr>
      <t>Doc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Fee</t>
    </r>
  </si>
  <si>
    <r>
      <rPr>
        <sz val="11"/>
        <color rgb="FF000000"/>
        <rFont val="宋体"/>
        <charset val="134"/>
      </rPr>
      <t>Win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Share</t>
    </r>
  </si>
  <si>
    <r>
      <rPr>
        <sz val="11"/>
        <color rgb="FF000000"/>
        <rFont val="宋体"/>
        <charset val="134"/>
      </rPr>
      <t>Cancel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Pick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up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&amp;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Delivery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back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Cargo</t>
    </r>
  </si>
  <si>
    <r>
      <rPr>
        <sz val="11"/>
        <color rgb="FF000000"/>
        <rFont val="宋体"/>
        <charset val="134"/>
      </rPr>
      <t>Custom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Origin</t>
    </r>
  </si>
  <si>
    <r>
      <rPr>
        <sz val="11"/>
        <color rgb="FF000000"/>
        <rFont val="宋体"/>
        <charset val="134"/>
      </rPr>
      <t>Adm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BCA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Tf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Valas</t>
    </r>
  </si>
  <si>
    <r>
      <rPr>
        <sz val="11"/>
        <color rgb="FF000000"/>
        <rFont val="宋体"/>
        <charset val="134"/>
      </rPr>
      <t>Handling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Origin</t>
    </r>
  </si>
  <si>
    <r>
      <rPr>
        <b/>
        <sz val="11"/>
        <color rgb="FF000000"/>
        <rFont val="宋体"/>
        <charset val="134"/>
      </rPr>
      <t>Invoice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No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: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SO2310-003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16/10/23</t>
    </r>
  </si>
  <si>
    <r>
      <rPr>
        <sz val="11"/>
        <color rgb="FF000000"/>
        <rFont val="宋体"/>
        <charset val="134"/>
      </rPr>
      <t>Pick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Up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Charge</t>
    </r>
  </si>
  <si>
    <r>
      <rPr>
        <sz val="11"/>
        <color rgb="FF000000"/>
        <rFont val="宋体"/>
        <charset val="134"/>
      </rPr>
      <t>Delivery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Charge</t>
    </r>
  </si>
  <si>
    <r>
      <rPr>
        <b/>
        <sz val="11"/>
        <color rgb="FF000000"/>
        <rFont val="宋体"/>
        <charset val="134"/>
      </rPr>
      <t>LUNAS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19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/10/2023</t>
    </r>
  </si>
  <si>
    <r>
      <rPr>
        <sz val="11"/>
        <color rgb="FF000000"/>
        <rFont val="宋体"/>
        <charset val="134"/>
      </rPr>
      <t>Xinggang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-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Jakarta</t>
    </r>
  </si>
  <si>
    <r>
      <rPr>
        <sz val="11"/>
        <color rgb="FF000000"/>
        <rFont val="宋体"/>
        <charset val="134"/>
      </rPr>
      <t>Kaka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Trans</t>
    </r>
  </si>
  <si>
    <r>
      <rPr>
        <b/>
        <sz val="11"/>
        <color rgb="FF000000"/>
        <rFont val="宋体"/>
        <charset val="134"/>
      </rPr>
      <t>AJU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: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004952</t>
    </r>
  </si>
  <si>
    <t>Biaya DO</t>
  </si>
  <si>
    <r>
      <rPr>
        <sz val="11"/>
        <color rgb="FF000000"/>
        <rFont val="宋体"/>
        <charset val="134"/>
      </rPr>
      <t>Trucking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Dadap</t>
    </r>
  </si>
  <si>
    <r>
      <rPr>
        <sz val="11"/>
        <color rgb="FF000000"/>
        <rFont val="宋体"/>
        <charset val="134"/>
      </rPr>
      <t>Stempel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Pcs</t>
    </r>
  </si>
  <si>
    <r>
      <rPr>
        <sz val="11"/>
        <color rgb="FF000000"/>
        <rFont val="宋体"/>
        <charset val="134"/>
      </rPr>
      <t>S.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Kembangan</t>
    </r>
  </si>
  <si>
    <r>
      <rPr>
        <sz val="11"/>
        <color rgb="FF000000"/>
        <rFont val="宋体"/>
        <charset val="134"/>
      </rPr>
      <t>Refund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Dewi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</si>
  <si>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BCA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Dewi</t>
    </r>
  </si>
  <si>
    <r>
      <rPr>
        <sz val="11"/>
        <color rgb="FF000000"/>
        <rFont val="宋体"/>
        <charset val="134"/>
      </rPr>
      <t>Seacon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Hanabi</t>
    </r>
  </si>
  <si>
    <r>
      <rPr>
        <sz val="11"/>
        <color rgb="FF000000"/>
        <rFont val="宋体"/>
        <charset val="134"/>
      </rPr>
      <t>Storage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NPCT1</t>
    </r>
  </si>
  <si>
    <t>Ewilog</t>
  </si>
  <si>
    <r>
      <rPr>
        <sz val="11"/>
        <color rgb="FF000000"/>
        <rFont val="宋体"/>
        <charset val="134"/>
      </rPr>
      <t>Biaya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Bongkar</t>
    </r>
  </si>
  <si>
    <r>
      <rPr>
        <b/>
        <sz val="11"/>
        <color rgb="FF000000"/>
        <rFont val="宋体"/>
        <charset val="134"/>
      </rPr>
      <t>AJU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: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004961</t>
    </r>
  </si>
  <si>
    <r>
      <rPr>
        <b/>
        <sz val="11"/>
        <color rgb="FF000000"/>
        <rFont val="宋体"/>
        <charset val="134"/>
      </rPr>
      <t>Total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Buying</t>
    </r>
  </si>
  <si>
    <r>
      <rPr>
        <b/>
        <sz val="11"/>
        <color rgb="FF000000"/>
        <rFont val="宋体"/>
        <charset val="134"/>
      </rPr>
      <t>Total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Selling</t>
    </r>
  </si>
  <si>
    <r>
      <rPr>
        <b/>
        <sz val="11"/>
        <color rgb="FF000000"/>
        <rFont val="宋体"/>
        <charset val="134"/>
      </rPr>
      <t>Total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Pph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2%</t>
    </r>
  </si>
  <si>
    <r>
      <rPr>
        <b/>
        <sz val="11"/>
        <color rgb="FF000000"/>
        <rFont val="宋体"/>
        <charset val="134"/>
      </rPr>
      <t>Total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Profit</t>
    </r>
    <r>
      <rPr>
        <b/>
        <sz val="11"/>
        <color rgb="FF00000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Sementara</t>
    </r>
  </si>
  <si>
    <t>PIUTANG LIST CUSTOMER EWILOG</t>
  </si>
  <si>
    <t>Customer</t>
  </si>
  <si>
    <t>SO Order Number</t>
  </si>
  <si>
    <t>BL No</t>
  </si>
  <si>
    <t>Shipment</t>
  </si>
  <si>
    <t>Invoice / DN No</t>
  </si>
  <si>
    <t>Nominal INV</t>
  </si>
  <si>
    <t>Nominal DN</t>
  </si>
  <si>
    <t>Pot PPH</t>
  </si>
  <si>
    <t>Total Transfer</t>
  </si>
  <si>
    <t>Profit</t>
  </si>
  <si>
    <t>Tgl Jth Tempo</t>
  </si>
  <si>
    <t>Tgl Payment</t>
  </si>
  <si>
    <t>Bulan : OKTOBER 2023</t>
  </si>
  <si>
    <t>Total Transfer IDR 31.380.652</t>
  </si>
  <si>
    <t>Over Payment</t>
  </si>
  <si>
    <t>EWL2311-002/R/1</t>
  </si>
  <si>
    <t>Total Transfer IDR 14.125.410</t>
  </si>
  <si>
    <t>SUBTOTAL</t>
  </si>
  <si>
    <t>Bulan : NOVEMBER 2023</t>
  </si>
  <si>
    <t>Import Truck Only</t>
  </si>
  <si>
    <t>EWL2311-003</t>
  </si>
  <si>
    <t>Bulan : DESEMBER 2023</t>
  </si>
  <si>
    <t>EWL2311-004/R</t>
  </si>
  <si>
    <t>Total Transfer IDR 165,873,825</t>
  </si>
  <si>
    <t>EWL2311-005/R</t>
  </si>
  <si>
    <t>Total Transfer IDR 111.277.296</t>
  </si>
  <si>
    <t>EWL2311-006/R</t>
  </si>
  <si>
    <t>PT Fecalindo Dinamika Intiprima</t>
  </si>
  <si>
    <t>EWL2312-002/R</t>
  </si>
  <si>
    <t>Total Transfer IDR 48.527.501</t>
  </si>
  <si>
    <t>EWL2312003/R</t>
  </si>
  <si>
    <t>Export Truck Only</t>
  </si>
  <si>
    <t>PT Primaplast Indonesia</t>
  </si>
  <si>
    <t>Export AF &amp; Custom</t>
  </si>
  <si>
    <t xml:space="preserve">Dibayar Tg 15 Mar 24 INV Only 34.673.890 Sisa DN 2.176.524 4/4/24 </t>
  </si>
  <si>
    <t>lunas</t>
  </si>
  <si>
    <t>Bulan : JANUARI 2024</t>
  </si>
  <si>
    <t>KMTCTAO7183485013</t>
  </si>
  <si>
    <t>Trucking Only</t>
  </si>
  <si>
    <t>EWL2401-001</t>
  </si>
  <si>
    <t>SO2401-004</t>
  </si>
  <si>
    <t>EWL2401004/R</t>
  </si>
  <si>
    <t>Total Transfer IDR 85.842.894</t>
  </si>
  <si>
    <t>19-27/Mar/2024</t>
  </si>
  <si>
    <t>Total Transfer IDR 111.277.296 (6.160.000 + 1.168.273) Total 7.328.273 Sisa 1.708.406 di tf Tgl 27/3/24 Total Transfer 85.842.894</t>
  </si>
  <si>
    <t>EWL2401-009</t>
  </si>
  <si>
    <t>EWL2401010/R</t>
  </si>
  <si>
    <t>EWL2401011/R</t>
  </si>
  <si>
    <t>Domestik Truck Only</t>
  </si>
  <si>
    <t>EWL2401013/R</t>
  </si>
  <si>
    <t>Bulan : FEBRUARI 2024</t>
  </si>
  <si>
    <t>EWL2402001</t>
  </si>
  <si>
    <t>Total Transfer IDR 58.185.303</t>
  </si>
  <si>
    <t>EWL2402004</t>
  </si>
  <si>
    <t>1 Unit Wingsbox</t>
  </si>
  <si>
    <t>EWL2402007</t>
  </si>
  <si>
    <t>EWL2402008</t>
  </si>
  <si>
    <t>EWL2402009</t>
  </si>
  <si>
    <t>EWL2402010</t>
  </si>
  <si>
    <t>EWL2402011</t>
  </si>
  <si>
    <t>Export AF</t>
  </si>
  <si>
    <t>EWL2402015/R</t>
  </si>
  <si>
    <t>EWL2402016/R</t>
  </si>
  <si>
    <t>Bulan : MARET 2024</t>
  </si>
  <si>
    <t>Total Transfer IDR 5.900.000</t>
  </si>
  <si>
    <t>SO2403-002</t>
  </si>
  <si>
    <t>SO2403-003</t>
  </si>
  <si>
    <t>049EX02376</t>
  </si>
  <si>
    <t>EWL2403003</t>
  </si>
  <si>
    <t>SO2403-004</t>
  </si>
  <si>
    <t>WFLQDCJKT24037941</t>
  </si>
  <si>
    <t>SO2403-005</t>
  </si>
  <si>
    <t>2024JTYK0063010</t>
  </si>
  <si>
    <t>OF LCL</t>
  </si>
  <si>
    <t>EWL2403005</t>
  </si>
  <si>
    <t>TITIP TAGIH DI DN</t>
  </si>
  <si>
    <t>SO2403-006</t>
  </si>
  <si>
    <t>MAEU236742164</t>
  </si>
  <si>
    <t>EWL2403006</t>
  </si>
  <si>
    <t>Bulan : APRIL 2024</t>
  </si>
  <si>
    <t>SO2404-001</t>
  </si>
  <si>
    <t>EBKG08437598</t>
  </si>
  <si>
    <t>EWL2404001</t>
  </si>
  <si>
    <t>PT Cimc Wetrans Indonesia</t>
  </si>
  <si>
    <t>SO2404-002</t>
  </si>
  <si>
    <t>SNKO079240400022</t>
  </si>
  <si>
    <t>Trucking Export Sby</t>
  </si>
  <si>
    <t>EWL2402002/R</t>
  </si>
  <si>
    <t>SO2404-003</t>
  </si>
  <si>
    <t>SITGTXDR473120</t>
  </si>
  <si>
    <t>EWL2404003/R</t>
  </si>
  <si>
    <t>SO2404-004</t>
  </si>
  <si>
    <t>SITGTXDR443121</t>
  </si>
  <si>
    <t>EWL2404004</t>
  </si>
  <si>
    <t>SO2404-005</t>
  </si>
  <si>
    <t>SITGTXDR473123</t>
  </si>
  <si>
    <t>EWL2404005</t>
  </si>
  <si>
    <t>SO2404-006</t>
  </si>
  <si>
    <t>MAEU237217560</t>
  </si>
  <si>
    <t>EWL2404006</t>
  </si>
  <si>
    <t>Bulan : May 2024</t>
  </si>
  <si>
    <t>SO2405-001</t>
  </si>
  <si>
    <t>CXCOSHA2067665</t>
  </si>
  <si>
    <t>Import Trucking &amp; Storage PMP</t>
  </si>
  <si>
    <t>EWL2405001</t>
  </si>
  <si>
    <t>TF TGL 25/6/24 IDR 11.405.990 KURANG BAYAR SEWA HARIAN</t>
  </si>
  <si>
    <t>PT Alvio Victori</t>
  </si>
  <si>
    <t>SO2405-002</t>
  </si>
  <si>
    <t>EWL2405002</t>
  </si>
  <si>
    <t>SO2405-003</t>
  </si>
  <si>
    <t>COAU7244244850</t>
  </si>
  <si>
    <t>EWL2405003</t>
  </si>
  <si>
    <t>SO2405-004</t>
  </si>
  <si>
    <t>SITGTXJT479446</t>
  </si>
  <si>
    <t>EWL2405004</t>
  </si>
  <si>
    <t>PT Inside Development Group</t>
  </si>
  <si>
    <t>SO2405-005</t>
  </si>
  <si>
    <t>71241021018042</t>
  </si>
  <si>
    <t>Handling Custom</t>
  </si>
  <si>
    <t>EWL2405005/A</t>
  </si>
  <si>
    <t>PT Mas Mewah / Traclineoo</t>
  </si>
  <si>
    <t>SO2405-006</t>
  </si>
  <si>
    <t>MCLPKG24002370</t>
  </si>
  <si>
    <t xml:space="preserve">Trucking &amp; SP2 </t>
  </si>
  <si>
    <t>EWL2405006</t>
  </si>
  <si>
    <t>CV Persada Indah Mandiri</t>
  </si>
  <si>
    <t>SO2405-007</t>
  </si>
  <si>
    <t>EWL2405007</t>
  </si>
  <si>
    <t>SO2405-008</t>
  </si>
  <si>
    <t>JKT400199200</t>
  </si>
  <si>
    <t>Tucking &amp; Export Custome</t>
  </si>
  <si>
    <t>EWL2405008</t>
  </si>
  <si>
    <t>Bulan : Juni 2024</t>
  </si>
  <si>
    <t>PT GPI Logistics TBK</t>
  </si>
  <si>
    <t>SO2406-001</t>
  </si>
  <si>
    <t>160-78464794</t>
  </si>
  <si>
    <t xml:space="preserve">Import Trucking Udara </t>
  </si>
  <si>
    <t>EWL2406001</t>
  </si>
  <si>
    <t>SO2406-002</t>
  </si>
  <si>
    <t>COAU7249231570</t>
  </si>
  <si>
    <t>Import Trucking Cileungsi</t>
  </si>
  <si>
    <t>EWL2406002</t>
  </si>
  <si>
    <t>SO2406-003</t>
  </si>
  <si>
    <t>JKTE64277500</t>
  </si>
  <si>
    <t>EWL2406003</t>
  </si>
  <si>
    <t>SO2406-004</t>
  </si>
  <si>
    <t>HASLC01240511230</t>
  </si>
  <si>
    <t>Import Trucking 3X20 Karawang</t>
  </si>
  <si>
    <t>EWL2406004</t>
  </si>
  <si>
    <t xml:space="preserve">PT Efata Tekhnik </t>
  </si>
  <si>
    <t>SO2406-005</t>
  </si>
  <si>
    <t>06/SJP/SS-PJM/V/2024</t>
  </si>
  <si>
    <t>EWL2406005</t>
  </si>
  <si>
    <t>HUTANG LIST VENDOR</t>
  </si>
  <si>
    <t>Vendor Name</t>
  </si>
  <si>
    <t>Deskripsi</t>
  </si>
  <si>
    <t>No Rekening</t>
  </si>
  <si>
    <t>Atas Nama</t>
  </si>
  <si>
    <t>SO Number</t>
  </si>
  <si>
    <t>Adm TF bank</t>
  </si>
  <si>
    <t>Nominal Inv</t>
  </si>
  <si>
    <t>Tgl Terima Inv</t>
  </si>
  <si>
    <t>PT Hanabi Shigara Niapi</t>
  </si>
  <si>
    <t>Trucking CPP Dadap 1x20GP</t>
  </si>
  <si>
    <t>BTN 001601560012451</t>
  </si>
  <si>
    <t>Julia Purba</t>
  </si>
  <si>
    <t>PT Kaka Translink International</t>
  </si>
  <si>
    <t>PIB, Handling &amp; DO fee</t>
  </si>
  <si>
    <t>BCA 1640677763</t>
  </si>
  <si>
    <t>Sugeng Prihanto</t>
  </si>
  <si>
    <t>SO2310-001/004/005</t>
  </si>
  <si>
    <t>PT Patogar Jaya Trans</t>
  </si>
  <si>
    <t>Trucking CPP &amp; CJH 2x20Gp</t>
  </si>
  <si>
    <t>BCA 5212057339</t>
  </si>
  <si>
    <t>Nurlela Siagian</t>
  </si>
  <si>
    <t>SO2310-001/005</t>
  </si>
  <si>
    <t>Mustika Rohmah</t>
  </si>
  <si>
    <t>Talangan Tf Pak Udi, Paket Data Eshaka, Pak Budi</t>
  </si>
  <si>
    <t>Mandiri 1180011240776</t>
  </si>
  <si>
    <t>Tf Via Mustika</t>
  </si>
  <si>
    <t>PT Maju Jaya Transport</t>
  </si>
  <si>
    <t>Trucking Exodus 1x20gp Legok</t>
  </si>
  <si>
    <t>BCA 6300158089</t>
  </si>
  <si>
    <t>Tuti Hendayani</t>
  </si>
  <si>
    <t>Trucking 1x40HQ Dolphin Cikupa</t>
  </si>
  <si>
    <t>BCA 4142299368</t>
  </si>
  <si>
    <t>Kopindo Siregar</t>
  </si>
  <si>
    <t xml:space="preserve">Win Share Supply Chain </t>
  </si>
  <si>
    <t>OF Agata 1X40HQ Shenzhen</t>
  </si>
  <si>
    <t>HSBC 149352445838</t>
  </si>
  <si>
    <t>Win Share Supply Chain (HK) Co., Limited</t>
  </si>
  <si>
    <t>PT Samudera Perdana Selaras</t>
  </si>
  <si>
    <t>PIB, Handling, Trucking &amp; DO fee CPP SO2310-002</t>
  </si>
  <si>
    <t>BCA 8035008566</t>
  </si>
  <si>
    <t>Talangan Byr DO Maerskline CPP SO2310-002/2311-005</t>
  </si>
  <si>
    <t>PT Prasetya Mitra Persada</t>
  </si>
  <si>
    <t>Trucking 3X40RF PT Quanterm SO2313-005</t>
  </si>
  <si>
    <t>Mandiri 1250013602719</t>
  </si>
  <si>
    <t>PIB, Handling &amp; DO fee CPP</t>
  </si>
  <si>
    <t>BCA 5510185091</t>
  </si>
  <si>
    <t>Adam Iskandar</t>
  </si>
  <si>
    <t>SO2311-005/2312-002</t>
  </si>
  <si>
    <t>20/12/2023</t>
  </si>
  <si>
    <t>Trucking &amp; Lolo CPP SO2311-005/ 2312-002</t>
  </si>
  <si>
    <t>Talangan Dolphin Handling &amp; Lolo SO2312-006</t>
  </si>
  <si>
    <t>Handling, PIb &amp; Trucking CPP</t>
  </si>
  <si>
    <t>Talangan Dolphin Handling &amp; Lolo SO2401-008</t>
  </si>
  <si>
    <t>PT Turangga Cahya Sinergi</t>
  </si>
  <si>
    <t xml:space="preserve">Tagihan Trucking Dolphin </t>
  </si>
  <si>
    <t>BCA 1662995724</t>
  </si>
  <si>
    <t>David Budi Prasetyo</t>
  </si>
  <si>
    <t>SO2410-008</t>
  </si>
  <si>
    <t>Trucking Quanterm Export 1X40RF</t>
  </si>
  <si>
    <t>Lolo Quanterm Export 1X40RF</t>
  </si>
  <si>
    <t>Storage dan Handling Quanterm Export 1X40RF</t>
  </si>
  <si>
    <t>John Najoan</t>
  </si>
  <si>
    <t>Trucking CPP Udara &amp; Gate Pass Gapura</t>
  </si>
  <si>
    <t>Mandiri 1170006917017</t>
  </si>
  <si>
    <t>Trucking WB MKT Cikampek - Penjaringan</t>
  </si>
  <si>
    <t>Trucking Cakung Obor Domestik</t>
  </si>
  <si>
    <t>Handling PIB Trucking dan Custom</t>
  </si>
  <si>
    <t>Talangan Handling, DO, Refund Dewi, Ambil Tunai, Kuota Ewilog &amp; Lolo Dolphin</t>
  </si>
  <si>
    <t xml:space="preserve">SO2402-001/017/2401-2/3/4/5/6/7 </t>
  </si>
  <si>
    <t>OF Elmaro Qingdao to JKT</t>
  </si>
  <si>
    <t>PT SAP Logistik</t>
  </si>
  <si>
    <t>Trucking PT Obor</t>
  </si>
  <si>
    <t>BCA 0070577321</t>
  </si>
  <si>
    <t>Triwira Jaya Selaras</t>
  </si>
  <si>
    <t>Trucking Obor Export</t>
  </si>
  <si>
    <t>SO2402-002/003</t>
  </si>
  <si>
    <t>Trucking 1x20gp Elmaro</t>
  </si>
  <si>
    <t>Handling PIB, Redline CV Elmaro</t>
  </si>
  <si>
    <t>PT Abe Transindo Perkasa</t>
  </si>
  <si>
    <t xml:space="preserve">Handling, PIB CPP </t>
  </si>
  <si>
    <t>Mandiri 1400066028888</t>
  </si>
  <si>
    <t>Handling PIB CPP</t>
  </si>
  <si>
    <t>PT Rafindo Trans Mandiri</t>
  </si>
  <si>
    <t>Handling, Pib Dan Trucking</t>
  </si>
  <si>
    <t>Mandiri 1420099888579</t>
  </si>
  <si>
    <t>Yossie Putriani Agusta</t>
  </si>
  <si>
    <t>Lolo Logisklik Gemilang / Awaludin</t>
  </si>
  <si>
    <t>BCA 4281919002</t>
  </si>
  <si>
    <t>Trucking Logisklik Gemilang / Awaludin</t>
  </si>
  <si>
    <t>PT Wintrans Jaya Lestari</t>
  </si>
  <si>
    <t>Trucking dan Lolo Logisklik Gemilang</t>
  </si>
  <si>
    <t>Mandiri 1650056006001</t>
  </si>
  <si>
    <t>Penitipan Kontainer</t>
  </si>
  <si>
    <t>PT Samudera Deli Logistik</t>
  </si>
  <si>
    <t>Tagihan PIB, Handling Custom CPP SO2312-004</t>
  </si>
  <si>
    <t>OCBC NISP 127800000938</t>
  </si>
  <si>
    <t>PT Anugerah Tangkas Transportindo</t>
  </si>
  <si>
    <t xml:space="preserve">AF Export CGK to NGO Japan Primaplast </t>
  </si>
  <si>
    <t>Mandiri 1180011555553</t>
  </si>
  <si>
    <t>Bulan : MARCH 2024</t>
  </si>
  <si>
    <t xml:space="preserve">Trucking PT Dolphin </t>
  </si>
  <si>
    <t>Handling, PIB &amp; Trucking CPP SBY</t>
  </si>
  <si>
    <t>Handling PIB Trucking dan Custom CPP SBY</t>
  </si>
  <si>
    <t>Talangan Bayar Win Share Elmaro &amp; Talangan</t>
  </si>
  <si>
    <t>Asiah</t>
  </si>
  <si>
    <t>BCA</t>
  </si>
  <si>
    <t>Handling PIB &amp; Trucking Semarang CPP</t>
  </si>
  <si>
    <t>PT Alia Duta Pertiwi</t>
  </si>
  <si>
    <t>Trucking Lowbed &amp; Rework</t>
  </si>
  <si>
    <t>Mandiri 1350015102690</t>
  </si>
  <si>
    <t>Trucking PT CJH</t>
  </si>
  <si>
    <t>PT Swan Utama Logisik</t>
  </si>
  <si>
    <t>Trucking 1X20GP Rembang Pasuruan Export PT CIMC Wetrans</t>
  </si>
  <si>
    <t xml:space="preserve">BCA 4681433079 </t>
  </si>
  <si>
    <t>Suyin Andayani</t>
  </si>
  <si>
    <t>Trucking PT Quanterm Logistindo</t>
  </si>
  <si>
    <t>PT Smart Genset Transcold</t>
  </si>
  <si>
    <t>Sewa Genset PT Quanterm Logistindo</t>
  </si>
  <si>
    <t>BCA 5681533835</t>
  </si>
  <si>
    <t>Smart Genset Transcold</t>
  </si>
  <si>
    <t>Bulan : MAY 2024</t>
  </si>
  <si>
    <t>Handling &amp; PEB Export PT CIMC Wetrans</t>
  </si>
  <si>
    <t>Lift Off PT Obor Pratama Indonesia</t>
  </si>
  <si>
    <t>Trucking PT Obor Pratama Indonesia</t>
  </si>
  <si>
    <t>Trucking PT Mas Mewah / Traclineoo</t>
  </si>
  <si>
    <t>Lolo Adm  PT Mas Mewah / Traclineoo</t>
  </si>
  <si>
    <t>Penitipan Gudang PT Obor Pratama Indonesia</t>
  </si>
  <si>
    <t>TKBM Klasifikasi Gudang PT Obor Pratama Indonesia</t>
  </si>
  <si>
    <t>PT Widarta Pratama Mandiri</t>
  </si>
  <si>
    <t>Handling &amp; PIB Custom PT Inside</t>
  </si>
  <si>
    <t>Panin 4132002742</t>
  </si>
  <si>
    <t>Bulan : JUNI 2024</t>
  </si>
  <si>
    <t xml:space="preserve">Trucking Dolphin </t>
  </si>
  <si>
    <t>PT Triwira Jaya Selaras</t>
  </si>
  <si>
    <t>PT Eksporindo Mitra Logistic</t>
  </si>
  <si>
    <t>Trucking dan Handling CPP Jakarta</t>
  </si>
  <si>
    <t>Mandiri 1200011577595</t>
  </si>
  <si>
    <t>Trucking PT GPI 3x20 Karawang</t>
  </si>
  <si>
    <t>Trucking dan Handling CPP Surabaya</t>
  </si>
  <si>
    <t>Trucking dan Handling CPP Semarang</t>
  </si>
  <si>
    <t>Trucking PT Dolphin &amp; PT Obor</t>
  </si>
  <si>
    <t>Bulan : JULY 2024</t>
  </si>
  <si>
    <t>Handling &amp; Trucking CPP Jakarta</t>
  </si>
  <si>
    <t>SO2407-007</t>
  </si>
  <si>
    <t>PT Grha Saba Permana</t>
  </si>
  <si>
    <t>Handling &amp; PIB Jakarana Tama</t>
  </si>
  <si>
    <t>BCA 5213888322</t>
  </si>
  <si>
    <t>SO2407-001</t>
  </si>
  <si>
    <t>Trucking PT GPI 1x20 Karawang</t>
  </si>
  <si>
    <t>SO2407-005</t>
  </si>
  <si>
    <t>Trucking PT Jakarana Tama</t>
  </si>
  <si>
    <t>PT Saipan Prima Global</t>
  </si>
  <si>
    <t>Deni</t>
  </si>
  <si>
    <t>SO2407-003</t>
  </si>
  <si>
    <t>REKON REKENING MANDIRI PT ESHAKA WIJAYA LOGISTICS</t>
  </si>
  <si>
    <t>PETTY CASH OKTOBER 2023</t>
  </si>
  <si>
    <t>PERIODE OKTOBER 2023</t>
  </si>
  <si>
    <t>Tgl</t>
  </si>
  <si>
    <t>Debit</t>
  </si>
  <si>
    <t xml:space="preserve">Kredit </t>
  </si>
  <si>
    <t>Penyesuaian</t>
  </si>
  <si>
    <t>Tanggal</t>
  </si>
  <si>
    <t>Kredit</t>
  </si>
  <si>
    <t>Saldo</t>
  </si>
  <si>
    <t>Tarik Tunai Saldo Awal</t>
  </si>
  <si>
    <t>20/10/2023</t>
  </si>
  <si>
    <t>Setor Tunai Profit Bepah</t>
  </si>
  <si>
    <t>Materai Pos indo 50lbr</t>
  </si>
  <si>
    <t>DO Maersk Line CPP SO2310-004</t>
  </si>
  <si>
    <t>27/10/2023</t>
  </si>
  <si>
    <t>JNE Kaka Trans Doc CPP</t>
  </si>
  <si>
    <t>Pinjam Dana Eshaka From Asiah</t>
  </si>
  <si>
    <t>Amplop Folio, HVS A4 &amp; Map</t>
  </si>
  <si>
    <t>26/10/2023</t>
  </si>
  <si>
    <t>Storage CPP NPCT1 SO2310-004</t>
  </si>
  <si>
    <t>30/11/2023</t>
  </si>
  <si>
    <t xml:space="preserve">Pulsa Eshaka </t>
  </si>
  <si>
    <t>Pembayaran Legalitas &amp; Alat Office (Rincian Terpisah)</t>
  </si>
  <si>
    <t>TOTAL NILAI AKHIR</t>
  </si>
  <si>
    <t>Admin Tf Bank Lain BCA</t>
  </si>
  <si>
    <t>Payment ATK</t>
  </si>
  <si>
    <t>30/10/2023</t>
  </si>
  <si>
    <t>DO Maersk Line CPP 2310-005</t>
  </si>
  <si>
    <t>DO ONE CJH 2310-001</t>
  </si>
  <si>
    <t>31/10/2023</t>
  </si>
  <si>
    <t>Biaya Admin Bank</t>
  </si>
  <si>
    <t>Bunga Bank</t>
  </si>
  <si>
    <t>Pajak Bank</t>
  </si>
  <si>
    <t>Debet</t>
  </si>
  <si>
    <t>PERIODE NOVEMBER 2023</t>
  </si>
  <si>
    <t>PETTY CASH NOVEMBER 2023</t>
  </si>
  <si>
    <t>Storage CPP SO2310-005</t>
  </si>
  <si>
    <t>Storage CJH 2310-001</t>
  </si>
  <si>
    <t>Tarik Tunai Petty Cash</t>
  </si>
  <si>
    <t>JNE CPP/CJH 2310-001/005</t>
  </si>
  <si>
    <t>Adm Tarik Link Atm</t>
  </si>
  <si>
    <t>16/11/2023</t>
  </si>
  <si>
    <t>15/11/2023</t>
  </si>
  <si>
    <t>Payment PT CJH SO2310-001</t>
  </si>
  <si>
    <t>21/11/2023</t>
  </si>
  <si>
    <t>JNE CPP/Dolphin 004/002</t>
  </si>
  <si>
    <t>PIB, Admin Custom &amp; DO Kaka Trans SO2310-004/005/001</t>
  </si>
  <si>
    <t>23/11/2023</t>
  </si>
  <si>
    <t>JNE Agata+Gojek 2311-001</t>
  </si>
  <si>
    <t>Trucking &amp; Lolo PT Hanabi SO2310-001 CJH 2310-005 CPP</t>
  </si>
  <si>
    <t>Gojek Agata Exodus 2311-001/003</t>
  </si>
  <si>
    <t>Trucking &amp; Lolo PT Hanabi SO2310-004 CPP</t>
  </si>
  <si>
    <t>18/11/2023</t>
  </si>
  <si>
    <t>Lolo PT Dolphin SO2311-002</t>
  </si>
  <si>
    <t>20/11/2023</t>
  </si>
  <si>
    <t>Storage PT Dolphin SO2311-002</t>
  </si>
  <si>
    <t>Biaya Bulanan Kartu</t>
  </si>
  <si>
    <t>DO OOCL Agata SO2311-001</t>
  </si>
  <si>
    <t>Adm TF Bank Lain OCBC</t>
  </si>
  <si>
    <t>DP PT Exodus Trucking SO2311-003</t>
  </si>
  <si>
    <t>24/11/2023</t>
  </si>
  <si>
    <t>Storage Agata SO2311-001</t>
  </si>
  <si>
    <t>Ganti Pulsa Eshaka 100k + TF Trucking Budi (Agata) SO2311-001 &amp; Sallary 2.120.547</t>
  </si>
  <si>
    <t>PERIODE DESEMBER 2023</t>
  </si>
  <si>
    <t>PETTY CASH DESEMBER 2023</t>
  </si>
  <si>
    <t>Payment Dolphin SO2311-002</t>
  </si>
  <si>
    <t>Payment Exodus SO2311-003</t>
  </si>
  <si>
    <t>Saldo Akhir November 2023</t>
  </si>
  <si>
    <t>Payment Inv Agata SO2311-001</t>
  </si>
  <si>
    <t>13/12/2023</t>
  </si>
  <si>
    <t xml:space="preserve">Tarik Tunai </t>
  </si>
  <si>
    <t>Payment Debit Note Agata SO2311-001</t>
  </si>
  <si>
    <t>Bayar Tunai Win Share BCA 2311-001</t>
  </si>
  <si>
    <t>Trucking &amp; Lolo MJT Exodus SO2311-003</t>
  </si>
  <si>
    <t>14/12/2023</t>
  </si>
  <si>
    <t>JNE Medan CPP 2312-004</t>
  </si>
  <si>
    <t>Refund CPP Dewi SO2310-002/004/005</t>
  </si>
  <si>
    <t>JNE CPP Tagihan &amp; Fecalindo Saipan</t>
  </si>
  <si>
    <t>Storage NPCT1 CPP SO2311-005</t>
  </si>
  <si>
    <t>JNE Dolphin SO2312-006</t>
  </si>
  <si>
    <t>DO Maersk Line CPP SO2312-002</t>
  </si>
  <si>
    <t>Payment Quanterm SO2312-005</t>
  </si>
  <si>
    <t>Trucking &amp; Lolo 1x40HQ Dolphin Cikupa SO2311-002</t>
  </si>
  <si>
    <t>Penumpukan CPP SO2312-002</t>
  </si>
  <si>
    <t>Tarik Tunai Petty Cash Total 8.1jt</t>
  </si>
  <si>
    <t>Payment Pelunasan PT Quanterm SO2312-005</t>
  </si>
  <si>
    <t>Trucking &amp; Inap PT PMP untuk SO2312-005 Quanterm</t>
  </si>
  <si>
    <t>Payment PIB Handling &amp; Trucking SPS SO2310-002 CPP</t>
  </si>
  <si>
    <t>PIB Dan Handling Jakarta 2311-005 &amp; 2312-002</t>
  </si>
  <si>
    <t>19/12/2023</t>
  </si>
  <si>
    <t>Storage Dolphin SO2312-006</t>
  </si>
  <si>
    <t xml:space="preserve">Biaya Kartu Bulan Des </t>
  </si>
  <si>
    <t>Payment Dolphin SO2312-006</t>
  </si>
  <si>
    <t>Biaya Pengantar DO Fecalindo SO2312-001 Cargo Partner</t>
  </si>
  <si>
    <t>Biaya TF Bank Lain</t>
  </si>
  <si>
    <t>Biaya DO Maersk line Fecalindo SO2312-001</t>
  </si>
  <si>
    <t>Biaya Bahandle Karantina Fecalindo SO2312-001</t>
  </si>
  <si>
    <t>31/12/2023</t>
  </si>
  <si>
    <t>PERIODE JANUARI 2024</t>
  </si>
  <si>
    <t>PETTY CASH JANUARI 2024</t>
  </si>
  <si>
    <t>Storage Fecalindo SO2312-001</t>
  </si>
  <si>
    <t>Trucking CPP SO2311-005 &amp; SO2312-002</t>
  </si>
  <si>
    <t>Saldo Akhir Desember 2024</t>
  </si>
  <si>
    <t>Payment CPP SO2310-002</t>
  </si>
  <si>
    <t>JNE CPP SO2312-003, KAY 2401-001, Fecalindo 2312-001, Primaplast 2312-007</t>
  </si>
  <si>
    <t>PIB SSM &amp; DO Fecalindo SO2312-001 Deni PPJK</t>
  </si>
  <si>
    <t>Refund CPP Bulan Nov - Desember 2023</t>
  </si>
  <si>
    <t>Ganti Talangan DO 7.051.500 &amp; Sallary 15jt</t>
  </si>
  <si>
    <t>Refund Primaplast SO2312-007</t>
  </si>
  <si>
    <t>Payment Trucking Kay Ocean SO2401-001</t>
  </si>
  <si>
    <t>Storage Dolphin SO2401-008</t>
  </si>
  <si>
    <t>LIST KANVAS HARIAN MUSTIKA</t>
  </si>
  <si>
    <t>PERIODE : DESEMBER 2023</t>
  </si>
  <si>
    <t>AREA        : Rukan Malibu Raya Cengkareng - Jakbar</t>
  </si>
  <si>
    <t>Tgl Visit</t>
  </si>
  <si>
    <t>Tgl Penawaran</t>
  </si>
  <si>
    <t>Perusahaan</t>
  </si>
  <si>
    <t>Alamat</t>
  </si>
  <si>
    <t>PIC</t>
  </si>
  <si>
    <t>Email/HP</t>
  </si>
  <si>
    <t>Product/Commodity</t>
  </si>
  <si>
    <t>Type Shipment</t>
  </si>
  <si>
    <t>PT Avilla Jaya Teknik</t>
  </si>
  <si>
    <t>Ruko Citypark Business District (CBD) , Jl. Malibu Raya No. 2 Cengkareng Timur 11730</t>
  </si>
  <si>
    <t>Pa Agus</t>
  </si>
  <si>
    <t>081285105090</t>
  </si>
  <si>
    <t>Genset</t>
  </si>
  <si>
    <t>Import Borongan China DTD</t>
  </si>
  <si>
    <t xml:space="preserve">PT Meijing </t>
  </si>
  <si>
    <t>Ruko Citypark Business District (CBD) , Jl. Malibu Raya No. 1 Cengkareng Timur 11730</t>
  </si>
  <si>
    <t>Pa Arief</t>
  </si>
  <si>
    <t>081911191575</t>
  </si>
  <si>
    <t>Kipas Portable &amp; Aksesories</t>
  </si>
  <si>
    <t>PT Hoki Darma Jaya</t>
  </si>
  <si>
    <t>Ruko Citypark Business District (CBD) , Jl. Malibu Raya Cengkareng Timur 11730</t>
  </si>
  <si>
    <t>Pa Dede</t>
  </si>
  <si>
    <t>081398071786</t>
  </si>
  <si>
    <t>Sparepart Alat Berat</t>
  </si>
  <si>
    <t>Import Borongan China DTD &amp; Domestik</t>
  </si>
  <si>
    <t>Boss nya Hanya hari kamis datang ke kantor</t>
  </si>
  <si>
    <t>AREA        : Green Lake City Cipondoh Tangerang</t>
  </si>
  <si>
    <t>PT Warmwave International Trading</t>
  </si>
  <si>
    <t>Rukan Sentra Niaga Green Lake City, Jl. Green Lake City Boulevard No. 27, RT.6 RW.8 Duri Kosambi, Cengkareng West Jakarta 11750</t>
  </si>
  <si>
    <t>0811658299</t>
  </si>
  <si>
    <t>PT Indobest Technology</t>
  </si>
  <si>
    <t>Green Lake City Ruko Sentra Niaga, Blok K No. 32 RT.7 RW.8 Duri Kosambi Cengkareng Jakarta Barat 11750</t>
  </si>
  <si>
    <t>Power Tools / Mesin Bor</t>
  </si>
  <si>
    <t>PT Indonesia Huaxin International</t>
  </si>
  <si>
    <t>Rukan Crown, Jl. Green Lake City Boulevard No. 30, RT. 16/ RW.6 Petir Cipondoh Tangerang 15147</t>
  </si>
  <si>
    <t>PT Formisa Internasional (Premix and Syrup Supplies)</t>
  </si>
  <si>
    <t>Ruko Sentra Niaga Blok O Jl. Green Lake City Boulevard No. 11 Duri Kosambi, Cengkaraeng11750</t>
  </si>
  <si>
    <t>081908092222</t>
  </si>
  <si>
    <t>Kebutuhan Cafe, Resto, Hotel, Kedai &amp; Coffee Shop</t>
  </si>
  <si>
    <t>Tomiko Car Multimedia</t>
  </si>
  <si>
    <t>Rukan Crown Blok F No. 21. Jl Green Lake City Boulevard RT.04/RW.08 Petir Cipondoh 15147</t>
  </si>
  <si>
    <t>085351888868</t>
  </si>
  <si>
    <t>Head Unit Mobil</t>
  </si>
  <si>
    <t>PT Multi Inovasi Teknologi</t>
  </si>
  <si>
    <t>Rukan Crown, Jl. Green Lake City Boulevard No. 9 Petir, Kec Cipondoh Kota Tangerang Banten 15147</t>
  </si>
  <si>
    <t>Alat Ukur &amp; Uji Listrik, Hydraulic, Stripping Tool</t>
  </si>
  <si>
    <t>PT Karya Tirta Perkasa</t>
  </si>
  <si>
    <t>West Europe Boulevard Green Lake City Ruko Food City No. 36 Duri Kosambi Cengkareng 11750</t>
  </si>
  <si>
    <t>0811852625</t>
  </si>
  <si>
    <t>Distributor Tozen Valve</t>
  </si>
  <si>
    <t>PT Tetramas Internusa</t>
  </si>
  <si>
    <t>Komplek Ruko Crown, Jl. Green Lake City Boulevard, Petir Kec. Cipondoh Tangerang 15147</t>
  </si>
  <si>
    <t>081318665907</t>
  </si>
  <si>
    <t>Distributor Peralatan Industri (Battery, Electric Board, Pipes, Cable, Power Supply, Equipment &amp; Charger)</t>
  </si>
  <si>
    <t>PT Universal Jaya Perkasa</t>
  </si>
  <si>
    <t>Green Lake City Ruko Sentra Niaga, Blok B No. 9 RT.7 RW.8 Duri Kosambi Cengkareng Jakarta Barat 11750</t>
  </si>
  <si>
    <t>08111688202</t>
  </si>
  <si>
    <t>Packaging</t>
  </si>
  <si>
    <t>Distributor Oli Industri</t>
  </si>
  <si>
    <t>West Europe Boulevard Green Lake City Ruko Food City No. 39 Duri Kosambi Cengkareng 11750</t>
  </si>
  <si>
    <t>08119569119</t>
  </si>
  <si>
    <t>Distributor Oli Mesin</t>
  </si>
  <si>
    <t>PT ESHAKA WIJAYA LOGISTICS</t>
  </si>
  <si>
    <t>Laporan Laba Rugi</t>
  </si>
  <si>
    <t>Periode 11 - 31 Oktober 2023</t>
  </si>
  <si>
    <t>Modal / Harta :</t>
  </si>
  <si>
    <t xml:space="preserve">Kas </t>
  </si>
  <si>
    <t>Bank Mandiri</t>
  </si>
  <si>
    <t>Total Modal</t>
  </si>
  <si>
    <t>Pendapatan:</t>
  </si>
  <si>
    <t>Pendapatan Jasa Oktober</t>
  </si>
  <si>
    <t>Pendapatan Lain-Lain (Bunga Bank)</t>
  </si>
  <si>
    <t>Jumlah Pendapatan</t>
  </si>
  <si>
    <t>Hutang</t>
  </si>
  <si>
    <t>Cicilan Modal Awal IDR 100,000,000;</t>
  </si>
  <si>
    <t>Piutang Oktober</t>
  </si>
  <si>
    <t xml:space="preserve">Beban Usaha : </t>
  </si>
  <si>
    <t>Beban Gaji Karyawan</t>
  </si>
  <si>
    <t>Beban Perjalanan Dinas</t>
  </si>
  <si>
    <t>Beban Iklan</t>
  </si>
  <si>
    <t>Beban Telepon</t>
  </si>
  <si>
    <t>Beban Listrik &amp; Air</t>
  </si>
  <si>
    <t>Beban Internet</t>
  </si>
  <si>
    <t>Beban Sewa</t>
  </si>
  <si>
    <t>Beban Perlengkapan Kantor / ATK</t>
  </si>
  <si>
    <t>Beban Pembuatan Legalitas Awal &amp; Printer</t>
  </si>
  <si>
    <t>Beban Entertaint</t>
  </si>
  <si>
    <t>Beban Bensin &amp; Tol Market</t>
  </si>
  <si>
    <t>Beban Operasional Lapang</t>
  </si>
  <si>
    <t>Beban Lain-lain (Admin Bank)</t>
  </si>
  <si>
    <t>Beban Potong Pph 23 (2%)</t>
  </si>
  <si>
    <t>Jumlah Beban Usaha</t>
  </si>
  <si>
    <t>Laba Bersih</t>
  </si>
  <si>
    <t>Beban Telepon / Kuota</t>
  </si>
  <si>
    <t>Periode 01-31 Desember 2023</t>
  </si>
  <si>
    <t>Periode 01-31 JANUARI 2024</t>
  </si>
  <si>
    <t>Pendapatan Jasa Januari 2024</t>
  </si>
  <si>
    <t>Saldo Akhir Jan 29 IDR 118.408.728.35</t>
  </si>
  <si>
    <t>Periode 01-29 FEBRUARI 2024</t>
  </si>
  <si>
    <t>Pendapatan Jasa Februari 2024</t>
  </si>
  <si>
    <t>Piutang S/D End Februari 2024</t>
  </si>
  <si>
    <t>Hutang S/D End Februari 2024</t>
  </si>
  <si>
    <t>Saldo Akhir Feb 2024 IDR 221.762.983.93</t>
  </si>
  <si>
    <t>Periode 01-31 MAR 2024</t>
  </si>
  <si>
    <t>Pendapatan Jasa Maret 2024</t>
  </si>
  <si>
    <t>Piutang S/D End Maret 2024</t>
  </si>
  <si>
    <t>Hutang S/D End Maret 2024</t>
  </si>
  <si>
    <t xml:space="preserve">   </t>
  </si>
  <si>
    <t>Periode April 2024</t>
  </si>
  <si>
    <t>Pendapatan Jasa April 2024</t>
  </si>
  <si>
    <t>Piutang S/D End April 2024</t>
  </si>
  <si>
    <t>Hutang S/D End April 2024</t>
  </si>
  <si>
    <t>Pinjaman Modal s/d April 2024</t>
  </si>
  <si>
    <t>Periode Mei 2024</t>
  </si>
  <si>
    <t>Pendapatan Jasa Mei 2024</t>
  </si>
  <si>
    <t>Piutang S/D End Mei 2024</t>
  </si>
  <si>
    <t>Hutang S/D End Mei 2024</t>
  </si>
  <si>
    <t>Periode Juni 2024</t>
  </si>
  <si>
    <t>Pendapatan Jasa Juni 2024</t>
  </si>
  <si>
    <t>Cicilan Modal Awal IDR 245,700,000;</t>
  </si>
  <si>
    <t>Piutang S/D End Juni 2024</t>
  </si>
  <si>
    <t>Hutang S/D End Juni 2024</t>
  </si>
  <si>
    <t>Pinjaman Modal s/d Juni 2024</t>
  </si>
  <si>
    <t>Nominal Uang</t>
  </si>
  <si>
    <t>Ika</t>
  </si>
  <si>
    <t>Tiker Lipet (Shoppee)</t>
  </si>
  <si>
    <t>Dispenser Arashi (Shoppee)</t>
  </si>
  <si>
    <t>Sticker Kulkas Mini (Shoppee)</t>
  </si>
  <si>
    <t>Custom Alamat Eshaka (Shoppee)</t>
  </si>
  <si>
    <t>Tangga 2 Mtr Hitam (Shoppee)</t>
  </si>
  <si>
    <t>Galon Office (Indomaret)</t>
  </si>
  <si>
    <t>Kopi Kapal Api 1Rtg (Madura)</t>
  </si>
  <si>
    <t>Teh Solo 5 Pcs</t>
  </si>
  <si>
    <t>Nasi Padang @15k</t>
  </si>
  <si>
    <t>Ember &amp; Gayung (Toko Ridho)</t>
  </si>
  <si>
    <t>Lampu Second 4 pcs</t>
  </si>
  <si>
    <t>Kuota Eshaka 90gb</t>
  </si>
  <si>
    <t>Gorengan Snack Tukang</t>
  </si>
  <si>
    <t>Kue Basah Semanan</t>
  </si>
  <si>
    <t>Good Day 1 Rtg (Agen Puri)</t>
  </si>
  <si>
    <t>Gula 1/2Kg (Agen Puri)</t>
  </si>
  <si>
    <t>Toko Matrial (Koh Darvis)</t>
  </si>
  <si>
    <t>AC Daikin ½PK + 1 PK (shoppee)</t>
  </si>
  <si>
    <t>Teh Solo 7 Pcs (Tukang AC &amp; Tukang)</t>
  </si>
  <si>
    <t>Stop Kontak Broco (tukang AC)</t>
  </si>
  <si>
    <t>Token Listrik Eshaka (Shoppee)</t>
  </si>
  <si>
    <t>Yummy Choice Lembur &amp; Snack</t>
  </si>
  <si>
    <t>Wall Pannel 14btg + Ongkir</t>
  </si>
  <si>
    <t>Peyek 4 pcs</t>
  </si>
  <si>
    <t>Finger Print Absensi</t>
  </si>
  <si>
    <t>Engsel Kamuflase Lobby 2pcs</t>
  </si>
  <si>
    <t>Kopi + Gorengan + Jagung</t>
  </si>
  <si>
    <t>Kue Kering Sipon</t>
  </si>
  <si>
    <t>Lampu Downlight 9w</t>
  </si>
  <si>
    <t>List Strip Pintu 3pcs</t>
  </si>
  <si>
    <t>Matrial (Koh Darvis)</t>
  </si>
  <si>
    <t>DP Pintu Kaca R. Terbuka</t>
  </si>
  <si>
    <t>Kaca Film 20mtr</t>
  </si>
  <si>
    <t>Jasa Pasang Kaca Film Warsidi</t>
  </si>
  <si>
    <t>Bensin 20liter</t>
  </si>
  <si>
    <t>Bebek Kaleo Lunch 2 Pax</t>
  </si>
  <si>
    <t>Yummy Choice 3 Pax</t>
  </si>
  <si>
    <t>Rel Sliding Manager Room (shoppee)</t>
  </si>
  <si>
    <t>Pelunasan Pintu Ruang Terbuka</t>
  </si>
  <si>
    <t>Yummy Choice Lembur</t>
  </si>
  <si>
    <t>Pintu Otomatis 3pcs (Shoppee)</t>
  </si>
  <si>
    <t>Kunci Pintu Ruang Manager (Shoppee)</t>
  </si>
  <si>
    <t>Engsel Pintu Kayu (Shoppee)</t>
  </si>
  <si>
    <t>Sticker Kayu 30mtr</t>
  </si>
  <si>
    <t>Genteng R. Terbuka</t>
  </si>
  <si>
    <t>Kabel Lampu dll Williem</t>
  </si>
  <si>
    <t>Kap Fitting Downlight</t>
  </si>
  <si>
    <t xml:space="preserve">Snack Gabus &amp; Onde" </t>
  </si>
  <si>
    <t>Tutup Lubang Meja</t>
  </si>
  <si>
    <t xml:space="preserve">Housing Led Strip U, L dan Power Supply </t>
  </si>
  <si>
    <t>TC4, Lampu dll Williem</t>
  </si>
  <si>
    <t>Snack Lembur dkk</t>
  </si>
  <si>
    <t>Kursi Kantor Hidrolik d402 1 Pcs</t>
  </si>
  <si>
    <t>Sealant 5 Pcs (Shoppee)</t>
  </si>
  <si>
    <t>Handle Pintu 2 Pcs</t>
  </si>
  <si>
    <t>PABX Paket Shoppee</t>
  </si>
  <si>
    <t xml:space="preserve">PC All in One Advan Core i3 @3pcs </t>
  </si>
  <si>
    <t>Bebek Kaleo Dinner 3Pax</t>
  </si>
  <si>
    <t>Lembur Kopi Yummy &amp; Rokok</t>
  </si>
  <si>
    <t>Engsel Slow Motion R. Bawah Tangga</t>
  </si>
  <si>
    <t xml:space="preserve">Konsumsi Azuel </t>
  </si>
  <si>
    <t>Housing Kabel TC4 10 Pcs</t>
  </si>
  <si>
    <t>Housing Led Strip 3 Pcs</t>
  </si>
  <si>
    <t>Listrik PLN Eshaka</t>
  </si>
  <si>
    <t>Bayaran Tukang Kalkulasi 23 Hari</t>
  </si>
  <si>
    <t>Ongkos Tukang 3 Pak</t>
  </si>
  <si>
    <t>GO Ride/Go Car Anter Tukang</t>
  </si>
  <si>
    <t>Handle Pintu 3 Pcs</t>
  </si>
  <si>
    <t>Pengharum Ruangan Calmic</t>
  </si>
  <si>
    <t>Jasa Bersih" Teh Mursidah OB</t>
  </si>
  <si>
    <t>Belanja Alat Bersih" Kantor</t>
  </si>
  <si>
    <t>Sikat WC dan Slot Pintu + Pisau</t>
  </si>
  <si>
    <t>Plastik Sampah Jumbo</t>
  </si>
  <si>
    <t>Aqua Galon 1 Pcs</t>
  </si>
  <si>
    <t>Kamper Dahlia &amp; WPC</t>
  </si>
  <si>
    <t>Glade Pengharum Ruangan</t>
  </si>
  <si>
    <t>Nasi Padang, Aqua &amp; Teh Solo</t>
  </si>
  <si>
    <t>Dahlia Pengharum Toilet 1 Pcs</t>
  </si>
  <si>
    <t>Lampu Kulkas 2 Pcs</t>
  </si>
  <si>
    <t>Kursi Susun Hitam</t>
  </si>
  <si>
    <t>Jasa perbaikan Pintu Kaca</t>
  </si>
  <si>
    <t>Kursi Kantor Hidrolik OC2424</t>
  </si>
  <si>
    <t>Jasa Perbaikan R. Manager</t>
  </si>
  <si>
    <t>Advan All In One PC 2 Pcs (Shoppee)</t>
  </si>
  <si>
    <t>Jasa Ongkir Gojek</t>
  </si>
  <si>
    <t>ABC Baterai 24 Pcs</t>
  </si>
  <si>
    <t>Kabel Telephone 5/10/15 8 Pcs</t>
  </si>
  <si>
    <t>Kursi Kantor d402 @8pcs</t>
  </si>
  <si>
    <t>Total Pengeluaran</t>
  </si>
  <si>
    <t>Tukang selesai</t>
  </si>
  <si>
    <t>Kasbon Sebelum ke Jakarta</t>
  </si>
  <si>
    <t>Nominal Kasbon</t>
  </si>
  <si>
    <t>Azuel Kasbon (Potong Hitungan Tukang)</t>
  </si>
  <si>
    <t>Nominal Rincian Aktual</t>
  </si>
  <si>
    <t>Kasbon Mang Buk (Potong Hitungan Tukang)</t>
  </si>
  <si>
    <t xml:space="preserve">Tarif Bus Mayasari 3pax </t>
  </si>
  <si>
    <t>Nas Pad + Minum</t>
  </si>
  <si>
    <t xml:space="preserve">Tarif Bus Pantura KOPO 2 Pax </t>
  </si>
  <si>
    <t>Tarif Bus Wargabaru Kopo - Rambutan 3Pax</t>
  </si>
  <si>
    <t>Teh Poci</t>
  </si>
  <si>
    <t>Jajan Cemilan Di BUS</t>
  </si>
  <si>
    <t>Ngamen</t>
  </si>
  <si>
    <t xml:space="preserve">Toilet </t>
  </si>
  <si>
    <t>Kuota</t>
  </si>
  <si>
    <t>Ojeg</t>
  </si>
  <si>
    <t xml:space="preserve">Roko </t>
  </si>
  <si>
    <t>Ngopi</t>
  </si>
  <si>
    <t>Kasbon 2</t>
  </si>
  <si>
    <t>rincian</t>
  </si>
  <si>
    <t>Nasi Warteg 3</t>
  </si>
  <si>
    <t>Es Kuku Bima 3</t>
  </si>
  <si>
    <t>Belanja Matrial</t>
  </si>
  <si>
    <t>Warung Madura</t>
  </si>
  <si>
    <t>Kunci Bor</t>
  </si>
  <si>
    <t>Es Teh</t>
  </si>
  <si>
    <t>Warteg</t>
  </si>
  <si>
    <t xml:space="preserve">Naspad </t>
  </si>
  <si>
    <t>Jaburan Warteg</t>
  </si>
  <si>
    <t>Madura</t>
  </si>
  <si>
    <t>Galon</t>
  </si>
  <si>
    <t>Kasbon Azuel</t>
  </si>
  <si>
    <t>Cemilan</t>
  </si>
  <si>
    <t>Bensin</t>
  </si>
  <si>
    <t>Amplas</t>
  </si>
  <si>
    <t xml:space="preserve">Kasbon 3 </t>
  </si>
  <si>
    <t>Roko + Galon</t>
  </si>
  <si>
    <t>Kopi</t>
  </si>
  <si>
    <t>Kasbon Zidan</t>
  </si>
  <si>
    <t>Cat</t>
  </si>
  <si>
    <t>Nasgor</t>
  </si>
  <si>
    <t>Jamu Mang Buk</t>
  </si>
  <si>
    <t>Skrup Baja</t>
  </si>
  <si>
    <t>Jasa Potong Triplek</t>
  </si>
  <si>
    <t>Paku dan Lem</t>
  </si>
  <si>
    <t>Kabel</t>
  </si>
  <si>
    <t>Roko</t>
  </si>
  <si>
    <t>Kayu Madura</t>
  </si>
  <si>
    <t>Roko Kopi</t>
  </si>
  <si>
    <t>UD Tri Tunggal(Lemfox &amp; Amplas)</t>
  </si>
  <si>
    <t>Sekrup Pake Triplex &amp; Baut</t>
  </si>
  <si>
    <t>TB Indo Bangunan (Aries SW)</t>
  </si>
  <si>
    <t>Kaso</t>
  </si>
  <si>
    <t>Sekrup Gypsum</t>
  </si>
  <si>
    <t>Tang Sealant, Sekrup &amp; Paku Roofing</t>
  </si>
  <si>
    <t>Isi Cutter &amp; Konektor</t>
  </si>
  <si>
    <t xml:space="preserve">Sekrup </t>
  </si>
  <si>
    <t>Kasa Gypsum</t>
  </si>
  <si>
    <t>Cat, Paku &amp; Lem</t>
  </si>
  <si>
    <t>Tatakan Amplas &amp; Obeng</t>
  </si>
  <si>
    <t xml:space="preserve">Sealant </t>
  </si>
  <si>
    <t xml:space="preserve">Kasbon 4 </t>
  </si>
  <si>
    <t>Kasbon 5</t>
  </si>
  <si>
    <t xml:space="preserve">Total Pegangan Uang </t>
  </si>
  <si>
    <t>Total Pengeluaran Tukang Real</t>
  </si>
  <si>
    <t>Total Pembelian Tambahan Material</t>
  </si>
  <si>
    <t>Total Kasbon Jasa Tukang</t>
  </si>
  <si>
    <t>Transfer Via Assiah Mbanking</t>
  </si>
  <si>
    <t>Bukhori</t>
  </si>
  <si>
    <t>Kiki/Azuel</t>
  </si>
  <si>
    <t>Zidan</t>
  </si>
  <si>
    <t>Ambil Dari Uang Pegangan</t>
  </si>
  <si>
    <t>Perhitungan Tukang</t>
  </si>
  <si>
    <t>Azul</t>
  </si>
  <si>
    <t>17 + 6 Lembur x 170,000</t>
  </si>
  <si>
    <t>Hitungan Kasbon</t>
  </si>
  <si>
    <t>Total Bayaran</t>
  </si>
  <si>
    <t xml:space="preserve">2,000,000 Di Transfer </t>
  </si>
  <si>
    <t xml:space="preserve">710,000 Cash </t>
  </si>
  <si>
    <t>Cash 100%</t>
  </si>
  <si>
    <t>17 + 6 Lembur x 150,000</t>
  </si>
  <si>
    <t>Total Bayaran Tukang</t>
  </si>
  <si>
    <t>Nama</t>
  </si>
  <si>
    <t>Selisih</t>
  </si>
  <si>
    <t>RINCIAN RENOVASI LT1 ESHAKA AEROHUB</t>
  </si>
  <si>
    <t>Gojek PMA - Kalideres (Pick up Tukang)</t>
  </si>
  <si>
    <t>Gocar Kalideres - Kantor Eshaka</t>
  </si>
  <si>
    <t>Gojek Malam Kantor - PMA</t>
  </si>
  <si>
    <t>Bebek Hendrik</t>
  </si>
  <si>
    <t>Kasbonan Konsumsi Real</t>
  </si>
  <si>
    <t>Tambahan Pembelian Matrial Via Azul</t>
  </si>
  <si>
    <t>Sealand 5 Pcs Cengkareng</t>
  </si>
  <si>
    <t>Colokan 4pcs</t>
  </si>
  <si>
    <t>Gantungan Kunci Mobil</t>
  </si>
  <si>
    <t>Kartu Nama Iga, Surya,adriyan + Ongkir</t>
  </si>
  <si>
    <t>Cairan Pel Lantai</t>
  </si>
  <si>
    <t>Kain Pel + Sapu</t>
  </si>
  <si>
    <t>Kopi Kapal Api 1Rtg (teh Mursidah)</t>
  </si>
  <si>
    <t>Tisue 10Pcs</t>
  </si>
  <si>
    <t>Dahlia Pengharum Toilet 5 Pcs</t>
  </si>
  <si>
    <t>Sallary Mingguan OB (Teh Mursidah)</t>
  </si>
  <si>
    <t>RINCIAN KASBONAN TUKANG AZUL</t>
  </si>
  <si>
    <t>Bulan : Juli 2024</t>
  </si>
  <si>
    <t>Trucking PT Obor &amp; Fecalindo</t>
  </si>
  <si>
    <t>SO2407-003/013/016</t>
  </si>
  <si>
    <t>Bulan : AGUSTUS 2024</t>
  </si>
  <si>
    <t>SO2407-010</t>
  </si>
  <si>
    <t>PIB dan DO Fecalindo + JNE</t>
  </si>
  <si>
    <t>BCA 6900070851</t>
  </si>
  <si>
    <t>Profit July</t>
  </si>
  <si>
    <t>Penitipan Gudang</t>
  </si>
  <si>
    <t>PT Jakarana Tama</t>
  </si>
  <si>
    <t>SO247-001</t>
  </si>
  <si>
    <t>COAU7250643550</t>
  </si>
  <si>
    <t>Handling Custom &amp; Trucking</t>
  </si>
  <si>
    <t>EWL2407001</t>
  </si>
  <si>
    <t>INV00034611</t>
  </si>
  <si>
    <t>MAEU238942617</t>
  </si>
  <si>
    <t>Handlig Custom &amp; Trucking</t>
  </si>
  <si>
    <t>EWL2407003</t>
  </si>
  <si>
    <t>PT Victory Abadi Megachemindo</t>
  </si>
  <si>
    <t>SO2407-004</t>
  </si>
  <si>
    <t>TAAR6628468</t>
  </si>
  <si>
    <t>EWL2407004</t>
  </si>
  <si>
    <t>HASLC01240615291</t>
  </si>
  <si>
    <t>EWL2407005</t>
  </si>
  <si>
    <t>W2QU240708004</t>
  </si>
  <si>
    <t>SO2407-006</t>
  </si>
  <si>
    <t>SO2407-002</t>
  </si>
  <si>
    <t>CEM0116568</t>
  </si>
  <si>
    <t>EWL2407007</t>
  </si>
  <si>
    <t>SITGTXDR489114</t>
  </si>
  <si>
    <t>EWL2407008</t>
  </si>
  <si>
    <t>SO2407-008</t>
  </si>
  <si>
    <t>SO2407-009</t>
  </si>
  <si>
    <t>EWL2407009</t>
  </si>
  <si>
    <t>COAU7251351640</t>
  </si>
  <si>
    <t>EWL2407010</t>
  </si>
  <si>
    <t>SO2407-011</t>
  </si>
  <si>
    <t>EWL2407011</t>
  </si>
  <si>
    <t>SO2407-013</t>
  </si>
  <si>
    <t>OOLU2740029210</t>
  </si>
  <si>
    <t>EWL2407013</t>
  </si>
  <si>
    <t>SO2407-014</t>
  </si>
  <si>
    <t>SO2407-012</t>
  </si>
  <si>
    <t>EWL2407012</t>
  </si>
  <si>
    <t>EWL2407014</t>
  </si>
  <si>
    <t>EWL2407015</t>
  </si>
  <si>
    <t>SO2407-015</t>
  </si>
  <si>
    <t>SO2407-016</t>
  </si>
  <si>
    <t>OOLU2303204290</t>
  </si>
  <si>
    <t>EWL2407016</t>
  </si>
  <si>
    <t>SDH DI TF 150K U/ KALMAR CHARGE</t>
  </si>
  <si>
    <t>Cicilan Modal Awal IDR 100,000,000; + IDR 233,594,567</t>
  </si>
  <si>
    <t>LIST HUTANG ESHAKA TO VENDOR</t>
  </si>
  <si>
    <t>LIST PIUTANG CUSTOMER KE ESHAKA</t>
  </si>
  <si>
    <t>SO2407-017</t>
  </si>
  <si>
    <t>EWL2407017</t>
  </si>
  <si>
    <t>Company Name</t>
  </si>
  <si>
    <t>Phone Number    :</t>
  </si>
  <si>
    <t>Follow Up Date</t>
  </si>
  <si>
    <t>Follow Up Methode</t>
  </si>
  <si>
    <t>By Whatsapp</t>
  </si>
  <si>
    <t>By Email</t>
  </si>
  <si>
    <t xml:space="preserve">By Phone </t>
  </si>
  <si>
    <t>Canvas</t>
  </si>
  <si>
    <t>Schedule Visit Date</t>
  </si>
  <si>
    <t>Progress</t>
  </si>
  <si>
    <t>Customer &amp; Contact Detail</t>
  </si>
  <si>
    <t>Need In Ex/Im/Dom</t>
  </si>
  <si>
    <t>FCL</t>
  </si>
  <si>
    <t>By Air</t>
  </si>
  <si>
    <t>Send Quotation</t>
  </si>
  <si>
    <t>Date</t>
  </si>
  <si>
    <t>quo about</t>
  </si>
  <si>
    <t>Term Of Payment :</t>
  </si>
  <si>
    <t>Company Name    :</t>
  </si>
  <si>
    <t>Email Address   :</t>
  </si>
  <si>
    <t>PIC             :</t>
  </si>
  <si>
    <t>Phone Whatsapp  :</t>
  </si>
  <si>
    <t>Companies in the Field           :</t>
  </si>
  <si>
    <t>Cust Type</t>
  </si>
  <si>
    <t>Contact Person</t>
  </si>
  <si>
    <t>Phone Number</t>
  </si>
  <si>
    <t>Cust Activity Need</t>
  </si>
  <si>
    <t>Origin</t>
  </si>
  <si>
    <t>Destination</t>
  </si>
  <si>
    <t>Volume</t>
  </si>
  <si>
    <t>TOP</t>
  </si>
  <si>
    <t>Idea Rate</t>
  </si>
  <si>
    <t>Offering Rate</t>
  </si>
  <si>
    <t>Exp/Imp/Dom/Custom/Trucking</t>
  </si>
  <si>
    <t>WEEKLY REPORT PT ESHAKA WIJAYA LOGISTICS</t>
  </si>
  <si>
    <t>PERIODE TGL XXX TILL XXX</t>
  </si>
  <si>
    <t xml:space="preserve">Marketing : </t>
  </si>
  <si>
    <t>FORM FOR MANAGING CUSTOMER FOLLOW UP PT ESHAKA WIJAYA LOGISTICS</t>
  </si>
  <si>
    <t>MARKETING :</t>
  </si>
  <si>
    <t>PERIODE WEEKLY : XXX-XXX AUGUST 2024</t>
  </si>
  <si>
    <t>Trucking PT Dolphin Food &amp; Beverages</t>
  </si>
  <si>
    <t>Trucking dan Handling Victory Semarang</t>
  </si>
  <si>
    <t>Trucking Pak Niko/Pak Tommy Customer Surya</t>
  </si>
  <si>
    <t>SO2408-005</t>
  </si>
  <si>
    <t>SITGTXSU489112</t>
  </si>
  <si>
    <t>SO 2407-015</t>
  </si>
  <si>
    <t>PT GMS</t>
  </si>
  <si>
    <t>trucking SLB ckr-cakung-soetta</t>
  </si>
  <si>
    <t>BSI 7228964829</t>
  </si>
  <si>
    <t>Gemilang Sukses Mandiri</t>
  </si>
  <si>
    <t>SO2408-007</t>
  </si>
  <si>
    <t>PT Maxima Express Pratama</t>
  </si>
  <si>
    <t>OF Indopromo</t>
  </si>
  <si>
    <t>BCA 5440311778</t>
  </si>
  <si>
    <t>SO2408-003</t>
  </si>
  <si>
    <t>Bulan :  Agustus 2024</t>
  </si>
  <si>
    <t>SO2408-001</t>
  </si>
  <si>
    <t>SO2408-002</t>
  </si>
  <si>
    <t>SO2408-004</t>
  </si>
  <si>
    <t>SO2408-006</t>
  </si>
  <si>
    <t>SO2408-008</t>
  </si>
  <si>
    <t>SO2408-009</t>
  </si>
  <si>
    <t>SO2408-010</t>
  </si>
  <si>
    <t>SO2408-011</t>
  </si>
  <si>
    <t>SO2408-012</t>
  </si>
  <si>
    <t>SO2408-013</t>
  </si>
  <si>
    <t>PT Indopromo Makmur Lestari</t>
  </si>
  <si>
    <t>Pak Erwin</t>
  </si>
  <si>
    <t xml:space="preserve">PT Ayu Menjelajah Logistik </t>
  </si>
  <si>
    <t>PT GSAP</t>
  </si>
  <si>
    <t>PT Container Sukses Logistik</t>
  </si>
  <si>
    <t>SITGTXDR493040</t>
  </si>
  <si>
    <t>SITGTXDR494007</t>
  </si>
  <si>
    <t>SHJKT240700088</t>
  </si>
  <si>
    <t>PAKET STUFFING</t>
  </si>
  <si>
    <t>CBO01010434</t>
  </si>
  <si>
    <t>WFLQDCJKT24081794</t>
  </si>
  <si>
    <t>TR24IDCN0000073</t>
  </si>
  <si>
    <t>TNR0155841</t>
  </si>
  <si>
    <t>BNC0122351</t>
  </si>
  <si>
    <t>COAU7525182370</t>
  </si>
  <si>
    <t>OF, Handling Custom &amp; Trucking</t>
  </si>
  <si>
    <t>Penitipan Gudang + Paket Stuffing</t>
  </si>
  <si>
    <t>Trucking + Paket Fumigasi</t>
  </si>
  <si>
    <t>EWL2408007</t>
  </si>
  <si>
    <t>EWL2408003</t>
  </si>
  <si>
    <t>EWL2408005</t>
  </si>
  <si>
    <t>Trucking ACSL</t>
  </si>
  <si>
    <t>BCA 6590363535</t>
  </si>
  <si>
    <t>PT Sarana Andalan Pasifik</t>
  </si>
  <si>
    <t>2408-008-009</t>
  </si>
  <si>
    <t xml:space="preserve">ada kurang bayar </t>
  </si>
  <si>
    <t>PT Boston Indo Global</t>
  </si>
  <si>
    <t>Fumigasi SLB</t>
  </si>
  <si>
    <t>BCA 0661882599</t>
  </si>
  <si>
    <t>2408-007</t>
  </si>
  <si>
    <t>Handling PIB dan Custom Clearance Indopromo Jakarta</t>
  </si>
  <si>
    <t>CONSIGNEE / SHIPPER</t>
  </si>
  <si>
    <t>AWB/BL NUMBER</t>
  </si>
  <si>
    <t>TYPE QTY</t>
  </si>
  <si>
    <t>INV/DN EWIL</t>
  </si>
  <si>
    <t>DATE INV</t>
  </si>
  <si>
    <t>INV AMOUNT</t>
  </si>
  <si>
    <t>DB AMOUNT</t>
  </si>
  <si>
    <t>NOMINAL</t>
  </si>
  <si>
    <t>NO REKENING</t>
  </si>
  <si>
    <t>BUYING TO VENDOR</t>
  </si>
  <si>
    <t>DESKRIPSI</t>
  </si>
  <si>
    <t>CUST CODE</t>
  </si>
  <si>
    <t>REMARK</t>
  </si>
  <si>
    <t>JATUH TEMPO CUST</t>
  </si>
  <si>
    <t>SHIPMENT UPDATE PT ESHAKA WIJAYA LOGISTICS</t>
  </si>
  <si>
    <t>2408-001</t>
  </si>
  <si>
    <t>CPP-MRS</t>
  </si>
  <si>
    <t>CUST DOC NO</t>
  </si>
  <si>
    <t>2408-002</t>
  </si>
  <si>
    <t>2408-003</t>
  </si>
  <si>
    <t>2408-004</t>
  </si>
  <si>
    <t>2408-005</t>
  </si>
  <si>
    <t>2408-006</t>
  </si>
  <si>
    <t>2408-008</t>
  </si>
  <si>
    <t>2408-009</t>
  </si>
  <si>
    <t>2408-010</t>
  </si>
  <si>
    <t>2408-011</t>
  </si>
  <si>
    <t>2408-012</t>
  </si>
  <si>
    <t>2408-013</t>
  </si>
  <si>
    <t>2408-014</t>
  </si>
  <si>
    <t>2408-015</t>
  </si>
  <si>
    <t>2408-016</t>
  </si>
  <si>
    <t>2408-017</t>
  </si>
  <si>
    <t>2408-018</t>
  </si>
  <si>
    <t>2408-019</t>
  </si>
  <si>
    <t>2408-020</t>
  </si>
  <si>
    <t>2408-021</t>
  </si>
  <si>
    <t>2408-022</t>
  </si>
  <si>
    <t>COMPANY NAME</t>
  </si>
  <si>
    <t>RCVD INV</t>
  </si>
  <si>
    <t>NO KONT/PALLET</t>
  </si>
  <si>
    <t>ERW-MRS</t>
  </si>
  <si>
    <t>AML-SRY</t>
  </si>
  <si>
    <t>CJH-MRS</t>
  </si>
  <si>
    <t>JNE</t>
  </si>
  <si>
    <t>CSL-MRS</t>
  </si>
  <si>
    <t>RTS-SRY</t>
  </si>
  <si>
    <t>MKT</t>
  </si>
  <si>
    <t>Talangan bayar Heating Bag</t>
  </si>
  <si>
    <t>EWL2407006</t>
  </si>
  <si>
    <t>OF &amp; Bayar Barang Dried Wakame</t>
  </si>
  <si>
    <t>EWL247003</t>
  </si>
  <si>
    <t>Periode Agustus  2024</t>
  </si>
  <si>
    <t>Pendapatan Jasa Agustus 2024</t>
  </si>
  <si>
    <t>Bank BCA</t>
  </si>
  <si>
    <t>Piutang S/D End Aug 2024</t>
  </si>
  <si>
    <t>Hutang S/D End Aug 2024</t>
  </si>
  <si>
    <t>Pendapatan Agustus 2024</t>
  </si>
  <si>
    <t xml:space="preserve">Total </t>
  </si>
  <si>
    <t>IML-MRS</t>
  </si>
  <si>
    <t>OIP-MRS</t>
  </si>
  <si>
    <t>Beban Lain-lain (Admin Bank Mandiri)</t>
  </si>
  <si>
    <t>GSA-IAN</t>
  </si>
  <si>
    <t>Pendapatan Lain-Lain (Bunga Bank Mandiri)</t>
  </si>
  <si>
    <t>Pendapatan Lain-Lain (Bunga Bank BCA)</t>
  </si>
  <si>
    <t>Beban Perlengkapan Kantor / ATK / Aqua</t>
  </si>
  <si>
    <t xml:space="preserve">Sallary Staff </t>
  </si>
  <si>
    <t>Divisi</t>
  </si>
  <si>
    <t>Mursidah</t>
  </si>
  <si>
    <t>OB</t>
  </si>
  <si>
    <t>Dibayar Per Minggu</t>
  </si>
  <si>
    <t>Pinjaman Modal s/d End Aug 2024</t>
  </si>
  <si>
    <t>Beban IPL Bulan Agustus</t>
  </si>
  <si>
    <t>Beban Listrik</t>
  </si>
  <si>
    <t>HRD-KOM</t>
  </si>
  <si>
    <t>Mustika</t>
  </si>
  <si>
    <t xml:space="preserve">Surya </t>
  </si>
  <si>
    <t>SO NO</t>
  </si>
  <si>
    <t>SAP</t>
  </si>
  <si>
    <t>PIUTANG LIST</t>
  </si>
  <si>
    <t>GSP</t>
  </si>
  <si>
    <t>SO2407-018</t>
  </si>
  <si>
    <t>SITGTXSU495086</t>
  </si>
  <si>
    <t>EWL2407018</t>
  </si>
  <si>
    <t xml:space="preserve">JNE </t>
  </si>
  <si>
    <t>CPP-MRS071</t>
  </si>
  <si>
    <t>REFUND</t>
  </si>
  <si>
    <t>ADMIN</t>
  </si>
  <si>
    <t>PIB EDI</t>
  </si>
  <si>
    <t>Nilai</t>
  </si>
  <si>
    <t>Hosting Email</t>
  </si>
  <si>
    <t>Kuota Eshaka</t>
  </si>
  <si>
    <t>Stemple Eshaka &amp; CPP</t>
  </si>
  <si>
    <t>Stemple Eshaka</t>
  </si>
  <si>
    <t>Rincian Talangan Mustika</t>
  </si>
  <si>
    <t>Potonga Tf Agent WS</t>
  </si>
  <si>
    <t>HVS A4</t>
  </si>
  <si>
    <t>JNE Kaka Trans CPP</t>
  </si>
  <si>
    <t>Rincian Talangan Asiah</t>
  </si>
  <si>
    <t>DP 50% Perizinan PT</t>
  </si>
  <si>
    <t>Sewa Office 1thn</t>
  </si>
  <si>
    <t>Kartu Nama</t>
  </si>
  <si>
    <t>Pelunasan Perizinan</t>
  </si>
  <si>
    <t>Compro Jasa</t>
  </si>
  <si>
    <t>Printer</t>
  </si>
  <si>
    <t>Talangan Oktober</t>
  </si>
  <si>
    <t>Potongan TF Agent</t>
  </si>
  <si>
    <t>Jasa Design Compro</t>
  </si>
  <si>
    <t>Beban Legalitas &amp; Printer</t>
  </si>
  <si>
    <t>Jasa Perizinan PT</t>
  </si>
  <si>
    <t>Beban Sewa 1 Thn</t>
  </si>
  <si>
    <t>Admin Bank Mandiri</t>
  </si>
  <si>
    <t>Admin Tf Bank Lain</t>
  </si>
  <si>
    <t>Opening Balance Bank Mandiri</t>
  </si>
  <si>
    <t>Closing Balance Bank Mandiri</t>
  </si>
  <si>
    <t>Periode 01 - 30 November 2023</t>
  </si>
  <si>
    <t>2311-001</t>
  </si>
  <si>
    <t>AP-MRS073</t>
  </si>
  <si>
    <t>2311-002</t>
  </si>
  <si>
    <t>DFB-MRS074</t>
  </si>
  <si>
    <t xml:space="preserve">TRUCKING </t>
  </si>
  <si>
    <t>PPH 2%</t>
  </si>
  <si>
    <t>2311-003</t>
  </si>
  <si>
    <t>EXI-MRS075</t>
  </si>
  <si>
    <t>2311-004</t>
  </si>
  <si>
    <t>2311-005</t>
  </si>
  <si>
    <t>2311-006</t>
  </si>
  <si>
    <t>Admin Tarik Tunai</t>
  </si>
  <si>
    <t>Monthly Card</t>
  </si>
  <si>
    <t xml:space="preserve">Clearing Fee </t>
  </si>
  <si>
    <t>Admin Bank</t>
  </si>
  <si>
    <t>Pajak Bunga</t>
  </si>
  <si>
    <t>2312-001</t>
  </si>
  <si>
    <t>2312-002</t>
  </si>
  <si>
    <t>2312-003</t>
  </si>
  <si>
    <t>2312-004</t>
  </si>
  <si>
    <t>JNE CPP</t>
  </si>
  <si>
    <t>2312-005</t>
  </si>
  <si>
    <t>2312-006</t>
  </si>
  <si>
    <t>DOLPHIN</t>
  </si>
  <si>
    <t>2312-007</t>
  </si>
  <si>
    <t>2312-008</t>
  </si>
  <si>
    <t>2312-009</t>
  </si>
  <si>
    <t>2312-010</t>
  </si>
  <si>
    <t>FDI</t>
  </si>
  <si>
    <t>CPP</t>
  </si>
  <si>
    <t>QL</t>
  </si>
  <si>
    <t>DBI</t>
  </si>
  <si>
    <t>PPI</t>
  </si>
  <si>
    <t>OIP</t>
  </si>
  <si>
    <t>Dibayar perhitungan bulan Januari</t>
  </si>
  <si>
    <t>Adm tf Bank</t>
  </si>
  <si>
    <t>2401-001</t>
  </si>
  <si>
    <t>2401-002</t>
  </si>
  <si>
    <t>XIN - SBY</t>
  </si>
  <si>
    <t>2401-003</t>
  </si>
  <si>
    <t>2401-004</t>
  </si>
  <si>
    <t>2401-005</t>
  </si>
  <si>
    <t>2401-006</t>
  </si>
  <si>
    <t>2401-007</t>
  </si>
  <si>
    <t>2401-008</t>
  </si>
  <si>
    <t>2401-009</t>
  </si>
  <si>
    <t>2401-010</t>
  </si>
  <si>
    <t>2401-011</t>
  </si>
  <si>
    <t>2401-012</t>
  </si>
  <si>
    <t>2401-013</t>
  </si>
  <si>
    <t>DO CHARGES</t>
  </si>
  <si>
    <t>2402-001</t>
  </si>
  <si>
    <t>30 DAYS</t>
  </si>
  <si>
    <t>2402-002</t>
  </si>
  <si>
    <t>2402-003</t>
  </si>
  <si>
    <t>2402-004</t>
  </si>
  <si>
    <t>2402-005</t>
  </si>
  <si>
    <t>2402-006</t>
  </si>
  <si>
    <t>2402-007</t>
  </si>
  <si>
    <t>2402-008</t>
  </si>
  <si>
    <t>2402-009</t>
  </si>
  <si>
    <t>2402-010</t>
  </si>
  <si>
    <t>2402-011</t>
  </si>
  <si>
    <t>2402-012</t>
  </si>
  <si>
    <t>2402-013</t>
  </si>
  <si>
    <t>2402-014</t>
  </si>
  <si>
    <t>2402-015</t>
  </si>
  <si>
    <t>2402-016</t>
  </si>
  <si>
    <t>2402-017</t>
  </si>
  <si>
    <t>2403-001</t>
  </si>
  <si>
    <t>2403-002</t>
  </si>
  <si>
    <t>2403-003</t>
  </si>
  <si>
    <t>2403-004</t>
  </si>
  <si>
    <t>PARKIR</t>
  </si>
  <si>
    <t>2403-005</t>
  </si>
  <si>
    <t>2403-006</t>
  </si>
  <si>
    <t>2403-007</t>
  </si>
  <si>
    <t>Periode 01-31 Januari 2024</t>
  </si>
  <si>
    <t>KOI</t>
  </si>
  <si>
    <t>DFB</t>
  </si>
  <si>
    <t>GGN</t>
  </si>
  <si>
    <t>ELM</t>
  </si>
  <si>
    <t>ATL</t>
  </si>
  <si>
    <t>LGI</t>
  </si>
  <si>
    <t>STL</t>
  </si>
  <si>
    <t>DFI</t>
  </si>
  <si>
    <t>Periode 01-29 Februari 2024</t>
  </si>
  <si>
    <t>2404-001</t>
  </si>
  <si>
    <t>2404-002</t>
  </si>
  <si>
    <t>2404-003</t>
  </si>
  <si>
    <t>2404-004</t>
  </si>
  <si>
    <t>2404-005</t>
  </si>
  <si>
    <t>2404-006</t>
  </si>
  <si>
    <t>2405-001</t>
  </si>
  <si>
    <t>2405-002</t>
  </si>
  <si>
    <t>2405-003</t>
  </si>
  <si>
    <t>2405-004</t>
  </si>
  <si>
    <t>2405-005</t>
  </si>
  <si>
    <t xml:space="preserve">MATERAI </t>
  </si>
  <si>
    <t>2405-006</t>
  </si>
  <si>
    <t>2405-007</t>
  </si>
  <si>
    <t>2405-008</t>
  </si>
  <si>
    <t>2406-001</t>
  </si>
  <si>
    <t>2406-002</t>
  </si>
  <si>
    <t>2406-003</t>
  </si>
  <si>
    <t>2406-004</t>
  </si>
  <si>
    <t>2406-005</t>
  </si>
  <si>
    <t>2407-001</t>
  </si>
  <si>
    <t>JT-MRS095</t>
  </si>
  <si>
    <t>PT JAKARANA TAMA</t>
  </si>
  <si>
    <t>HANDLING SKI BPOM</t>
  </si>
  <si>
    <t>SELA THERESA</t>
  </si>
  <si>
    <t>2407-002</t>
  </si>
  <si>
    <t>DAL - JKT</t>
  </si>
  <si>
    <t>2407-003</t>
  </si>
  <si>
    <t>2407-004</t>
  </si>
  <si>
    <t>2407-005</t>
  </si>
  <si>
    <t>2407-006</t>
  </si>
  <si>
    <t>2407-007</t>
  </si>
  <si>
    <t>2407-008</t>
  </si>
  <si>
    <t>2407-009</t>
  </si>
  <si>
    <t>2407-010</t>
  </si>
  <si>
    <t>2407-011</t>
  </si>
  <si>
    <t>2407-012</t>
  </si>
  <si>
    <t>2407-013</t>
  </si>
  <si>
    <t>2407-014</t>
  </si>
  <si>
    <t>2407-015</t>
  </si>
  <si>
    <t>2407-016</t>
  </si>
  <si>
    <t>2407-017</t>
  </si>
  <si>
    <t>2407-018</t>
  </si>
  <si>
    <t>MUSTIKA</t>
  </si>
  <si>
    <t>PT PRASETYA MITRA PERSADA</t>
  </si>
  <si>
    <t>2409-0231</t>
  </si>
  <si>
    <t>2409-0242</t>
  </si>
  <si>
    <t>2409-0253</t>
  </si>
  <si>
    <t>SAS</t>
  </si>
  <si>
    <t>2409-0264</t>
  </si>
  <si>
    <t>2409-0275</t>
  </si>
  <si>
    <t>2409-0286</t>
  </si>
  <si>
    <t>2409-0297</t>
  </si>
  <si>
    <t>2409-0308</t>
  </si>
  <si>
    <t>2409-0319</t>
  </si>
  <si>
    <t>2409-03210</t>
  </si>
  <si>
    <t>2409-03311</t>
  </si>
  <si>
    <t>2409-03412</t>
  </si>
  <si>
    <t>2409-03513</t>
  </si>
  <si>
    <t>2409-03614</t>
  </si>
  <si>
    <t>2409-03715</t>
  </si>
  <si>
    <t>2409-03816</t>
  </si>
  <si>
    <t>2409-03917</t>
  </si>
  <si>
    <t>2409-04018</t>
  </si>
  <si>
    <t>2409-04119</t>
  </si>
  <si>
    <t>2409-04220</t>
  </si>
  <si>
    <t>2409-04321</t>
  </si>
  <si>
    <t>2409-04422</t>
  </si>
  <si>
    <t>2409-04523</t>
  </si>
  <si>
    <t>2409-04624</t>
  </si>
  <si>
    <t>2409-04725</t>
  </si>
  <si>
    <t>Periode 01-31 MARET 2024</t>
  </si>
  <si>
    <t>SL</t>
  </si>
  <si>
    <t>RCS</t>
  </si>
  <si>
    <t>Periode 01-30 APRIL 2024</t>
  </si>
  <si>
    <t>CWI</t>
  </si>
  <si>
    <t>Admin tf</t>
  </si>
  <si>
    <t>Periode 01-31 MAY2024</t>
  </si>
  <si>
    <t>Pendapatan Jasa May 2024</t>
  </si>
  <si>
    <t>AVM</t>
  </si>
  <si>
    <t>IDG/GGN</t>
  </si>
  <si>
    <t>MMW/DESPI</t>
  </si>
  <si>
    <t>PIM</t>
  </si>
  <si>
    <t>Pendapatan Jasa Jun 2024</t>
  </si>
  <si>
    <t>Periode 01-30 JUNI 2024</t>
  </si>
  <si>
    <t>GPI</t>
  </si>
  <si>
    <t>ET</t>
  </si>
  <si>
    <t>Beban Operasional Lapang (Jumat Berkah)</t>
  </si>
  <si>
    <t>Periode 01-31 JULY 2024</t>
  </si>
  <si>
    <t>JT</t>
  </si>
  <si>
    <t>VAM</t>
  </si>
  <si>
    <t>Closing Balance Bank BCA</t>
  </si>
  <si>
    <t>Biaya Admin Bank (Mandiri)</t>
  </si>
  <si>
    <t>Biaya Admin Bank (BCA)</t>
  </si>
  <si>
    <t>KET</t>
  </si>
  <si>
    <t>DEBET</t>
  </si>
  <si>
    <t>KREDIT</t>
  </si>
  <si>
    <t>Beban Lain-lain (Admin Bank BCA)</t>
  </si>
  <si>
    <t>Biaya Token Key</t>
  </si>
  <si>
    <t>HUTANG</t>
  </si>
  <si>
    <t>RINCIAN TALANGAN MUSTIKA</t>
  </si>
  <si>
    <t>KETERANGAN</t>
  </si>
  <si>
    <t>GOOD DAY KOPI</t>
  </si>
  <si>
    <t>BENSIN MOTOR</t>
  </si>
  <si>
    <t>GALON</t>
  </si>
  <si>
    <t>IPL AGUSTUS</t>
  </si>
  <si>
    <t>INDIHOME</t>
  </si>
  <si>
    <t>WPC,DLL</t>
  </si>
  <si>
    <t>PETTY CASH ESH</t>
  </si>
  <si>
    <t>PLN TOK LISTRIK</t>
  </si>
  <si>
    <t>BENSIN MOBIL</t>
  </si>
  <si>
    <t>PARKIR BATUCEPER</t>
  </si>
  <si>
    <t>TOL KANVAS</t>
  </si>
  <si>
    <t>PARKIR DADAP</t>
  </si>
  <si>
    <t>MATERAI BCA/PKR</t>
  </si>
  <si>
    <t>JNE FDI, CPP, DFB</t>
  </si>
  <si>
    <t>RE ASURANSI IML</t>
  </si>
  <si>
    <t>PARKIR PT SATWA</t>
  </si>
  <si>
    <t xml:space="preserve">BENSIN </t>
  </si>
  <si>
    <t>TOL KAPUK SKC/DH</t>
  </si>
  <si>
    <t>TOL HILMY</t>
  </si>
  <si>
    <t>TOL MKT CSL/BLR</t>
  </si>
  <si>
    <t>KOPI OFF ASH</t>
  </si>
  <si>
    <t>ENTERTAIN GSAP</t>
  </si>
  <si>
    <t>SOLAR ACS SAP</t>
  </si>
  <si>
    <t>CANCEL TRUC GSAP</t>
  </si>
  <si>
    <t xml:space="preserve">KUOTA EWILOG </t>
  </si>
  <si>
    <t>OFFICE</t>
  </si>
  <si>
    <t>2409-2405001</t>
  </si>
  <si>
    <t>PETTY CASH AGUSTUS 2024</t>
  </si>
  <si>
    <t>V</t>
  </si>
  <si>
    <t>DEBIT</t>
  </si>
  <si>
    <t>PENYESUAIAN</t>
  </si>
  <si>
    <t>SALDO AWAL</t>
  </si>
  <si>
    <t xml:space="preserve">No. </t>
  </si>
  <si>
    <t xml:space="preserve">SALLARY MINGGUAN </t>
  </si>
  <si>
    <t>KOPI</t>
  </si>
  <si>
    <t>AIR BIRU</t>
  </si>
  <si>
    <t>TAMBAHAN SALDO</t>
  </si>
  <si>
    <t>GALON KOPI GULA</t>
  </si>
  <si>
    <t>2409-04826</t>
  </si>
  <si>
    <t>2409-04927</t>
  </si>
  <si>
    <t>2409-05028</t>
  </si>
  <si>
    <t>2409-05129</t>
  </si>
  <si>
    <t>2409-05230</t>
  </si>
  <si>
    <t>2409-05331</t>
  </si>
  <si>
    <t>2409-05432</t>
  </si>
  <si>
    <t>2409-05533</t>
  </si>
  <si>
    <t>2409-05634</t>
  </si>
  <si>
    <t>2409-05735</t>
  </si>
  <si>
    <t>2409-05836</t>
  </si>
  <si>
    <t>2409-05937</t>
  </si>
  <si>
    <t>2409-06038</t>
  </si>
  <si>
    <t>2409-06139</t>
  </si>
  <si>
    <t>2409-06240</t>
  </si>
  <si>
    <t>2409-06341</t>
  </si>
  <si>
    <t>2409-06442</t>
  </si>
  <si>
    <t>2409-06543</t>
  </si>
  <si>
    <t>2409-06644</t>
  </si>
  <si>
    <t xml:space="preserve">LUNAS </t>
  </si>
  <si>
    <t>2409-06745</t>
  </si>
  <si>
    <t>2410-06901</t>
  </si>
  <si>
    <t>2410-07002</t>
  </si>
  <si>
    <t>2410-07103</t>
  </si>
  <si>
    <t>2410-07305</t>
  </si>
  <si>
    <t>2410-07406</t>
  </si>
  <si>
    <t>2410-07507</t>
  </si>
  <si>
    <t>2410-07608</t>
  </si>
  <si>
    <t>2410-07709</t>
  </si>
  <si>
    <t>2410-07810</t>
  </si>
  <si>
    <t>2410-07911</t>
  </si>
  <si>
    <t>2410-08012</t>
  </si>
  <si>
    <t>2410-08113</t>
  </si>
  <si>
    <t>2410-08214</t>
  </si>
  <si>
    <t>2410-08315</t>
  </si>
  <si>
    <t>2410-08517</t>
  </si>
  <si>
    <t>2410-08416</t>
  </si>
  <si>
    <t>2410-08618</t>
  </si>
  <si>
    <t>2410-08719</t>
  </si>
  <si>
    <t>2410-08820</t>
  </si>
  <si>
    <t>2410-08921</t>
  </si>
  <si>
    <t>2410-09022</t>
  </si>
  <si>
    <t>2410-09123</t>
  </si>
  <si>
    <t>2410-09224</t>
  </si>
  <si>
    <t>2410-07204</t>
  </si>
  <si>
    <t>2410-09325</t>
  </si>
  <si>
    <t>2410-09426</t>
  </si>
  <si>
    <t>2411-09501</t>
  </si>
  <si>
    <t>2411-09602</t>
  </si>
  <si>
    <t>2411-09703</t>
  </si>
  <si>
    <t>2411-09804</t>
  </si>
  <si>
    <t>2411-09905</t>
  </si>
  <si>
    <t>2411-10006</t>
  </si>
  <si>
    <t>GSAP</t>
  </si>
  <si>
    <t>2411-10107</t>
  </si>
  <si>
    <t>2411-10208</t>
  </si>
  <si>
    <t>2411-10309</t>
  </si>
  <si>
    <t>2411-10410</t>
  </si>
  <si>
    <t>2411-10511</t>
  </si>
  <si>
    <t>2411-10612</t>
  </si>
  <si>
    <t xml:space="preserve">HANDLING </t>
  </si>
  <si>
    <t>PERIODE DESEMBER 2024</t>
  </si>
  <si>
    <t>2412-107001</t>
  </si>
  <si>
    <t>COAU7254533130</t>
  </si>
  <si>
    <t>TRHU2613865</t>
  </si>
  <si>
    <t>CPP-MRS077</t>
  </si>
  <si>
    <t>285083291</t>
  </si>
  <si>
    <t xml:space="preserve">PIB + ADMIN </t>
  </si>
  <si>
    <t>2412-109003</t>
  </si>
  <si>
    <t>Close Masuk CN Des 24</t>
  </si>
  <si>
    <t>Close, Sisa Masuk CN Des 24</t>
  </si>
  <si>
    <t>GALON AIR BIRU</t>
  </si>
  <si>
    <t>JNE CSL + INDOPROMO</t>
  </si>
  <si>
    <t>SALLARY MINGGUAN</t>
  </si>
  <si>
    <t>JNE CSL + CPP + CJH</t>
  </si>
  <si>
    <t>JNE VICTORY</t>
  </si>
  <si>
    <t>JNE CPP CSL + CPP</t>
  </si>
  <si>
    <t>JNE DOLPHIN</t>
  </si>
  <si>
    <t>JNE CSL</t>
  </si>
  <si>
    <t>GALON/KOPI/GULA</t>
  </si>
  <si>
    <t>JNE CSL YES</t>
  </si>
  <si>
    <t>JNE SENERGI YES</t>
  </si>
  <si>
    <t xml:space="preserve">TOP UP SALDO </t>
  </si>
  <si>
    <t>Beban Kurir / JNE</t>
  </si>
  <si>
    <t>Piutang S/D End Sept 24</t>
  </si>
  <si>
    <t>Hutang S/D End Sept 2024</t>
  </si>
  <si>
    <t>Pinjaman Modal s/d End Sept 2024</t>
  </si>
  <si>
    <t xml:space="preserve">Admin Bank DO </t>
  </si>
  <si>
    <t>VICTORY</t>
  </si>
  <si>
    <t>GREEN</t>
  </si>
  <si>
    <t>CSL</t>
  </si>
  <si>
    <t>BAUMA</t>
  </si>
  <si>
    <t>OBOR</t>
  </si>
  <si>
    <t>SENERGI</t>
  </si>
  <si>
    <t>ATTARAYA</t>
  </si>
  <si>
    <t>Beban IPL Bulan September</t>
  </si>
  <si>
    <t>Beban Quota Ewilog</t>
  </si>
  <si>
    <t>Beban Internet Indihome</t>
  </si>
  <si>
    <t>Periode September 2024</t>
  </si>
  <si>
    <t>Pendapatan Jasa September 2024</t>
  </si>
  <si>
    <t>Periode Oktober 2024</t>
  </si>
  <si>
    <t>Pendapatan Jasa Oktober 2024</t>
  </si>
  <si>
    <t>Piutang S/D End Okt 24</t>
  </si>
  <si>
    <t>Hutang S/D End Okt 2024</t>
  </si>
  <si>
    <t>Pinjaman Modal s/d End Okt 2024</t>
  </si>
  <si>
    <t>GALON 2</t>
  </si>
  <si>
    <t>JNE GPI &amp; CPP</t>
  </si>
  <si>
    <t>JNE JT</t>
  </si>
  <si>
    <t>JNE YES TERMINAL NUSA</t>
  </si>
  <si>
    <t>MATERAI 2 PCS</t>
  </si>
  <si>
    <t>JNE SARANA &amp; SMS</t>
  </si>
  <si>
    <t>JUMAT BERKAH</t>
  </si>
  <si>
    <t>JNE CSL &amp; CPP</t>
  </si>
  <si>
    <t>MATERAI 1 PCS</t>
  </si>
  <si>
    <t>JNE INDOPROMO &amp; MTS</t>
  </si>
  <si>
    <t>GULA KOPI</t>
  </si>
  <si>
    <t>JNE TERMINAL</t>
  </si>
  <si>
    <t>JNE SENERGI</t>
  </si>
  <si>
    <t>JNE KAY OCEAN</t>
  </si>
  <si>
    <t>PLASTIK</t>
  </si>
  <si>
    <t>Beban Internet Indihome &amp; Telephone</t>
  </si>
  <si>
    <t>Beban Perjalanan Dinas (IT Freelance)</t>
  </si>
  <si>
    <t>Beban Perlengkapan Kantor / ATK / Aqua /Peralatan</t>
  </si>
  <si>
    <t>TALANG OVERTIME OBOR PMP</t>
  </si>
  <si>
    <t>SEWA LAHAN FUMIGASI SLB</t>
  </si>
  <si>
    <t>ENTERTAINT PAK YONO</t>
  </si>
  <si>
    <t>MEJA PRINTER</t>
  </si>
  <si>
    <t>SOFA DAN MEJA LOBBY</t>
  </si>
  <si>
    <t>TISSUE 10 PCS</t>
  </si>
  <si>
    <t>KAMPER DAHLIA</t>
  </si>
  <si>
    <t>DUMMY BOOK + ACCESORIES</t>
  </si>
  <si>
    <t>PAJANGAN + KALENDER</t>
  </si>
  <si>
    <t xml:space="preserve">VAS BUNGA </t>
  </si>
  <si>
    <t>PRISTINE DUS</t>
  </si>
  <si>
    <t xml:space="preserve">KSL PARKIR VISIT </t>
  </si>
  <si>
    <t>VISIT CUST SURYA</t>
  </si>
  <si>
    <t>ENTERTAINT OBOR KIKI</t>
  </si>
  <si>
    <t xml:space="preserve">IPL + AIR ESHAKA </t>
  </si>
  <si>
    <t>LISTRIK PLN</t>
  </si>
  <si>
    <t>TANAMAN PALSU</t>
  </si>
  <si>
    <t>MEETING PMP</t>
  </si>
  <si>
    <t>CLING DAN WPC</t>
  </si>
  <si>
    <t>QUOTA EWILOG</t>
  </si>
  <si>
    <t>VAS BUNGA MINI</t>
  </si>
  <si>
    <t>MEETING BU BERTHA INDOLIFT</t>
  </si>
  <si>
    <t>BENSIN</t>
  </si>
  <si>
    <t>ENTERTAINT CSL</t>
  </si>
  <si>
    <t>ENTERTAINT GSAP</t>
  </si>
  <si>
    <t xml:space="preserve">INDIHOME + TELP </t>
  </si>
  <si>
    <t>TALANGAN SEAL PT SENERGI</t>
  </si>
  <si>
    <t>TOL PARKIR MEETING SINERGI</t>
  </si>
  <si>
    <t>TALANGAN BURUH SINERGI</t>
  </si>
  <si>
    <t>HVS 5 RIM 1 DUS</t>
  </si>
  <si>
    <t>SEMINAR NLC TOL</t>
  </si>
  <si>
    <t>REFUND FONI</t>
  </si>
  <si>
    <t>RINCIAN TALANGAN ASIAH</t>
  </si>
  <si>
    <t>KULKAS 2 PINTU</t>
  </si>
  <si>
    <t>RINCIAN TALANGAN MUSTIKA PART 2</t>
  </si>
  <si>
    <t>RAK PANTRY DAPUR</t>
  </si>
  <si>
    <t>ATK DAN SIGN TOILET</t>
  </si>
  <si>
    <t>TONG SAMPAH</t>
  </si>
  <si>
    <t>ISOLATIF KABEL LISTRIK</t>
  </si>
  <si>
    <t>ISOLATIF KABEL AC</t>
  </si>
  <si>
    <t>LAMPU OTOMATIS DAN KEMONCENG</t>
  </si>
  <si>
    <t>MOUSE PAID</t>
  </si>
  <si>
    <t xml:space="preserve">SI BIRU </t>
  </si>
  <si>
    <t xml:space="preserve">WPC </t>
  </si>
  <si>
    <t>SUPER PEL</t>
  </si>
  <si>
    <t>HIT</t>
  </si>
  <si>
    <t>CALMIC</t>
  </si>
  <si>
    <t>GLADE OTOMATIS</t>
  </si>
  <si>
    <t>HURUF TIMBUL ESHAKA</t>
  </si>
  <si>
    <t>PLASTIK SAMPAH</t>
  </si>
  <si>
    <t>TISSUE ROL</t>
  </si>
  <si>
    <t>MEJA MANAGER</t>
  </si>
  <si>
    <t>LAMP KUNING + METERAN DKK</t>
  </si>
  <si>
    <t>TEMPAT TISUE TOILET</t>
  </si>
  <si>
    <t>VAS BOHLAM</t>
  </si>
  <si>
    <t>VAS DONUT</t>
  </si>
  <si>
    <t>BUNGA UNTUK VAS</t>
  </si>
  <si>
    <t>BUNGA PLASTIK</t>
  </si>
  <si>
    <t>BUNGA KERING</t>
  </si>
  <si>
    <t>KARET U</t>
  </si>
  <si>
    <t>PALU</t>
  </si>
  <si>
    <t>TISSUE</t>
  </si>
  <si>
    <t>CLING WPC</t>
  </si>
  <si>
    <t>TOKEN LISTRIK</t>
  </si>
  <si>
    <t xml:space="preserve">TALANGAN SEAL </t>
  </si>
  <si>
    <t>TALANGAN OPS SEAL</t>
  </si>
  <si>
    <t>MEETING PAK RIKI/SADIMAN</t>
  </si>
  <si>
    <t>SUNLIGHT</t>
  </si>
  <si>
    <t>MEETING 3 PT SINERGI/SAS/VINILON TOLL</t>
  </si>
  <si>
    <t>BENSIN 3 PT</t>
  </si>
  <si>
    <t>TOLL PAMERAN BSD</t>
  </si>
  <si>
    <t>MEETING CSL</t>
  </si>
  <si>
    <t>TALANGAN KAY OCEAN</t>
  </si>
  <si>
    <t>BIAYA LAIN2</t>
  </si>
  <si>
    <t>Equipment Office</t>
  </si>
  <si>
    <t>Hosting Domain Go Daddy</t>
  </si>
  <si>
    <t>Felipe</t>
  </si>
  <si>
    <t>Freelance IT</t>
  </si>
  <si>
    <t>TERMINAL NUSA</t>
  </si>
  <si>
    <t>INDOPROMO</t>
  </si>
  <si>
    <t>SOUL ART</t>
  </si>
  <si>
    <t>SMS</t>
  </si>
  <si>
    <t>KAY OCEAN</t>
  </si>
  <si>
    <t>MTS</t>
  </si>
  <si>
    <t>Beban IPL + Air (Sept &amp; Okt 2 Bulan)</t>
  </si>
  <si>
    <t xml:space="preserve">Beban Internet Indihome (Sept &amp; Okt 2 Bulan) </t>
  </si>
  <si>
    <t>Beban Equipment (PC Server &amp; Sofa)</t>
  </si>
  <si>
    <t>Beban Listrik (Sept &amp; Oktober 2 Bulan)</t>
  </si>
  <si>
    <t xml:space="preserve">        </t>
  </si>
  <si>
    <t xml:space="preserve">    </t>
  </si>
  <si>
    <t>Periode November 2024</t>
  </si>
  <si>
    <t>Pendapatan Jasa Nov 2024</t>
  </si>
  <si>
    <t>Pinjaman Modal s/d End November 2024</t>
  </si>
  <si>
    <t>Piutang S/D End November 2024</t>
  </si>
  <si>
    <t>Hutang S/D End November 2024</t>
  </si>
  <si>
    <t>Beban IPL  November 2024</t>
  </si>
  <si>
    <t>Beban PDAM</t>
  </si>
  <si>
    <t>Beban Listrik November 2024</t>
  </si>
  <si>
    <t>Beban Internet Indihome November 2024</t>
  </si>
  <si>
    <t>Beban Equipment(Penyusutan)</t>
  </si>
  <si>
    <t>Beban Perlengkapan Kantor / ATK / Aqua dll</t>
  </si>
  <si>
    <t>Baban Bensin</t>
  </si>
  <si>
    <t>Beban Tol Market / Meeting</t>
  </si>
  <si>
    <t>Reimburst Mustika</t>
  </si>
  <si>
    <t>Sallary Staff Per Tanggal 28</t>
  </si>
  <si>
    <t>PETTY CASH PT ESHAKA WIJAYA LOGISTICS</t>
  </si>
  <si>
    <t>PERIODE BULAN NOVEMBER 2024</t>
  </si>
  <si>
    <t>KONSUMSI</t>
  </si>
  <si>
    <t>ATK</t>
  </si>
  <si>
    <t>TOLL</t>
  </si>
  <si>
    <t>OPS MISC FEE</t>
  </si>
  <si>
    <t>SALDO</t>
  </si>
  <si>
    <t>TOTAL PENGELUARAN BULANAN</t>
  </si>
  <si>
    <t>TOTAL</t>
  </si>
  <si>
    <t>CLOSING BALLANCE</t>
  </si>
  <si>
    <t>OPENING BALANCE</t>
  </si>
  <si>
    <t>BEBAN KANTOR</t>
  </si>
  <si>
    <t>PERIODE BULAN DESEMBER 2024</t>
  </si>
  <si>
    <t>TANGGAL</t>
  </si>
  <si>
    <t>PENGIRIMAN DOKUMENT</t>
  </si>
  <si>
    <t>Bensin Motor</t>
  </si>
  <si>
    <t>Materai</t>
  </si>
  <si>
    <t>JNE SMS</t>
  </si>
  <si>
    <t>JNE KSL</t>
  </si>
  <si>
    <t>Pompa Ban Motor</t>
  </si>
  <si>
    <t>Top Up Petty Cash</t>
  </si>
  <si>
    <t xml:space="preserve">RINCIAN TALANGAN MUSTIKA </t>
  </si>
  <si>
    <t>Meeting 3 (Busan, Trida , Modena)</t>
  </si>
  <si>
    <t>Entertaint Soult Art</t>
  </si>
  <si>
    <t>Entertaint Aicool SMS Domino</t>
  </si>
  <si>
    <t>Paket Data &amp; Parkir</t>
  </si>
  <si>
    <t>Market</t>
  </si>
  <si>
    <t>RINCIAN TALANGAN MUSTIKA 2</t>
  </si>
  <si>
    <t>Name Card (Ikhwan, Yuni, Mustika)</t>
  </si>
  <si>
    <t>Valas Jakarana Tama (2410-08921)</t>
  </si>
  <si>
    <t>RINCIAN TALANGAN ASIAH 2</t>
  </si>
  <si>
    <t>Talangan DP Zepta Modena (2411-10309</t>
  </si>
  <si>
    <t>Meeting Tol / Bensin lain2</t>
  </si>
  <si>
    <t>Kopi Kantor</t>
  </si>
  <si>
    <t>Sabun Cuci 5Kg</t>
  </si>
  <si>
    <t>Sedotan 2 Ball</t>
  </si>
  <si>
    <t>WPC 4 Pcs</t>
  </si>
  <si>
    <t>Kantong Sampah</t>
  </si>
  <si>
    <t>Tissue Roll</t>
  </si>
  <si>
    <t>Sumpit Kayu</t>
  </si>
  <si>
    <t>Talangan Maxxspeed (2411-10410)</t>
  </si>
  <si>
    <t>Talangan Winshare (2410-09426)</t>
  </si>
  <si>
    <t>Listrik Token 2x</t>
  </si>
  <si>
    <t>RINCIAN TALANGAN ASIAH 3</t>
  </si>
  <si>
    <t>Air Coller Manager</t>
  </si>
  <si>
    <t>Ikhwan</t>
  </si>
  <si>
    <t>RINCIAN TALANGAN ASIAH 4</t>
  </si>
  <si>
    <t>Biaya Pompa &amp; Jasa Pasang</t>
  </si>
  <si>
    <t xml:space="preserve">RINCIAN TALANGAN ASIAH </t>
  </si>
  <si>
    <t xml:space="preserve">Admin Bank </t>
  </si>
  <si>
    <t>KSL</t>
  </si>
  <si>
    <t>MODENA</t>
  </si>
  <si>
    <t>Periode Desember  2024</t>
  </si>
  <si>
    <t>Pendapatan Jasa Dec 2024</t>
  </si>
  <si>
    <t>Piutang S/D End Desember 2024</t>
  </si>
  <si>
    <t>Hutang S/D End Desember 2024</t>
  </si>
  <si>
    <t>Pinjaman Modal s/d End Desember 2024</t>
  </si>
  <si>
    <t>Beban PDAM, IPL, Listrik, Indihome, Quota &amp; Telp Des 2024</t>
  </si>
  <si>
    <t>Baban Bensin &amp; Toll Market/Kanvas/Meeting</t>
  </si>
  <si>
    <t>BILLING BPOM</t>
  </si>
  <si>
    <t>Ket</t>
  </si>
  <si>
    <t>Kalkulator</t>
  </si>
  <si>
    <t>Quota Ewilog</t>
  </si>
  <si>
    <t>Kanvas</t>
  </si>
  <si>
    <t>JNE Modena 2411-10319</t>
  </si>
  <si>
    <t>Beban Kantor</t>
  </si>
  <si>
    <t>IPL Des</t>
  </si>
  <si>
    <t>Indihome &amp; Telp</t>
  </si>
  <si>
    <t>PDAM Air</t>
  </si>
  <si>
    <t>Baterai A3 Mouse</t>
  </si>
  <si>
    <t>Gula Pasir 1/4</t>
  </si>
  <si>
    <t xml:space="preserve">Klip Besar </t>
  </si>
  <si>
    <t>Top Up Refund Mustika</t>
  </si>
  <si>
    <t>JNE Yes Modena</t>
  </si>
  <si>
    <t>Top Up PC Mei 24</t>
  </si>
  <si>
    <t>Pemasukan</t>
  </si>
  <si>
    <t>Pengeluaran</t>
  </si>
  <si>
    <t>Bulan</t>
  </si>
  <si>
    <t>TOTAL LABA RUGI TAHUNAN PT ESHAKA WIJAYA LOGISTICS</t>
  </si>
  <si>
    <t>PERIODE OKT 2023 - OKT 2024</t>
  </si>
  <si>
    <t>Tahun</t>
  </si>
  <si>
    <t xml:space="preserve">Oktober 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</si>
  <si>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</si>
  <si>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</si>
  <si>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</si>
  <si>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</si>
  <si>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</si>
  <si>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</si>
  <si>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</si>
  <si>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</si>
  <si>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July</t>
  </si>
  <si>
    <t xml:space="preserve">Agustus </t>
  </si>
  <si>
    <t>September</t>
  </si>
  <si>
    <t xml:space="preserve">TOTAL </t>
  </si>
  <si>
    <t>Nett Profit</t>
  </si>
  <si>
    <t>Pendapatan July 2024</t>
  </si>
  <si>
    <t>*Hutang Eshaka Untuk Modal Ruko dan Renovasi IDR 333,594,567; Per tgl 08/12/24</t>
  </si>
  <si>
    <t>*Jika di bayar uang Eshaka Hanya IDR70,312,791</t>
  </si>
  <si>
    <t>*Saldo Bank Mandiri dan BCA per 08/12/24 IDR 344,268,730.83</t>
  </si>
  <si>
    <t>plastik es</t>
  </si>
  <si>
    <t>YOSEFIN</t>
  </si>
  <si>
    <t>M.IKHWAN</t>
  </si>
  <si>
    <t>SAHRUL</t>
  </si>
  <si>
    <t>CUSTOMER SUPPORT</t>
  </si>
  <si>
    <t>MANAGER MARKETING</t>
  </si>
  <si>
    <t>SURYA ALF</t>
  </si>
  <si>
    <t>MARKETING EXECUTIVE</t>
  </si>
  <si>
    <t>FINANCE</t>
  </si>
  <si>
    <t>PENGELUARAN LAIN-LAIN TANPA SO NON PETTY CASH</t>
  </si>
  <si>
    <t>2412-001001</t>
  </si>
  <si>
    <t>CSA</t>
  </si>
  <si>
    <t>Reimburst ......</t>
  </si>
  <si>
    <t>FINAL SALDO</t>
  </si>
  <si>
    <t>BCA 295003000</t>
  </si>
  <si>
    <t>PT EKSPORINDO MITRA LOGISTIK</t>
  </si>
  <si>
    <t>EWL2412107001 , EWL2412107001-R</t>
  </si>
  <si>
    <t>MANDIRI 129112112112</t>
  </si>
  <si>
    <t>TALANGAN BY MANDIRI</t>
  </si>
  <si>
    <t>BY ESHAKA</t>
  </si>
  <si>
    <t>BCA 995001243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</si>
</sst>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!\(#,##0\!\)"/>
    <numFmt numFmtId="165" formatCode="d\-mmm\-yyyy;@"/>
    <numFmt numFmtId="166" formatCode="#,##0.00_);\!\(#,##0.00\!\)"/>
    <numFmt numFmtId="167" formatCode="#,##0_);[Red]\!\(#,##0\!\)"/>
    <numFmt numFmtId="168" formatCode="&quot;Rp&quot;#,##0.00"/>
    <numFmt numFmtId="169" formatCode="#,##0.00;[Red]#,##0.00"/>
  </numFmts>
  <fonts count="126">
    <font>
      <sz val="11"/>
      <name val="等线"/>
    </font>
    <font>
      <sz val="11"/>
      <color rgb="FF000000"/>
      <name val="等线"/>
      <charset val="134"/>
    </font>
    <font>
      <b/>
      <sz val="24"/>
      <color rgb="FFC55A11"/>
      <name val="等线"/>
      <charset val="134"/>
    </font>
    <font>
      <sz val="11"/>
      <name val="等线"/>
      <charset val="134"/>
    </font>
    <font>
      <b/>
      <sz val="11"/>
      <color rgb="FFFF0000"/>
      <name val="Rockwell"/>
      <family val="1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Rockwell"/>
      <family val="1"/>
    </font>
    <font>
      <b/>
      <sz val="11"/>
      <color rgb="FFFF0000"/>
      <name val="等线"/>
      <charset val="134"/>
    </font>
    <font>
      <b/>
      <sz val="11"/>
      <color rgb="FF000000"/>
      <name val="Rockwell"/>
      <family val="1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name val="等线"/>
      <charset val="134"/>
    </font>
    <font>
      <b/>
      <sz val="22"/>
      <color rgb="FFC55A11"/>
      <name val="等线"/>
      <charset val="134"/>
    </font>
    <font>
      <sz val="22"/>
      <name val="等线"/>
      <charset val="134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Rockwell"/>
      <family val="1"/>
    </font>
    <font>
      <sz val="10"/>
      <color rgb="FF010000"/>
      <name val="等线"/>
      <charset val="134"/>
    </font>
    <font>
      <sz val="11"/>
      <color rgb="FF000000"/>
      <name val="Cambria"/>
      <family val="1"/>
    </font>
    <font>
      <b/>
      <sz val="11"/>
      <color rgb="FFFF0000"/>
      <name val="Cambria"/>
      <family val="1"/>
    </font>
    <font>
      <b/>
      <sz val="26"/>
      <color rgb="FFC55A11"/>
      <name val="等线"/>
      <charset val="134"/>
    </font>
    <font>
      <sz val="26"/>
      <name val="等线"/>
      <charset val="134"/>
    </font>
    <font>
      <sz val="10"/>
      <color rgb="FF010000"/>
      <name val="Calibri"/>
      <family val="2"/>
    </font>
    <font>
      <sz val="9"/>
      <color rgb="FF000000"/>
      <name val="Arial"/>
      <family val="2"/>
    </font>
    <font>
      <sz val="9"/>
      <color rgb="FF010000"/>
      <name val="Arial"/>
      <family val="2"/>
    </font>
    <font>
      <sz val="9"/>
      <name val="Arial"/>
      <family val="2"/>
    </font>
    <font>
      <b/>
      <sz val="14"/>
      <name val="等线"/>
      <charset val="134"/>
    </font>
    <font>
      <b/>
      <sz val="11"/>
      <name val="等线"/>
      <charset val="134"/>
    </font>
    <font>
      <b/>
      <sz val="14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等线"/>
      <charset val="134"/>
    </font>
    <font>
      <b/>
      <sz val="10"/>
      <name val="等线"/>
      <charset val="134"/>
    </font>
    <font>
      <sz val="11"/>
      <color rgb="FFFF0000"/>
      <name val="等线"/>
      <charset val="134"/>
    </font>
    <font>
      <b/>
      <sz val="14"/>
      <color rgb="FF000000"/>
      <name val="等线"/>
      <charset val="134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等线"/>
      <charset val="134"/>
    </font>
    <font>
      <b/>
      <sz val="9"/>
      <color rgb="FF000000"/>
      <name val="等线"/>
      <charset val="134"/>
    </font>
    <font>
      <sz val="9"/>
      <color rgb="FF000000"/>
      <name val="Calibri"/>
      <family val="2"/>
    </font>
    <font>
      <b/>
      <sz val="14"/>
      <color rgb="FF000000"/>
      <name val="Cambria"/>
      <family val="1"/>
    </font>
    <font>
      <b/>
      <sz val="14"/>
      <name val="Cambria"/>
      <family val="1"/>
    </font>
    <font>
      <b/>
      <sz val="10"/>
      <color rgb="FF000000"/>
      <name val="Cambria"/>
      <family val="1"/>
    </font>
    <font>
      <b/>
      <sz val="10"/>
      <name val="Cambria"/>
      <family val="1"/>
    </font>
    <font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20"/>
      <color rgb="FF000000"/>
      <name val="等线"/>
      <charset val="134"/>
    </font>
    <font>
      <b/>
      <sz val="16"/>
      <color rgb="FF000000"/>
      <name val="等线"/>
      <charset val="134"/>
    </font>
    <font>
      <sz val="16"/>
      <name val="等线"/>
      <charset val="134"/>
    </font>
    <font>
      <sz val="11"/>
      <color rgb="FF000000"/>
      <name val="Times New Roman"/>
      <family val="1"/>
    </font>
    <font>
      <sz val="14"/>
      <color rgb="FF000000"/>
      <name val="等线"/>
      <charset val="134"/>
    </font>
    <font>
      <b/>
      <sz val="18"/>
      <color rgb="FF000000"/>
      <name val="Cambria"/>
      <family val="1"/>
    </font>
    <font>
      <b/>
      <sz val="18"/>
      <name val="Cambria"/>
      <family val="1"/>
    </font>
    <font>
      <b/>
      <sz val="9"/>
      <color rgb="FF000000"/>
      <name val="Cambria"/>
      <family val="1"/>
    </font>
    <font>
      <b/>
      <sz val="9"/>
      <name val="Cambria"/>
      <family val="1"/>
    </font>
    <font>
      <sz val="9"/>
      <name val="Cambria"/>
      <family val="1"/>
    </font>
    <font>
      <b/>
      <sz val="9"/>
      <color rgb="FFFF0000"/>
      <name val="Cambria"/>
      <family val="1"/>
    </font>
    <font>
      <sz val="9"/>
      <color rgb="FF121212"/>
      <name val="Cambria"/>
      <family val="1"/>
    </font>
    <font>
      <sz val="24"/>
      <color rgb="FF000000"/>
      <name val="等线"/>
      <charset val="134"/>
    </font>
    <font>
      <b/>
      <sz val="24"/>
      <color rgb="FF000000"/>
      <name val="Cambria"/>
      <family val="1"/>
    </font>
    <font>
      <sz val="24"/>
      <color rgb="FF000000"/>
      <name val="Cambria"/>
      <family val="1"/>
    </font>
    <font>
      <sz val="24"/>
      <color rgb="FF000000"/>
      <name val="Calibri"/>
      <family val="2"/>
    </font>
    <font>
      <b/>
      <sz val="24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20"/>
      <name val="等线"/>
      <charset val="134"/>
    </font>
    <font>
      <b/>
      <sz val="12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9"/>
      <color indexed="81"/>
      <name val="宋体"/>
      <charset val="134"/>
    </font>
    <font>
      <b/>
      <sz val="10"/>
      <name val="Courier New"/>
      <family val="3"/>
    </font>
    <font>
      <sz val="10"/>
      <name val="Courier New"/>
      <family val="3"/>
    </font>
    <font>
      <b/>
      <sz val="10"/>
      <color rgb="FFFF0000"/>
      <name val="Courier New"/>
      <family val="3"/>
    </font>
    <font>
      <sz val="10"/>
      <color rgb="FFFF0000"/>
      <name val="Courier New"/>
      <family val="3"/>
    </font>
    <font>
      <b/>
      <sz val="12"/>
      <name val="Courier New"/>
      <family val="3"/>
    </font>
    <font>
      <b/>
      <sz val="11"/>
      <name val="等线"/>
      <charset val="1"/>
    </font>
    <font>
      <b/>
      <sz val="18"/>
      <name val="等线"/>
      <charset val="1"/>
    </font>
    <font>
      <b/>
      <sz val="20"/>
      <name val="等线"/>
      <charset val="1"/>
    </font>
    <font>
      <sz val="12"/>
      <name val="Courier New"/>
      <family val="3"/>
    </font>
    <font>
      <b/>
      <sz val="28"/>
      <name val="Courier New"/>
      <family val="3"/>
    </font>
    <font>
      <b/>
      <sz val="22"/>
      <name val="Courier New"/>
      <family val="3"/>
    </font>
    <font>
      <b/>
      <sz val="14"/>
      <name val="Courier New"/>
      <family val="3"/>
    </font>
    <font>
      <sz val="11"/>
      <name val="等线"/>
      <charset val="1"/>
    </font>
    <font>
      <sz val="11"/>
      <name val="Courier New"/>
      <family val="3"/>
      <charset val="1"/>
    </font>
    <font>
      <b/>
      <sz val="10"/>
      <color rgb="FF000000"/>
      <name val="Courier New"/>
      <family val="3"/>
    </font>
    <font>
      <sz val="10"/>
      <color rgb="FF000000"/>
      <name val="Courier New"/>
      <family val="3"/>
    </font>
    <font>
      <b/>
      <sz val="12"/>
      <color rgb="FF000000"/>
      <name val="Courier New"/>
      <family val="3"/>
    </font>
    <font>
      <b/>
      <sz val="11"/>
      <color rgb="FF000000"/>
      <name val="Courier New"/>
      <family val="3"/>
    </font>
    <font>
      <b/>
      <sz val="48"/>
      <color theme="9" tint="-0.499984740745262"/>
      <name val="Courier New"/>
      <family val="3"/>
    </font>
    <font>
      <b/>
      <sz val="22"/>
      <color theme="1"/>
      <name val="Courier New"/>
      <family val="3"/>
    </font>
    <font>
      <b/>
      <sz val="48"/>
      <color theme="1"/>
      <name val="Courier New"/>
      <family val="3"/>
    </font>
    <font>
      <b/>
      <sz val="12"/>
      <color theme="1"/>
      <name val="Courier New"/>
      <family val="3"/>
    </font>
    <font>
      <sz val="10"/>
      <color rgb="FF000000"/>
      <name val="Courier New"/>
      <family val="3"/>
      <charset val="1"/>
    </font>
    <font>
      <sz val="10"/>
      <color rgb="FF010000"/>
      <name val="Courier New"/>
      <family val="3"/>
      <charset val="1"/>
    </font>
    <font>
      <sz val="8"/>
      <name val="等线"/>
    </font>
    <font>
      <sz val="11"/>
      <name val="Courier New"/>
      <family val="3"/>
    </font>
    <font>
      <b/>
      <sz val="11"/>
      <name val="Courier New"/>
      <family val="3"/>
    </font>
    <font>
      <b/>
      <sz val="10"/>
      <color rgb="FF010000"/>
      <name val="Courier New"/>
      <family val="3"/>
    </font>
    <font>
      <sz val="9"/>
      <name val="Courier New"/>
      <family val="3"/>
    </font>
    <font>
      <b/>
      <sz val="9"/>
      <name val="Courier New"/>
      <family val="3"/>
    </font>
    <font>
      <sz val="10"/>
      <color rgb="FF010000"/>
      <name val="Courier New"/>
      <family val="3"/>
    </font>
    <font>
      <sz val="9"/>
      <color indexed="81"/>
      <name val="Tahoma"/>
      <family val="2"/>
    </font>
    <font>
      <sz val="10"/>
      <name val="Courier New"/>
      <family val="3"/>
      <charset val="1"/>
    </font>
    <font>
      <sz val="10"/>
      <name val="等线"/>
      <charset val="1"/>
    </font>
    <font>
      <b/>
      <sz val="10"/>
      <name val="Courier New"/>
      <family val="3"/>
      <charset val="1"/>
    </font>
    <font>
      <b/>
      <sz val="11"/>
      <name val="Courier New"/>
      <family val="3"/>
      <charset val="1"/>
    </font>
    <font>
      <b/>
      <sz val="9"/>
      <color indexed="81"/>
      <name val="Tahoma"/>
      <family val="2"/>
    </font>
    <font>
      <b/>
      <sz val="16"/>
      <name val="Courier New"/>
      <family val="3"/>
    </font>
    <font>
      <b/>
      <sz val="18"/>
      <name val="Courier New"/>
      <family val="3"/>
    </font>
    <font>
      <b/>
      <sz val="20"/>
      <name val="Courier New"/>
      <family val="3"/>
    </font>
    <font>
      <b/>
      <sz val="36"/>
      <name val="Courier New"/>
      <family val="3"/>
    </font>
    <font>
      <b/>
      <sz val="12"/>
      <name val="Courier New"/>
      <family val="3"/>
      <charset val="1"/>
    </font>
    <font>
      <b/>
      <sz val="12"/>
      <name val="等线"/>
      <charset val="1"/>
    </font>
  </fonts>
  <fills count="3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D8D8D8"/>
        <bgColor rgb="FF92D050"/>
      </patternFill>
    </fill>
    <fill>
      <patternFill patternType="solid">
        <fgColor rgb="FFD8D8D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protection locked="0"/>
    </xf>
    <xf numFmtId="0" fontId="1" fillId="0" borderId="0">
      <protection locked="0"/>
    </xf>
  </cellStyleXfs>
  <cellXfs count="1265">
    <xf numFmtId="0" fontId="0" fillId="0" borderId="0" xfId="0">
      <alignment vertical="center"/>
    </xf>
    <xf numFmtId="0" fontId="1" fillId="0" borderId="0" xfId="1" applyProtection="1"/>
    <xf numFmtId="0" fontId="4" fillId="0" borderId="0" xfId="1" applyFont="1" applyAlignment="1" applyProtection="1">
      <alignment horizontal="left" vertical="center" wrapText="1"/>
    </xf>
    <xf numFmtId="0" fontId="5" fillId="3" borderId="2" xfId="1" applyFont="1" applyFill="1" applyBorder="1" applyAlignment="1" applyProtection="1">
      <alignment horizontal="center" vertical="center" wrapText="1"/>
    </xf>
    <xf numFmtId="0" fontId="5" fillId="3" borderId="3" xfId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horizontal="center" vertical="center" wrapText="1"/>
    </xf>
    <xf numFmtId="0" fontId="5" fillId="4" borderId="4" xfId="1" applyFont="1" applyFill="1" applyBorder="1" applyAlignment="1" applyProtection="1">
      <alignment horizontal="center" vertical="center" wrapText="1"/>
    </xf>
    <xf numFmtId="0" fontId="5" fillId="3" borderId="5" xfId="1" applyFont="1" applyFill="1" applyBorder="1" applyAlignment="1" applyProtection="1">
      <alignment horizontal="center" vertical="center" wrapText="1"/>
    </xf>
    <xf numFmtId="0" fontId="5" fillId="0" borderId="4" xfId="1" applyFont="1" applyBorder="1" applyAlignment="1" applyProtection="1">
      <alignment horizontal="center" vertical="center" wrapText="1"/>
    </xf>
    <xf numFmtId="0" fontId="5" fillId="0" borderId="8" xfId="1" applyFont="1" applyBorder="1" applyAlignment="1" applyProtection="1">
      <alignment horizontal="center" vertical="center" wrapText="1"/>
    </xf>
    <xf numFmtId="0" fontId="5" fillId="0" borderId="8" xfId="1" quotePrefix="1" applyFont="1" applyBorder="1" applyAlignment="1" applyProtection="1">
      <alignment horizontal="center" vertical="center" wrapText="1"/>
    </xf>
    <xf numFmtId="14" fontId="5" fillId="4" borderId="8" xfId="1" applyNumberFormat="1" applyFont="1" applyFill="1" applyBorder="1" applyAlignment="1" applyProtection="1">
      <alignment horizontal="center" vertical="center" wrapText="1"/>
    </xf>
    <xf numFmtId="14" fontId="5" fillId="0" borderId="8" xfId="1" applyNumberFormat="1" applyFont="1" applyBorder="1" applyAlignment="1" applyProtection="1">
      <alignment horizontal="center" vertical="center" wrapText="1"/>
    </xf>
    <xf numFmtId="0" fontId="5" fillId="0" borderId="9" xfId="1" applyFont="1" applyBorder="1" applyAlignment="1" applyProtection="1">
      <alignment horizontal="center" vertical="center" wrapText="1"/>
    </xf>
    <xf numFmtId="3" fontId="5" fillId="0" borderId="8" xfId="1" applyNumberFormat="1" applyFont="1" applyBorder="1" applyAlignment="1" applyProtection="1">
      <alignment horizontal="center" vertical="center" wrapText="1"/>
    </xf>
    <xf numFmtId="0" fontId="5" fillId="0" borderId="10" xfId="1" applyFont="1" applyBorder="1" applyAlignment="1" applyProtection="1">
      <alignment horizontal="center" vertical="center" wrapText="1"/>
    </xf>
    <xf numFmtId="0" fontId="5" fillId="0" borderId="9" xfId="1" quotePrefix="1" applyFont="1" applyBorder="1" applyAlignment="1" applyProtection="1">
      <alignment horizontal="center" vertical="center" wrapText="1"/>
    </xf>
    <xf numFmtId="14" fontId="5" fillId="0" borderId="9" xfId="1" applyNumberFormat="1" applyFont="1" applyBorder="1" applyAlignment="1" applyProtection="1">
      <alignment horizontal="center" vertical="center" wrapText="1"/>
    </xf>
    <xf numFmtId="14" fontId="5" fillId="4" borderId="9" xfId="1" applyNumberFormat="1" applyFont="1" applyFill="1" applyBorder="1" applyAlignment="1" applyProtection="1">
      <alignment horizontal="center" vertical="center" wrapText="1"/>
    </xf>
    <xf numFmtId="3" fontId="5" fillId="0" borderId="9" xfId="1" applyNumberFormat="1" applyFont="1" applyBorder="1" applyAlignment="1" applyProtection="1">
      <alignment horizontal="center" vertical="center" wrapText="1"/>
    </xf>
    <xf numFmtId="3" fontId="5" fillId="0" borderId="10" xfId="1" applyNumberFormat="1" applyFont="1" applyBorder="1" applyAlignment="1" applyProtection="1">
      <alignment horizontal="center" vertical="center" wrapText="1"/>
    </xf>
    <xf numFmtId="0" fontId="5" fillId="4" borderId="8" xfId="1" applyFont="1" applyFill="1" applyBorder="1" applyAlignment="1" applyProtection="1">
      <alignment horizontal="center" vertical="center" wrapText="1"/>
    </xf>
    <xf numFmtId="0" fontId="5" fillId="0" borderId="0" xfId="1" applyFont="1" applyAlignment="1" applyProtection="1">
      <alignment horizontal="center" vertical="center" wrapText="1"/>
    </xf>
    <xf numFmtId="0" fontId="5" fillId="4" borderId="0" xfId="1" applyFont="1" applyFill="1" applyAlignment="1" applyProtection="1">
      <alignment horizontal="center" vertical="center" wrapText="1"/>
    </xf>
    <xf numFmtId="14" fontId="5" fillId="0" borderId="0" xfId="1" applyNumberFormat="1" applyFont="1" applyAlignment="1" applyProtection="1">
      <alignment horizontal="center" vertical="center" wrapText="1"/>
    </xf>
    <xf numFmtId="0" fontId="7" fillId="0" borderId="0" xfId="1" applyFont="1" applyAlignment="1" applyProtection="1">
      <alignment horizontal="center" vertical="center" wrapText="1"/>
    </xf>
    <xf numFmtId="3" fontId="7" fillId="0" borderId="0" xfId="1" applyNumberFormat="1" applyFont="1" applyAlignment="1" applyProtection="1">
      <alignment horizontal="center" vertical="center" wrapText="1"/>
    </xf>
    <xf numFmtId="3" fontId="6" fillId="0" borderId="0" xfId="1" applyNumberFormat="1" applyFont="1" applyAlignment="1" applyProtection="1">
      <alignment horizontal="center" vertical="center" wrapText="1"/>
    </xf>
    <xf numFmtId="3" fontId="5" fillId="0" borderId="0" xfId="1" applyNumberFormat="1" applyFont="1" applyAlignment="1" applyProtection="1">
      <alignment horizontal="left" vertical="center" wrapText="1"/>
    </xf>
    <xf numFmtId="3" fontId="5" fillId="0" borderId="0" xfId="1" applyNumberFormat="1" applyFont="1" applyAlignment="1" applyProtection="1">
      <alignment horizontal="center" vertical="center" wrapText="1"/>
    </xf>
    <xf numFmtId="3" fontId="7" fillId="0" borderId="6" xfId="1" applyNumberFormat="1" applyFont="1" applyBorder="1" applyAlignment="1" applyProtection="1">
      <alignment horizontal="center" vertical="center" wrapText="1"/>
    </xf>
    <xf numFmtId="3" fontId="6" fillId="0" borderId="0" xfId="1" applyNumberFormat="1" applyFont="1" applyAlignment="1" applyProtection="1">
      <alignment horizontal="left" vertical="center" wrapText="1"/>
    </xf>
    <xf numFmtId="0" fontId="4" fillId="0" borderId="8" xfId="1" applyFont="1" applyBorder="1" applyAlignment="1" applyProtection="1">
      <alignment horizontal="left" vertical="center" wrapText="1"/>
    </xf>
    <xf numFmtId="14" fontId="5" fillId="0" borderId="12" xfId="1" applyNumberFormat="1" applyFont="1" applyBorder="1" applyAlignment="1" applyProtection="1">
      <alignment horizontal="center" vertical="center" wrapText="1"/>
    </xf>
    <xf numFmtId="14" fontId="5" fillId="0" borderId="16" xfId="1" applyNumberFormat="1" applyFont="1" applyBorder="1" applyAlignment="1" applyProtection="1">
      <alignment horizontal="center" vertical="center" wrapText="1"/>
    </xf>
    <xf numFmtId="14" fontId="5" fillId="4" borderId="0" xfId="1" applyNumberFormat="1" applyFont="1" applyFill="1" applyAlignment="1" applyProtection="1">
      <alignment horizontal="center" vertical="center" wrapText="1"/>
    </xf>
    <xf numFmtId="0" fontId="6" fillId="0" borderId="0" xfId="1" applyFont="1" applyAlignment="1" applyProtection="1">
      <alignment horizontal="center" vertical="center" wrapText="1"/>
    </xf>
    <xf numFmtId="0" fontId="8" fillId="0" borderId="0" xfId="1" applyFont="1" applyAlignment="1" applyProtection="1">
      <alignment wrapText="1"/>
    </xf>
    <xf numFmtId="0" fontId="5" fillId="0" borderId="10" xfId="1" quotePrefix="1" applyFont="1" applyBorder="1" applyAlignment="1" applyProtection="1">
      <alignment horizontal="center" vertical="center" wrapText="1"/>
    </xf>
    <xf numFmtId="14" fontId="5" fillId="4" borderId="10" xfId="1" applyNumberFormat="1" applyFont="1" applyFill="1" applyBorder="1" applyAlignment="1" applyProtection="1">
      <alignment horizontal="center" vertical="center" wrapText="1"/>
    </xf>
    <xf numFmtId="14" fontId="5" fillId="0" borderId="10" xfId="1" applyNumberFormat="1" applyFont="1" applyBorder="1" applyAlignment="1" applyProtection="1">
      <alignment horizontal="center" vertical="center" wrapText="1"/>
    </xf>
    <xf numFmtId="0" fontId="9" fillId="0" borderId="0" xfId="1" applyFont="1" applyAlignment="1" applyProtection="1">
      <alignment horizontal="left" vertical="center" wrapText="1"/>
    </xf>
    <xf numFmtId="0" fontId="1" fillId="0" borderId="0" xfId="1" applyAlignment="1" applyProtection="1">
      <alignment wrapText="1"/>
    </xf>
    <xf numFmtId="0" fontId="1" fillId="4" borderId="0" xfId="1" applyFill="1" applyAlignment="1" applyProtection="1">
      <alignment wrapText="1"/>
    </xf>
    <xf numFmtId="3" fontId="1" fillId="0" borderId="0" xfId="1" applyNumberFormat="1" applyAlignment="1" applyProtection="1">
      <alignment wrapText="1"/>
    </xf>
    <xf numFmtId="3" fontId="7" fillId="0" borderId="0" xfId="1" applyNumberFormat="1" applyFont="1" applyAlignment="1" applyProtection="1">
      <alignment horizontal="center" wrapText="1"/>
    </xf>
    <xf numFmtId="0" fontId="10" fillId="0" borderId="0" xfId="1" applyFont="1" applyAlignment="1" applyProtection="1">
      <alignment horizontal="left" vertical="center" wrapText="1"/>
    </xf>
    <xf numFmtId="0" fontId="5" fillId="0" borderId="11" xfId="1" applyFont="1" applyBorder="1" applyAlignment="1" applyProtection="1">
      <alignment horizontal="center" vertical="center" wrapText="1"/>
    </xf>
    <xf numFmtId="14" fontId="5" fillId="5" borderId="9" xfId="1" applyNumberFormat="1" applyFont="1" applyFill="1" applyBorder="1" applyAlignment="1" applyProtection="1">
      <alignment horizontal="center" vertical="center" wrapText="1"/>
    </xf>
    <xf numFmtId="3" fontId="5" fillId="5" borderId="0" xfId="1" applyNumberFormat="1" applyFont="1" applyFill="1" applyAlignment="1" applyProtection="1">
      <alignment horizontal="center" vertical="center" wrapText="1"/>
    </xf>
    <xf numFmtId="0" fontId="1" fillId="0" borderId="0" xfId="1" applyAlignment="1" applyProtection="1">
      <alignment horizontal="center" vertical="center"/>
    </xf>
    <xf numFmtId="0" fontId="4" fillId="4" borderId="0" xfId="1" applyFont="1" applyFill="1" applyAlignment="1" applyProtection="1">
      <alignment horizontal="left" vertical="center" wrapText="1"/>
    </xf>
    <xf numFmtId="0" fontId="10" fillId="5" borderId="0" xfId="1" applyFont="1" applyFill="1" applyAlignment="1" applyProtection="1">
      <alignment horizontal="left" vertical="center" wrapText="1"/>
    </xf>
    <xf numFmtId="0" fontId="5" fillId="5" borderId="0" xfId="1" applyFont="1" applyFill="1" applyAlignment="1" applyProtection="1">
      <alignment horizontal="center" vertical="center" wrapText="1"/>
    </xf>
    <xf numFmtId="14" fontId="5" fillId="5" borderId="0" xfId="1" applyNumberFormat="1" applyFont="1" applyFill="1" applyAlignment="1" applyProtection="1">
      <alignment horizontal="center" vertical="center" wrapText="1"/>
    </xf>
    <xf numFmtId="3" fontId="5" fillId="4" borderId="0" xfId="1" applyNumberFormat="1" applyFont="1" applyFill="1" applyAlignment="1" applyProtection="1">
      <alignment horizontal="center" vertical="center" wrapText="1"/>
    </xf>
    <xf numFmtId="14" fontId="5" fillId="0" borderId="11" xfId="1" applyNumberFormat="1" applyFont="1" applyBorder="1" applyAlignment="1" applyProtection="1">
      <alignment horizontal="center" vertical="center" wrapText="1"/>
    </xf>
    <xf numFmtId="0" fontId="1" fillId="6" borderId="0" xfId="1" applyFill="1" applyProtection="1"/>
    <xf numFmtId="0" fontId="4" fillId="6" borderId="0" xfId="1" applyFont="1" applyFill="1" applyAlignment="1" applyProtection="1">
      <alignment horizontal="left" vertical="center" wrapText="1"/>
    </xf>
    <xf numFmtId="0" fontId="11" fillId="0" borderId="0" xfId="1" applyFont="1" applyProtection="1"/>
    <xf numFmtId="0" fontId="12" fillId="0" borderId="0" xfId="1" applyFont="1" applyAlignment="1" applyProtection="1">
      <alignment horizontal="left" vertical="center" wrapText="1"/>
    </xf>
    <xf numFmtId="3" fontId="5" fillId="0" borderId="11" xfId="1" applyNumberFormat="1" applyFont="1" applyBorder="1" applyAlignment="1" applyProtection="1">
      <alignment horizontal="center" vertical="center" wrapText="1"/>
    </xf>
    <xf numFmtId="0" fontId="13" fillId="0" borderId="8" xfId="1" applyFont="1" applyBorder="1" applyAlignment="1" applyProtection="1">
      <alignment horizontal="center"/>
    </xf>
    <xf numFmtId="14" fontId="5" fillId="0" borderId="13" xfId="1" applyNumberFormat="1" applyFont="1" applyBorder="1" applyAlignment="1" applyProtection="1">
      <alignment horizontal="center" vertical="center" wrapText="1"/>
    </xf>
    <xf numFmtId="14" fontId="5" fillId="0" borderId="8" xfId="1" applyNumberFormat="1" applyFont="1" applyBorder="1" applyAlignment="1" applyProtection="1">
      <alignment horizontal="center" vertical="center"/>
    </xf>
    <xf numFmtId="14" fontId="5" fillId="0" borderId="20" xfId="1" applyNumberFormat="1" applyFont="1" applyBorder="1" applyAlignment="1" applyProtection="1">
      <alignment horizontal="center" vertical="center" wrapText="1"/>
    </xf>
    <xf numFmtId="0" fontId="5" fillId="0" borderId="23" xfId="1" applyFont="1" applyBorder="1" applyAlignment="1" applyProtection="1">
      <alignment horizontal="center" vertical="center" wrapText="1"/>
    </xf>
    <xf numFmtId="0" fontId="5" fillId="0" borderId="23" xfId="1" quotePrefix="1" applyFont="1" applyBorder="1" applyAlignment="1" applyProtection="1">
      <alignment horizontal="center" vertical="center" wrapText="1"/>
    </xf>
    <xf numFmtId="14" fontId="5" fillId="0" borderId="23" xfId="1" applyNumberFormat="1" applyFont="1" applyBorder="1" applyAlignment="1" applyProtection="1">
      <alignment horizontal="center" vertical="center" wrapText="1"/>
    </xf>
    <xf numFmtId="3" fontId="5" fillId="0" borderId="23" xfId="1" applyNumberFormat="1" applyFont="1" applyBorder="1" applyAlignment="1" applyProtection="1">
      <alignment horizontal="center" vertical="center" wrapText="1"/>
    </xf>
    <xf numFmtId="0" fontId="5" fillId="7" borderId="8" xfId="1" applyFont="1" applyFill="1" applyBorder="1" applyAlignment="1" applyProtection="1">
      <alignment horizontal="center" vertical="center" wrapText="1"/>
    </xf>
    <xf numFmtId="0" fontId="6" fillId="5" borderId="0" xfId="1" applyFont="1" applyFill="1" applyAlignment="1" applyProtection="1">
      <alignment horizontal="left" vertical="center" wrapText="1"/>
    </xf>
    <xf numFmtId="0" fontId="3" fillId="0" borderId="0" xfId="1" applyFont="1" applyProtection="1"/>
    <xf numFmtId="0" fontId="5" fillId="0" borderId="11" xfId="1" quotePrefix="1" applyFont="1" applyBorder="1" applyAlignment="1" applyProtection="1">
      <alignment horizontal="center" vertical="center" wrapText="1"/>
    </xf>
    <xf numFmtId="0" fontId="16" fillId="0" borderId="0" xfId="1" applyFont="1" applyProtection="1"/>
    <xf numFmtId="0" fontId="7" fillId="3" borderId="2" xfId="1" applyFont="1" applyFill="1" applyBorder="1" applyAlignment="1" applyProtection="1">
      <alignment horizontal="center" vertical="center" wrapText="1"/>
    </xf>
    <xf numFmtId="0" fontId="7" fillId="3" borderId="3" xfId="1" applyFont="1" applyFill="1" applyBorder="1" applyAlignment="1" applyProtection="1">
      <alignment horizontal="center" vertical="center" wrapText="1"/>
    </xf>
    <xf numFmtId="0" fontId="7" fillId="3" borderId="4" xfId="1" applyFont="1" applyFill="1" applyBorder="1" applyAlignment="1" applyProtection="1">
      <alignment horizontal="center" vertical="center" wrapText="1"/>
    </xf>
    <xf numFmtId="0" fontId="7" fillId="4" borderId="4" xfId="1" applyFont="1" applyFill="1" applyBorder="1" applyAlignment="1" applyProtection="1">
      <alignment horizontal="center" vertical="center" wrapText="1"/>
    </xf>
    <xf numFmtId="0" fontId="7" fillId="3" borderId="5" xfId="1" applyFont="1" applyFill="1" applyBorder="1" applyAlignment="1" applyProtection="1">
      <alignment horizontal="center" vertical="center" wrapText="1"/>
    </xf>
    <xf numFmtId="0" fontId="7" fillId="0" borderId="4" xfId="1" applyFont="1" applyBorder="1" applyAlignment="1" applyProtection="1">
      <alignment horizontal="center" vertical="center" wrapText="1"/>
    </xf>
    <xf numFmtId="0" fontId="17" fillId="0" borderId="0" xfId="1" applyFont="1" applyAlignment="1" applyProtection="1">
      <alignment horizontal="left" vertical="center" wrapText="1"/>
    </xf>
    <xf numFmtId="0" fontId="11" fillId="0" borderId="0" xfId="1" applyFont="1" applyAlignment="1" applyProtection="1">
      <alignment horizontal="center" vertical="center" wrapText="1"/>
    </xf>
    <xf numFmtId="0" fontId="13" fillId="0" borderId="10" xfId="1" applyFont="1" applyBorder="1" applyAlignment="1" applyProtection="1">
      <alignment horizontal="center" vertical="center" wrapText="1"/>
    </xf>
    <xf numFmtId="0" fontId="13" fillId="0" borderId="10" xfId="1" quotePrefix="1" applyFont="1" applyBorder="1" applyAlignment="1" applyProtection="1">
      <alignment horizontal="center" vertical="center" wrapText="1"/>
    </xf>
    <xf numFmtId="14" fontId="13" fillId="0" borderId="10" xfId="1" applyNumberFormat="1" applyFont="1" applyBorder="1" applyAlignment="1" applyProtection="1">
      <alignment horizontal="center" vertical="center" wrapText="1"/>
    </xf>
    <xf numFmtId="0" fontId="12" fillId="0" borderId="0" xfId="1" applyFont="1" applyAlignment="1" applyProtection="1">
      <alignment horizontal="center" vertical="center" wrapText="1"/>
    </xf>
    <xf numFmtId="0" fontId="18" fillId="0" borderId="0" xfId="1" applyFont="1" applyAlignment="1" applyProtection="1">
      <alignment horizontal="left" vertical="center" wrapText="1"/>
    </xf>
    <xf numFmtId="0" fontId="19" fillId="0" borderId="0" xfId="1" applyFont="1" applyAlignment="1" applyProtection="1">
      <alignment horizontal="left" vertical="center" wrapText="1"/>
    </xf>
    <xf numFmtId="0" fontId="5" fillId="0" borderId="26" xfId="1" applyFont="1" applyBorder="1" applyAlignment="1" applyProtection="1">
      <alignment horizontal="center" vertical="center" wrapText="1"/>
    </xf>
    <xf numFmtId="14" fontId="5" fillId="0" borderId="26" xfId="1" applyNumberFormat="1" applyFont="1" applyBorder="1" applyAlignment="1" applyProtection="1">
      <alignment horizontal="center" vertical="center" wrapText="1"/>
    </xf>
    <xf numFmtId="3" fontId="5" fillId="0" borderId="26" xfId="1" applyNumberFormat="1" applyFont="1" applyBorder="1" applyAlignment="1" applyProtection="1">
      <alignment horizontal="center" vertical="center" wrapText="1"/>
    </xf>
    <xf numFmtId="0" fontId="12" fillId="0" borderId="27" xfId="1" applyFont="1" applyBorder="1" applyAlignment="1" applyProtection="1">
      <alignment horizontal="left" vertical="center" wrapText="1"/>
    </xf>
    <xf numFmtId="3" fontId="5" fillId="0" borderId="28" xfId="1" applyNumberFormat="1" applyFont="1" applyBorder="1" applyAlignment="1" applyProtection="1">
      <alignment horizontal="center" vertical="center" wrapText="1"/>
    </xf>
    <xf numFmtId="14" fontId="5" fillId="0" borderId="28" xfId="1" applyNumberFormat="1" applyFont="1" applyBorder="1" applyAlignment="1" applyProtection="1">
      <alignment horizontal="center" vertical="center" wrapText="1"/>
    </xf>
    <xf numFmtId="14" fontId="5" fillId="0" borderId="29" xfId="1" applyNumberFormat="1" applyFont="1" applyBorder="1" applyAlignment="1" applyProtection="1">
      <alignment horizontal="center" vertical="center" wrapText="1"/>
    </xf>
    <xf numFmtId="0" fontId="5" fillId="0" borderId="28" xfId="1" applyFont="1" applyBorder="1" applyAlignment="1" applyProtection="1">
      <alignment horizontal="center" vertical="center" wrapText="1"/>
    </xf>
    <xf numFmtId="0" fontId="13" fillId="0" borderId="28" xfId="1" applyFont="1" applyBorder="1" applyAlignment="1" applyProtection="1">
      <alignment horizontal="center"/>
    </xf>
    <xf numFmtId="0" fontId="13" fillId="0" borderId="28" xfId="1" applyFont="1" applyBorder="1" applyAlignment="1" applyProtection="1">
      <alignment horizontal="center" vertical="center"/>
    </xf>
    <xf numFmtId="0" fontId="13" fillId="0" borderId="0" xfId="1" applyFont="1" applyProtection="1"/>
    <xf numFmtId="0" fontId="11" fillId="0" borderId="0" xfId="1" applyFont="1" applyAlignment="1" applyProtection="1">
      <alignment wrapText="1"/>
    </xf>
    <xf numFmtId="3" fontId="6" fillId="0" borderId="6" xfId="1" applyNumberFormat="1" applyFont="1" applyBorder="1" applyAlignment="1" applyProtection="1">
      <alignment horizontal="center" vertical="center" wrapText="1"/>
    </xf>
    <xf numFmtId="3" fontId="5" fillId="0" borderId="0" xfId="1" applyNumberFormat="1" applyFont="1" applyAlignment="1" applyProtection="1">
      <alignment wrapText="1"/>
    </xf>
    <xf numFmtId="14" fontId="20" fillId="0" borderId="9" xfId="1" applyNumberFormat="1" applyFont="1" applyBorder="1" applyAlignment="1" applyProtection="1">
      <alignment horizontal="center" vertical="center" wrapText="1"/>
    </xf>
    <xf numFmtId="0" fontId="5" fillId="0" borderId="28" xfId="1" quotePrefix="1" applyFont="1" applyBorder="1" applyAlignment="1" applyProtection="1">
      <alignment horizontal="center" vertical="center" wrapText="1"/>
    </xf>
    <xf numFmtId="0" fontId="13" fillId="0" borderId="28" xfId="1" applyFont="1" applyBorder="1" applyAlignment="1" applyProtection="1">
      <alignment horizontal="center" vertical="center" wrapText="1"/>
    </xf>
    <xf numFmtId="0" fontId="13" fillId="0" borderId="28" xfId="1" quotePrefix="1" applyFont="1" applyBorder="1" applyAlignment="1" applyProtection="1">
      <alignment horizontal="center" vertical="center" wrapText="1"/>
    </xf>
    <xf numFmtId="14" fontId="13" fillId="0" borderId="28" xfId="1" applyNumberFormat="1" applyFont="1" applyBorder="1" applyAlignment="1" applyProtection="1">
      <alignment horizontal="center" vertical="center" wrapText="1"/>
    </xf>
    <xf numFmtId="0" fontId="5" fillId="0" borderId="26" xfId="1" quotePrefix="1" applyFont="1" applyBorder="1" applyAlignment="1" applyProtection="1">
      <alignment horizontal="center" vertical="center" wrapText="1"/>
    </xf>
    <xf numFmtId="14" fontId="20" fillId="0" borderId="8" xfId="1" applyNumberFormat="1" applyFont="1" applyBorder="1" applyAlignment="1" applyProtection="1">
      <alignment horizontal="center" vertical="center" wrapText="1"/>
    </xf>
    <xf numFmtId="0" fontId="5" fillId="0" borderId="32" xfId="1" applyFont="1" applyBorder="1" applyAlignment="1" applyProtection="1">
      <alignment horizontal="center" vertical="center" wrapText="1"/>
    </xf>
    <xf numFmtId="0" fontId="21" fillId="0" borderId="0" xfId="1" applyFont="1" applyProtection="1"/>
    <xf numFmtId="0" fontId="22" fillId="0" borderId="0" xfId="1" applyFont="1" applyAlignment="1" applyProtection="1">
      <alignment horizontal="left" vertical="center" wrapText="1"/>
    </xf>
    <xf numFmtId="14" fontId="5" fillId="0" borderId="32" xfId="1" applyNumberFormat="1" applyFont="1" applyBorder="1" applyAlignment="1" applyProtection="1">
      <alignment horizontal="center" vertical="center" wrapText="1"/>
    </xf>
    <xf numFmtId="0" fontId="5" fillId="0" borderId="0" xfId="1" applyFont="1" applyAlignment="1" applyProtection="1">
      <alignment wrapText="1"/>
    </xf>
    <xf numFmtId="0" fontId="6" fillId="3" borderId="2" xfId="1" applyFont="1" applyFill="1" applyBorder="1" applyAlignment="1" applyProtection="1">
      <alignment horizontal="center" vertical="center" wrapText="1"/>
    </xf>
    <xf numFmtId="0" fontId="6" fillId="3" borderId="3" xfId="1" applyFont="1" applyFill="1" applyBorder="1" applyAlignment="1" applyProtection="1">
      <alignment horizontal="center" vertical="center" wrapText="1"/>
    </xf>
    <xf numFmtId="0" fontId="6" fillId="3" borderId="4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3" borderId="5" xfId="1" applyFont="1" applyFill="1" applyBorder="1" applyAlignment="1" applyProtection="1">
      <alignment horizontal="center" vertical="center" wrapText="1"/>
    </xf>
    <xf numFmtId="0" fontId="6" fillId="0" borderId="4" xfId="1" applyFont="1" applyBorder="1" applyAlignment="1" applyProtection="1">
      <alignment horizontal="center" vertical="center" wrapText="1"/>
    </xf>
    <xf numFmtId="14" fontId="20" fillId="0" borderId="28" xfId="1" applyNumberFormat="1" applyFont="1" applyBorder="1" applyAlignment="1" applyProtection="1">
      <alignment horizontal="center" vertical="center" wrapText="1"/>
    </xf>
    <xf numFmtId="0" fontId="5" fillId="0" borderId="34" xfId="1" applyFont="1" applyBorder="1" applyAlignment="1" applyProtection="1">
      <alignment horizontal="center" vertical="center" wrapText="1"/>
    </xf>
    <xf numFmtId="3" fontId="5" fillId="0" borderId="32" xfId="1" applyNumberFormat="1" applyFont="1" applyBorder="1" applyAlignment="1" applyProtection="1">
      <alignment horizontal="center" vertical="center" wrapText="1"/>
    </xf>
    <xf numFmtId="0" fontId="20" fillId="0" borderId="28" xfId="1" applyFont="1" applyBorder="1" applyAlignment="1" applyProtection="1">
      <alignment horizontal="center" vertical="center" wrapText="1"/>
    </xf>
    <xf numFmtId="14" fontId="5" fillId="0" borderId="35" xfId="1" applyNumberFormat="1" applyFont="1" applyBorder="1" applyAlignment="1" applyProtection="1">
      <alignment horizontal="center" vertical="center" wrapText="1"/>
    </xf>
    <xf numFmtId="0" fontId="11" fillId="0" borderId="27" xfId="1" applyFont="1" applyBorder="1" applyAlignment="1" applyProtection="1">
      <alignment wrapText="1"/>
    </xf>
    <xf numFmtId="0" fontId="5" fillId="0" borderId="0" xfId="1" applyFont="1" applyProtection="1"/>
    <xf numFmtId="3" fontId="6" fillId="0" borderId="0" xfId="1" applyNumberFormat="1" applyFont="1" applyAlignment="1" applyProtection="1">
      <alignment horizontal="center" wrapText="1"/>
    </xf>
    <xf numFmtId="0" fontId="20" fillId="0" borderId="9" xfId="1" applyFont="1" applyBorder="1" applyAlignment="1" applyProtection="1">
      <alignment horizontal="center" vertical="center" wrapText="1"/>
    </xf>
    <xf numFmtId="0" fontId="25" fillId="0" borderId="28" xfId="1" applyFont="1" applyBorder="1" applyAlignment="1" applyProtection="1">
      <alignment horizontal="center" vertical="center" wrapText="1"/>
    </xf>
    <xf numFmtId="14" fontId="5" fillId="0" borderId="34" xfId="1" applyNumberFormat="1" applyFont="1" applyBorder="1" applyAlignment="1" applyProtection="1">
      <alignment horizontal="center" vertical="center" wrapText="1"/>
    </xf>
    <xf numFmtId="0" fontId="25" fillId="0" borderId="28" xfId="1" applyFont="1" applyBorder="1" applyAlignment="1" applyProtection="1">
      <alignment horizontal="center" vertical="center"/>
    </xf>
    <xf numFmtId="0" fontId="5" fillId="0" borderId="28" xfId="1" applyFont="1" applyBorder="1" applyAlignment="1" applyProtection="1">
      <alignment horizontal="center" vertical="center"/>
    </xf>
    <xf numFmtId="0" fontId="25" fillId="0" borderId="9" xfId="1" applyFont="1" applyBorder="1" applyAlignment="1" applyProtection="1">
      <alignment horizontal="center" vertical="center" wrapText="1"/>
    </xf>
    <xf numFmtId="3" fontId="5" fillId="0" borderId="39" xfId="1" applyNumberFormat="1" applyFont="1" applyBorder="1" applyAlignment="1" applyProtection="1">
      <alignment horizontal="center" vertical="center" wrapText="1"/>
    </xf>
    <xf numFmtId="0" fontId="5" fillId="0" borderId="39" xfId="1" applyFont="1" applyBorder="1" applyAlignment="1" applyProtection="1">
      <alignment horizontal="center" vertical="center" wrapText="1"/>
    </xf>
    <xf numFmtId="0" fontId="1" fillId="0" borderId="27" xfId="1" applyBorder="1" applyProtection="1"/>
    <xf numFmtId="0" fontId="4" fillId="0" borderId="27" xfId="1" applyFont="1" applyBorder="1" applyAlignment="1" applyProtection="1">
      <alignment horizontal="left" vertical="center" wrapText="1"/>
    </xf>
    <xf numFmtId="3" fontId="5" fillId="0" borderId="20" xfId="1" applyNumberFormat="1" applyFont="1" applyBorder="1" applyAlignment="1" applyProtection="1">
      <alignment horizontal="center" vertical="center" wrapText="1"/>
    </xf>
    <xf numFmtId="3" fontId="5" fillId="0" borderId="25" xfId="1" applyNumberFormat="1" applyFont="1" applyBorder="1" applyAlignment="1" applyProtection="1">
      <alignment horizontal="center" vertical="center" wrapText="1"/>
    </xf>
    <xf numFmtId="0" fontId="20" fillId="0" borderId="0" xfId="1" applyFont="1" applyAlignment="1" applyProtection="1">
      <alignment horizontal="center" vertical="center" wrapText="1"/>
    </xf>
    <xf numFmtId="14" fontId="5" fillId="0" borderId="24" xfId="1" applyNumberFormat="1" applyFont="1" applyBorder="1" applyAlignment="1" applyProtection="1">
      <alignment horizontal="center" vertical="center" wrapText="1"/>
    </xf>
    <xf numFmtId="0" fontId="20" fillId="0" borderId="8" xfId="1" applyFont="1" applyBorder="1" applyAlignment="1" applyProtection="1">
      <alignment horizontal="center" vertical="center" wrapText="1"/>
    </xf>
    <xf numFmtId="0" fontId="1" fillId="0" borderId="0" xfId="1" applyAlignment="1" applyProtection="1">
      <alignment horizontal="center" vertical="center" wrapText="1"/>
    </xf>
    <xf numFmtId="0" fontId="4" fillId="0" borderId="0" xfId="1" applyFont="1" applyAlignment="1" applyProtection="1">
      <alignment horizontal="center" vertical="center" wrapText="1"/>
    </xf>
    <xf numFmtId="0" fontId="13" fillId="0" borderId="32" xfId="1" applyFont="1" applyBorder="1" applyAlignment="1" applyProtection="1">
      <alignment horizontal="center" vertical="center" wrapText="1"/>
    </xf>
    <xf numFmtId="0" fontId="5" fillId="0" borderId="29" xfId="1" applyFont="1" applyBorder="1" applyAlignment="1" applyProtection="1">
      <alignment horizontal="center" vertical="center" wrapText="1"/>
    </xf>
    <xf numFmtId="0" fontId="20" fillId="0" borderId="29" xfId="1" applyFont="1" applyBorder="1" applyAlignment="1" applyProtection="1">
      <alignment horizontal="center" vertical="center" wrapText="1"/>
    </xf>
    <xf numFmtId="3" fontId="5" fillId="0" borderId="34" xfId="1" applyNumberFormat="1" applyFont="1" applyBorder="1" applyAlignment="1" applyProtection="1">
      <alignment horizontal="center" vertical="center" wrapText="1"/>
    </xf>
    <xf numFmtId="3" fontId="6" fillId="5" borderId="0" xfId="1" applyNumberFormat="1" applyFont="1" applyFill="1" applyAlignment="1" applyProtection="1">
      <alignment horizontal="center" vertical="center" wrapText="1"/>
    </xf>
    <xf numFmtId="0" fontId="6" fillId="0" borderId="0" xfId="1" applyFont="1" applyAlignment="1" applyProtection="1">
      <alignment vertical="center" wrapText="1"/>
    </xf>
    <xf numFmtId="0" fontId="5" fillId="0" borderId="39" xfId="1" quotePrefix="1" applyFont="1" applyBorder="1" applyAlignment="1" applyProtection="1">
      <alignment horizontal="center" vertical="center" wrapText="1"/>
    </xf>
    <xf numFmtId="14" fontId="5" fillId="0" borderId="39" xfId="1" applyNumberFormat="1" applyFont="1" applyBorder="1" applyAlignment="1" applyProtection="1">
      <alignment horizontal="center" vertical="center" wrapText="1"/>
    </xf>
    <xf numFmtId="0" fontId="1" fillId="7" borderId="0" xfId="1" applyFill="1" applyAlignment="1" applyProtection="1">
      <alignment horizontal="center" vertical="center" wrapText="1"/>
    </xf>
    <xf numFmtId="0" fontId="5" fillId="7" borderId="28" xfId="1" applyFont="1" applyFill="1" applyBorder="1" applyAlignment="1" applyProtection="1">
      <alignment horizontal="center" vertical="center" wrapText="1"/>
    </xf>
    <xf numFmtId="14" fontId="5" fillId="7" borderId="28" xfId="1" applyNumberFormat="1" applyFont="1" applyFill="1" applyBorder="1" applyAlignment="1" applyProtection="1">
      <alignment horizontal="center" vertical="center" wrapText="1"/>
    </xf>
    <xf numFmtId="3" fontId="5" fillId="7" borderId="28" xfId="1" applyNumberFormat="1" applyFont="1" applyFill="1" applyBorder="1" applyAlignment="1" applyProtection="1">
      <alignment horizontal="center" vertical="center" wrapText="1"/>
    </xf>
    <xf numFmtId="0" fontId="4" fillId="7" borderId="0" xfId="1" applyFont="1" applyFill="1" applyAlignment="1" applyProtection="1">
      <alignment horizontal="center" vertical="center" wrapText="1"/>
    </xf>
    <xf numFmtId="0" fontId="5" fillId="8" borderId="28" xfId="1" applyFont="1" applyFill="1" applyBorder="1" applyAlignment="1" applyProtection="1">
      <alignment horizontal="center" vertical="center" wrapText="1"/>
    </xf>
    <xf numFmtId="0" fontId="1" fillId="7" borderId="0" xfId="1" applyFill="1" applyProtection="1"/>
    <xf numFmtId="0" fontId="5" fillId="7" borderId="39" xfId="1" applyFont="1" applyFill="1" applyBorder="1" applyAlignment="1" applyProtection="1">
      <alignment horizontal="center" vertical="center" wrapText="1"/>
    </xf>
    <xf numFmtId="0" fontId="5" fillId="7" borderId="39" xfId="1" quotePrefix="1" applyFont="1" applyFill="1" applyBorder="1" applyAlignment="1" applyProtection="1">
      <alignment horizontal="center" vertical="center" wrapText="1"/>
    </xf>
    <xf numFmtId="14" fontId="5" fillId="7" borderId="39" xfId="1" applyNumberFormat="1" applyFont="1" applyFill="1" applyBorder="1" applyAlignment="1" applyProtection="1">
      <alignment horizontal="center" vertical="center" wrapText="1"/>
    </xf>
    <xf numFmtId="3" fontId="5" fillId="7" borderId="39" xfId="1" applyNumberFormat="1" applyFont="1" applyFill="1" applyBorder="1" applyAlignment="1" applyProtection="1">
      <alignment horizontal="center" vertical="center" wrapText="1"/>
    </xf>
    <xf numFmtId="0" fontId="4" fillId="7" borderId="0" xfId="1" applyFont="1" applyFill="1" applyAlignment="1" applyProtection="1">
      <alignment horizontal="left" vertical="center" wrapText="1"/>
    </xf>
    <xf numFmtId="0" fontId="5" fillId="7" borderId="10" xfId="1" applyFont="1" applyFill="1" applyBorder="1" applyAlignment="1" applyProtection="1">
      <alignment horizontal="center" vertical="center" wrapText="1"/>
    </xf>
    <xf numFmtId="3" fontId="5" fillId="7" borderId="10" xfId="1" applyNumberFormat="1" applyFont="1" applyFill="1" applyBorder="1" applyAlignment="1" applyProtection="1">
      <alignment horizontal="center" vertical="center" wrapText="1"/>
    </xf>
    <xf numFmtId="14" fontId="5" fillId="7" borderId="10" xfId="1" applyNumberFormat="1" applyFont="1" applyFill="1" applyBorder="1" applyAlignment="1" applyProtection="1">
      <alignment horizontal="center" vertical="center" wrapText="1"/>
    </xf>
    <xf numFmtId="0" fontId="13" fillId="7" borderId="8" xfId="1" applyFont="1" applyFill="1" applyBorder="1" applyAlignment="1" applyProtection="1">
      <alignment horizontal="center" vertical="center" wrapText="1"/>
    </xf>
    <xf numFmtId="3" fontId="5" fillId="7" borderId="8" xfId="1" applyNumberFormat="1" applyFont="1" applyFill="1" applyBorder="1" applyAlignment="1" applyProtection="1">
      <alignment horizontal="center" vertical="center" wrapText="1"/>
    </xf>
    <xf numFmtId="14" fontId="5" fillId="7" borderId="8" xfId="1" applyNumberFormat="1" applyFont="1" applyFill="1" applyBorder="1" applyAlignment="1" applyProtection="1">
      <alignment horizontal="center" vertical="center" wrapText="1"/>
    </xf>
    <xf numFmtId="0" fontId="3" fillId="9" borderId="0" xfId="0" applyFont="1" applyFill="1">
      <alignment vertical="center"/>
    </xf>
    <xf numFmtId="3" fontId="5" fillId="9" borderId="10" xfId="1" applyNumberFormat="1" applyFont="1" applyFill="1" applyBorder="1" applyAlignment="1" applyProtection="1">
      <alignment horizontal="center" vertical="center" wrapText="1"/>
    </xf>
    <xf numFmtId="14" fontId="5" fillId="9" borderId="10" xfId="1" applyNumberFormat="1" applyFont="1" applyFill="1" applyBorder="1" applyAlignment="1" applyProtection="1">
      <alignment horizontal="center" vertical="center" wrapText="1"/>
    </xf>
    <xf numFmtId="0" fontId="1" fillId="9" borderId="0" xfId="1" applyFill="1" applyProtection="1"/>
    <xf numFmtId="3" fontId="5" fillId="9" borderId="8" xfId="1" applyNumberFormat="1" applyFont="1" applyFill="1" applyBorder="1" applyAlignment="1" applyProtection="1">
      <alignment horizontal="center" vertical="center" wrapText="1"/>
    </xf>
    <xf numFmtId="3" fontId="5" fillId="9" borderId="28" xfId="1" applyNumberFormat="1" applyFont="1" applyFill="1" applyBorder="1" applyAlignment="1" applyProtection="1">
      <alignment horizontal="center" vertical="center" wrapText="1"/>
    </xf>
    <xf numFmtId="14" fontId="5" fillId="9" borderId="8" xfId="1" applyNumberFormat="1" applyFont="1" applyFill="1" applyBorder="1" applyAlignment="1" applyProtection="1">
      <alignment horizontal="center" vertical="center" wrapText="1"/>
    </xf>
    <xf numFmtId="0" fontId="11" fillId="9" borderId="0" xfId="1" applyFont="1" applyFill="1" applyProtection="1"/>
    <xf numFmtId="0" fontId="5" fillId="9" borderId="28" xfId="1" applyFont="1" applyFill="1" applyBorder="1" applyAlignment="1" applyProtection="1">
      <alignment horizontal="center" vertical="center" wrapText="1"/>
    </xf>
    <xf numFmtId="14" fontId="5" fillId="9" borderId="28" xfId="1" applyNumberFormat="1" applyFont="1" applyFill="1" applyBorder="1" applyAlignment="1" applyProtection="1">
      <alignment horizontal="center" vertical="center" wrapText="1"/>
    </xf>
    <xf numFmtId="0" fontId="12" fillId="9" borderId="0" xfId="1" applyFont="1" applyFill="1" applyAlignment="1" applyProtection="1">
      <alignment horizontal="left" vertical="center" wrapText="1"/>
    </xf>
    <xf numFmtId="0" fontId="4" fillId="9" borderId="0" xfId="1" applyFont="1" applyFill="1" applyAlignment="1" applyProtection="1">
      <alignment horizontal="left" vertical="center" wrapText="1"/>
    </xf>
    <xf numFmtId="0" fontId="26" fillId="0" borderId="0" xfId="1" applyFont="1" applyProtection="1"/>
    <xf numFmtId="0" fontId="26" fillId="0" borderId="28" xfId="1" applyFont="1" applyBorder="1" applyAlignment="1" applyProtection="1">
      <alignment horizontal="center" vertical="center" wrapText="1"/>
    </xf>
    <xf numFmtId="0" fontId="27" fillId="0" borderId="28" xfId="1" applyFont="1" applyBorder="1" applyAlignment="1" applyProtection="1">
      <alignment horizontal="center" vertical="center" wrapText="1"/>
    </xf>
    <xf numFmtId="0" fontId="26" fillId="0" borderId="37" xfId="1" applyFont="1" applyBorder="1" applyAlignment="1" applyProtection="1">
      <alignment horizontal="center" vertical="center" wrapText="1"/>
    </xf>
    <xf numFmtId="0" fontId="27" fillId="0" borderId="38" xfId="1" applyFont="1" applyBorder="1" applyAlignment="1" applyProtection="1">
      <alignment horizontal="center" vertical="center" wrapText="1"/>
    </xf>
    <xf numFmtId="49" fontId="26" fillId="0" borderId="28" xfId="1" applyNumberFormat="1" applyFont="1" applyBorder="1" applyAlignment="1" applyProtection="1">
      <alignment horizontal="center" vertical="center" wrapText="1"/>
    </xf>
    <xf numFmtId="14" fontId="26" fillId="0" borderId="28" xfId="1" applyNumberFormat="1" applyFont="1" applyBorder="1" applyAlignment="1" applyProtection="1">
      <alignment horizontal="center" vertical="center" wrapText="1"/>
    </xf>
    <xf numFmtId="3" fontId="26" fillId="0" borderId="28" xfId="1" applyNumberFormat="1" applyFont="1" applyBorder="1" applyAlignment="1" applyProtection="1">
      <alignment horizontal="center" vertical="center" wrapText="1"/>
    </xf>
    <xf numFmtId="14" fontId="26" fillId="0" borderId="32" xfId="1" applyNumberFormat="1" applyFont="1" applyBorder="1" applyAlignment="1" applyProtection="1">
      <alignment horizontal="center" vertical="center" wrapText="1"/>
    </xf>
    <xf numFmtId="0" fontId="26" fillId="0" borderId="39" xfId="1" applyFont="1" applyBorder="1" applyAlignment="1" applyProtection="1">
      <alignment horizontal="center" vertical="center" wrapText="1"/>
    </xf>
    <xf numFmtId="0" fontId="28" fillId="0" borderId="28" xfId="0" applyFont="1" applyBorder="1" applyAlignment="1">
      <alignment horizontal="center" vertical="center"/>
    </xf>
    <xf numFmtId="0" fontId="26" fillId="0" borderId="28" xfId="1" applyFont="1" applyBorder="1" applyAlignment="1" applyProtection="1">
      <alignment horizontal="center" vertical="center"/>
    </xf>
    <xf numFmtId="0" fontId="26" fillId="0" borderId="47" xfId="1" applyFont="1" applyBorder="1" applyAlignment="1" applyProtection="1">
      <alignment horizontal="center" vertical="center" wrapText="1"/>
    </xf>
    <xf numFmtId="0" fontId="26" fillId="0" borderId="39" xfId="1" quotePrefix="1" applyFont="1" applyBorder="1" applyAlignment="1" applyProtection="1">
      <alignment horizontal="center" vertical="center" wrapText="1"/>
    </xf>
    <xf numFmtId="14" fontId="26" fillId="0" borderId="39" xfId="1" applyNumberFormat="1" applyFont="1" applyBorder="1" applyAlignment="1" applyProtection="1">
      <alignment horizontal="center" vertical="center" wrapText="1"/>
    </xf>
    <xf numFmtId="3" fontId="26" fillId="0" borderId="39" xfId="1" applyNumberFormat="1" applyFont="1" applyBorder="1" applyAlignment="1" applyProtection="1">
      <alignment horizontal="center" vertical="center" wrapText="1"/>
    </xf>
    <xf numFmtId="0" fontId="26" fillId="0" borderId="38" xfId="1" applyFont="1" applyBorder="1" applyAlignment="1" applyProtection="1">
      <alignment horizontal="center" vertical="center" wrapText="1"/>
    </xf>
    <xf numFmtId="0" fontId="26" fillId="0" borderId="28" xfId="1" quotePrefix="1" applyFont="1" applyBorder="1" applyAlignment="1" applyProtection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6" fillId="5" borderId="24" xfId="1" applyFont="1" applyFill="1" applyBorder="1" applyAlignment="1" applyProtection="1">
      <alignment horizontal="left" vertical="center" wrapText="1"/>
    </xf>
    <xf numFmtId="164" fontId="5" fillId="0" borderId="28" xfId="1" applyNumberFormat="1" applyFont="1" applyBorder="1" applyAlignment="1" applyProtection="1">
      <alignment horizontal="center" vertical="center" wrapText="1"/>
    </xf>
    <xf numFmtId="164" fontId="25" fillId="0" borderId="28" xfId="1" applyNumberFormat="1" applyFont="1" applyBorder="1" applyAlignment="1" applyProtection="1">
      <alignment horizontal="center" vertical="center" wrapText="1"/>
    </xf>
    <xf numFmtId="164" fontId="5" fillId="0" borderId="28" xfId="1" quotePrefix="1" applyNumberFormat="1" applyFont="1" applyBorder="1" applyAlignment="1" applyProtection="1">
      <alignment horizontal="center" vertical="center" wrapText="1"/>
    </xf>
    <xf numFmtId="165" fontId="5" fillId="0" borderId="28" xfId="1" applyNumberFormat="1" applyFont="1" applyBorder="1" applyAlignment="1" applyProtection="1">
      <alignment horizontal="center" vertical="center" wrapText="1"/>
    </xf>
    <xf numFmtId="164" fontId="5" fillId="7" borderId="28" xfId="1" applyNumberFormat="1" applyFont="1" applyFill="1" applyBorder="1" applyAlignment="1" applyProtection="1">
      <alignment horizontal="center" vertical="center" wrapText="1"/>
    </xf>
    <xf numFmtId="164" fontId="25" fillId="7" borderId="28" xfId="1" applyNumberFormat="1" applyFont="1" applyFill="1" applyBorder="1" applyAlignment="1" applyProtection="1">
      <alignment horizontal="center" vertical="center" wrapText="1"/>
    </xf>
    <xf numFmtId="164" fontId="5" fillId="7" borderId="28" xfId="1" quotePrefix="1" applyNumberFormat="1" applyFont="1" applyFill="1" applyBorder="1" applyAlignment="1" applyProtection="1">
      <alignment horizontal="center" vertical="center" wrapText="1"/>
    </xf>
    <xf numFmtId="165" fontId="5" fillId="7" borderId="28" xfId="1" applyNumberFormat="1" applyFont="1" applyFill="1" applyBorder="1" applyAlignment="1" applyProtection="1">
      <alignment horizontal="center" vertical="center" wrapText="1"/>
    </xf>
    <xf numFmtId="164" fontId="5" fillId="0" borderId="34" xfId="1" applyNumberFormat="1" applyFont="1" applyBorder="1" applyAlignment="1" applyProtection="1">
      <alignment horizontal="center" vertical="center" wrapText="1"/>
    </xf>
    <xf numFmtId="164" fontId="25" fillId="0" borderId="34" xfId="1" applyNumberFormat="1" applyFont="1" applyBorder="1" applyAlignment="1" applyProtection="1">
      <alignment horizontal="center" vertical="center" wrapText="1"/>
    </xf>
    <xf numFmtId="164" fontId="5" fillId="7" borderId="32" xfId="1" applyNumberFormat="1" applyFont="1" applyFill="1" applyBorder="1" applyAlignment="1" applyProtection="1">
      <alignment horizontal="center" vertical="center" wrapText="1"/>
    </xf>
    <xf numFmtId="164" fontId="6" fillId="5" borderId="0" xfId="1" applyNumberFormat="1" applyFont="1" applyFill="1" applyAlignment="1" applyProtection="1">
      <alignment horizontal="left" vertical="center" wrapText="1"/>
    </xf>
    <xf numFmtId="165" fontId="6" fillId="5" borderId="0" xfId="1" applyNumberFormat="1" applyFont="1" applyFill="1" applyAlignment="1" applyProtection="1">
      <alignment horizontal="left" vertical="center" wrapText="1"/>
    </xf>
    <xf numFmtId="165" fontId="6" fillId="5" borderId="24" xfId="1" applyNumberFormat="1" applyFont="1" applyFill="1" applyBorder="1" applyAlignment="1" applyProtection="1">
      <alignment horizontal="left" vertical="center" wrapText="1"/>
    </xf>
    <xf numFmtId="164" fontId="3" fillId="0" borderId="28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 applyProtection="1">
      <alignment horizontal="center" vertical="center" wrapText="1"/>
    </xf>
    <xf numFmtId="164" fontId="5" fillId="0" borderId="23" xfId="1" applyNumberFormat="1" applyFont="1" applyBorder="1" applyAlignment="1" applyProtection="1">
      <alignment horizontal="center" vertical="center" wrapText="1"/>
    </xf>
    <xf numFmtId="165" fontId="5" fillId="0" borderId="23" xfId="1" applyNumberFormat="1" applyFont="1" applyBorder="1" applyAlignment="1" applyProtection="1">
      <alignment horizontal="center" vertical="center" wrapText="1"/>
    </xf>
    <xf numFmtId="0" fontId="3" fillId="7" borderId="0" xfId="0" applyFont="1" applyFill="1">
      <alignment vertical="center"/>
    </xf>
    <xf numFmtId="164" fontId="6" fillId="5" borderId="24" xfId="1" applyNumberFormat="1" applyFont="1" applyFill="1" applyBorder="1" applyAlignment="1" applyProtection="1">
      <alignment horizontal="left" vertical="center" wrapText="1"/>
    </xf>
    <xf numFmtId="164" fontId="3" fillId="0" borderId="28" xfId="0" quotePrefix="1" applyNumberFormat="1" applyFont="1" applyBorder="1" applyAlignment="1">
      <alignment horizontal="center" vertical="center"/>
    </xf>
    <xf numFmtId="164" fontId="3" fillId="7" borderId="28" xfId="0" applyNumberFormat="1" applyFont="1" applyFill="1" applyBorder="1" applyAlignment="1">
      <alignment horizontal="center" vertical="center"/>
    </xf>
    <xf numFmtId="164" fontId="5" fillId="7" borderId="8" xfId="1" applyNumberFormat="1" applyFont="1" applyFill="1" applyBorder="1" applyAlignment="1" applyProtection="1">
      <alignment horizontal="center" vertical="center" wrapText="1"/>
    </xf>
    <xf numFmtId="164" fontId="5" fillId="7" borderId="23" xfId="1" applyNumberFormat="1" applyFont="1" applyFill="1" applyBorder="1" applyAlignment="1" applyProtection="1">
      <alignment horizontal="center" vertical="center" wrapText="1"/>
    </xf>
    <xf numFmtId="165" fontId="5" fillId="7" borderId="23" xfId="1" applyNumberFormat="1" applyFont="1" applyFill="1" applyBorder="1" applyAlignment="1" applyProtection="1">
      <alignment horizontal="center" vertical="center" wrapText="1"/>
    </xf>
    <xf numFmtId="164" fontId="5" fillId="0" borderId="32" xfId="1" applyNumberFormat="1" applyFont="1" applyBorder="1" applyAlignment="1" applyProtection="1">
      <alignment horizontal="center" vertical="center" wrapText="1"/>
    </xf>
    <xf numFmtId="164" fontId="25" fillId="0" borderId="32" xfId="1" applyNumberFormat="1" applyFont="1" applyBorder="1" applyAlignment="1" applyProtection="1">
      <alignment horizontal="center" vertical="center" wrapText="1"/>
    </xf>
    <xf numFmtId="165" fontId="5" fillId="0" borderId="32" xfId="1" applyNumberFormat="1" applyFont="1" applyBorder="1" applyAlignment="1" applyProtection="1">
      <alignment horizontal="center" vertical="center" wrapText="1"/>
    </xf>
    <xf numFmtId="164" fontId="3" fillId="7" borderId="32" xfId="0" applyNumberFormat="1" applyFont="1" applyFill="1" applyBorder="1" applyAlignment="1">
      <alignment horizontal="center" vertical="center"/>
    </xf>
    <xf numFmtId="165" fontId="5" fillId="7" borderId="32" xfId="1" applyNumberFormat="1" applyFont="1" applyFill="1" applyBorder="1" applyAlignment="1" applyProtection="1">
      <alignment horizontal="center" vertical="center" wrapText="1"/>
    </xf>
    <xf numFmtId="0" fontId="3" fillId="7" borderId="2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wrapText="1"/>
    </xf>
    <xf numFmtId="0" fontId="30" fillId="6" borderId="28" xfId="0" applyFont="1" applyFill="1" applyBorder="1" applyAlignment="1">
      <alignment horizontal="center" vertical="center" wrapText="1"/>
    </xf>
    <xf numFmtId="0" fontId="3" fillId="0" borderId="28" xfId="0" applyFont="1" applyBorder="1">
      <alignment vertical="center"/>
    </xf>
    <xf numFmtId="14" fontId="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right" vertical="center"/>
    </xf>
    <xf numFmtId="3" fontId="30" fillId="0" borderId="28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0" fillId="0" borderId="0" xfId="0" applyNumberFormat="1" applyFont="1" applyAlignment="1">
      <alignment horizontal="right" vertical="center"/>
    </xf>
    <xf numFmtId="0" fontId="32" fillId="6" borderId="28" xfId="0" applyFont="1" applyFill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/>
    </xf>
    <xf numFmtId="14" fontId="33" fillId="0" borderId="28" xfId="0" applyNumberFormat="1" applyFont="1" applyBorder="1" applyAlignment="1">
      <alignment horizontal="center" vertical="center"/>
    </xf>
    <xf numFmtId="3" fontId="33" fillId="0" borderId="28" xfId="0" applyNumberFormat="1" applyFont="1" applyBorder="1" applyAlignment="1">
      <alignment horizontal="right" vertical="center"/>
    </xf>
    <xf numFmtId="0" fontId="34" fillId="0" borderId="0" xfId="0" applyFont="1" applyAlignment="1">
      <alignment horizontal="center" vertical="center"/>
    </xf>
    <xf numFmtId="3" fontId="34" fillId="0" borderId="0" xfId="0" applyNumberFormat="1" applyFont="1" applyAlignment="1">
      <alignment horizontal="right" vertical="center"/>
    </xf>
    <xf numFmtId="0" fontId="36" fillId="6" borderId="28" xfId="0" applyFont="1" applyFill="1" applyBorder="1" applyAlignment="1">
      <alignment horizontal="center" vertical="center" wrapText="1"/>
    </xf>
    <xf numFmtId="3" fontId="3" fillId="0" borderId="28" xfId="0" applyNumberFormat="1" applyFont="1" applyBorder="1">
      <alignment vertical="center"/>
    </xf>
    <xf numFmtId="0" fontId="37" fillId="0" borderId="28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9" fillId="0" borderId="0" xfId="1" applyFont="1" applyAlignment="1" applyProtection="1">
      <alignment horizontal="center" vertical="center"/>
    </xf>
    <xf numFmtId="0" fontId="40" fillId="0" borderId="0" xfId="1" applyFont="1" applyAlignment="1" applyProtection="1">
      <alignment horizontal="center" vertical="center"/>
    </xf>
    <xf numFmtId="0" fontId="41" fillId="0" borderId="8" xfId="1" applyFont="1" applyBorder="1" applyAlignment="1" applyProtection="1">
      <alignment horizontal="center" vertical="center" wrapText="1"/>
    </xf>
    <xf numFmtId="14" fontId="41" fillId="0" borderId="8" xfId="1" applyNumberFormat="1" applyFont="1" applyBorder="1" applyAlignment="1" applyProtection="1">
      <alignment horizontal="center" vertical="center" wrapText="1"/>
    </xf>
    <xf numFmtId="4" fontId="41" fillId="0" borderId="8" xfId="1" applyNumberFormat="1" applyFont="1" applyBorder="1" applyAlignment="1" applyProtection="1">
      <alignment horizontal="right" vertical="center" wrapText="1"/>
    </xf>
    <xf numFmtId="0" fontId="41" fillId="0" borderId="8" xfId="1" quotePrefix="1" applyFont="1" applyBorder="1" applyAlignment="1" applyProtection="1">
      <alignment horizontal="center" vertical="center" wrapText="1"/>
    </xf>
    <xf numFmtId="0" fontId="41" fillId="0" borderId="0" xfId="1" applyFont="1" applyAlignment="1" applyProtection="1">
      <alignment horizontal="center" vertical="center" wrapText="1"/>
    </xf>
    <xf numFmtId="14" fontId="41" fillId="0" borderId="0" xfId="1" applyNumberFormat="1" applyFont="1" applyAlignment="1" applyProtection="1">
      <alignment horizontal="center" vertical="center" wrapText="1"/>
    </xf>
    <xf numFmtId="0" fontId="41" fillId="0" borderId="0" xfId="1" applyFont="1" applyAlignment="1" applyProtection="1">
      <alignment horizontal="left" vertical="center" wrapText="1"/>
    </xf>
    <xf numFmtId="4" fontId="42" fillId="0" borderId="0" xfId="1" applyNumberFormat="1" applyFont="1" applyAlignment="1" applyProtection="1">
      <alignment horizontal="right" vertical="center" wrapText="1"/>
    </xf>
    <xf numFmtId="0" fontId="43" fillId="0" borderId="0" xfId="1" applyFont="1" applyAlignment="1" applyProtection="1">
      <alignment horizontal="right" vertical="center" wrapText="1"/>
    </xf>
    <xf numFmtId="0" fontId="6" fillId="0" borderId="0" xfId="1" applyFont="1" applyAlignment="1" applyProtection="1">
      <alignment horizontal="left" vertical="center" wrapText="1"/>
    </xf>
    <xf numFmtId="0" fontId="5" fillId="0" borderId="0" xfId="1" applyFont="1" applyAlignment="1" applyProtection="1">
      <alignment horizontal="center" vertical="center"/>
    </xf>
    <xf numFmtId="0" fontId="41" fillId="0" borderId="0" xfId="1" applyFont="1" applyAlignment="1" applyProtection="1">
      <alignment horizontal="right" vertical="center" wrapText="1"/>
    </xf>
    <xf numFmtId="0" fontId="1" fillId="0" borderId="0" xfId="1" applyAlignment="1" applyProtection="1">
      <alignment vertical="center"/>
    </xf>
    <xf numFmtId="14" fontId="41" fillId="0" borderId="8" xfId="2" applyNumberFormat="1" applyFont="1" applyBorder="1" applyAlignment="1" applyProtection="1">
      <alignment horizontal="center" vertical="center" wrapText="1"/>
    </xf>
    <xf numFmtId="0" fontId="42" fillId="0" borderId="0" xfId="1" applyFont="1" applyAlignment="1" applyProtection="1">
      <alignment horizontal="center" vertical="center"/>
    </xf>
    <xf numFmtId="4" fontId="42" fillId="0" borderId="0" xfId="1" applyNumberFormat="1" applyFont="1" applyAlignment="1" applyProtection="1">
      <alignment horizontal="right" vertical="center"/>
    </xf>
    <xf numFmtId="4" fontId="42" fillId="4" borderId="0" xfId="1" applyNumberFormat="1" applyFont="1" applyFill="1" applyAlignment="1" applyProtection="1">
      <alignment horizontal="right" vertical="center"/>
    </xf>
    <xf numFmtId="4" fontId="42" fillId="0" borderId="6" xfId="1" applyNumberFormat="1" applyFont="1" applyBorder="1" applyAlignment="1" applyProtection="1">
      <alignment horizontal="right" vertical="center"/>
    </xf>
    <xf numFmtId="0" fontId="1" fillId="0" borderId="0" xfId="1" applyAlignment="1" applyProtection="1">
      <alignment horizontal="right" vertical="center"/>
    </xf>
    <xf numFmtId="0" fontId="1" fillId="0" borderId="0" xfId="2" applyProtection="1"/>
    <xf numFmtId="0" fontId="1" fillId="0" borderId="0" xfId="2" applyAlignment="1" applyProtection="1">
      <alignment horizontal="center"/>
    </xf>
    <xf numFmtId="0" fontId="39" fillId="0" borderId="0" xfId="2" applyFont="1" applyAlignment="1" applyProtection="1">
      <alignment horizontal="center" vertical="center"/>
    </xf>
    <xf numFmtId="0" fontId="41" fillId="0" borderId="0" xfId="2" applyFont="1" applyProtection="1"/>
    <xf numFmtId="0" fontId="48" fillId="0" borderId="8" xfId="2" applyFont="1" applyBorder="1" applyAlignment="1" applyProtection="1">
      <alignment horizontal="center" vertical="center" wrapText="1"/>
    </xf>
    <xf numFmtId="0" fontId="48" fillId="0" borderId="8" xfId="2" quotePrefix="1" applyFont="1" applyBorder="1" applyAlignment="1" applyProtection="1">
      <alignment horizontal="center" vertical="center" wrapText="1"/>
    </xf>
    <xf numFmtId="14" fontId="48" fillId="0" borderId="8" xfId="2" applyNumberFormat="1" applyFont="1" applyBorder="1" applyAlignment="1" applyProtection="1">
      <alignment horizontal="center" vertical="center" wrapText="1"/>
    </xf>
    <xf numFmtId="3" fontId="48" fillId="0" borderId="8" xfId="2" applyNumberFormat="1" applyFont="1" applyBorder="1" applyAlignment="1" applyProtection="1">
      <alignment horizontal="center" vertical="center" wrapText="1"/>
    </xf>
    <xf numFmtId="0" fontId="43" fillId="0" borderId="0" xfId="2" applyFont="1" applyAlignment="1" applyProtection="1">
      <alignment horizontal="center" vertical="center"/>
    </xf>
    <xf numFmtId="0" fontId="49" fillId="0" borderId="0" xfId="2" applyFont="1" applyAlignment="1" applyProtection="1">
      <alignment horizontal="center" vertical="center" wrapText="1"/>
    </xf>
    <xf numFmtId="14" fontId="49" fillId="0" borderId="0" xfId="2" applyNumberFormat="1" applyFont="1" applyAlignment="1" applyProtection="1">
      <alignment horizontal="center" vertical="center" wrapText="1"/>
    </xf>
    <xf numFmtId="0" fontId="49" fillId="0" borderId="0" xfId="2" applyFont="1" applyAlignment="1" applyProtection="1">
      <alignment horizontal="left" vertical="center" wrapText="1"/>
    </xf>
    <xf numFmtId="0" fontId="50" fillId="0" borderId="0" xfId="2" applyFont="1" applyProtection="1"/>
    <xf numFmtId="0" fontId="50" fillId="0" borderId="0" xfId="2" applyFont="1" applyAlignment="1" applyProtection="1">
      <alignment horizontal="center"/>
    </xf>
    <xf numFmtId="4" fontId="49" fillId="0" borderId="0" xfId="2" applyNumberFormat="1" applyFont="1" applyAlignment="1" applyProtection="1">
      <alignment horizontal="right" vertical="center" wrapText="1"/>
    </xf>
    <xf numFmtId="0" fontId="43" fillId="0" borderId="0" xfId="2" applyFont="1" applyAlignment="1" applyProtection="1">
      <alignment horizontal="right" vertical="center" wrapText="1"/>
    </xf>
    <xf numFmtId="0" fontId="46" fillId="0" borderId="0" xfId="2" applyFont="1" applyProtection="1"/>
    <xf numFmtId="0" fontId="49" fillId="0" borderId="0" xfId="2" applyFont="1" applyAlignment="1" applyProtection="1">
      <alignment horizontal="center" vertical="center"/>
    </xf>
    <xf numFmtId="0" fontId="49" fillId="0" borderId="0" xfId="2" applyFont="1" applyAlignment="1" applyProtection="1">
      <alignment horizontal="right" vertical="center" wrapText="1"/>
    </xf>
    <xf numFmtId="0" fontId="1" fillId="0" borderId="0" xfId="2" applyAlignment="1" applyProtection="1">
      <alignment vertical="center"/>
    </xf>
    <xf numFmtId="0" fontId="49" fillId="0" borderId="8" xfId="2" applyFont="1" applyBorder="1" applyAlignment="1" applyProtection="1">
      <alignment horizontal="center" vertical="center" wrapText="1"/>
    </xf>
    <xf numFmtId="4" fontId="49" fillId="0" borderId="8" xfId="2" applyNumberFormat="1" applyFont="1" applyBorder="1" applyAlignment="1" applyProtection="1">
      <alignment horizontal="right" vertical="center" wrapText="1"/>
    </xf>
    <xf numFmtId="0" fontId="46" fillId="0" borderId="0" xfId="2" applyFont="1" applyAlignment="1" applyProtection="1">
      <alignment horizontal="center" vertical="center"/>
    </xf>
    <xf numFmtId="0" fontId="46" fillId="0" borderId="0" xfId="2" applyFont="1" applyAlignment="1" applyProtection="1">
      <alignment horizontal="center"/>
    </xf>
    <xf numFmtId="4" fontId="46" fillId="0" borderId="0" xfId="2" applyNumberFormat="1" applyFont="1" applyAlignment="1" applyProtection="1">
      <alignment horizontal="right" vertical="center"/>
    </xf>
    <xf numFmtId="0" fontId="47" fillId="0" borderId="0" xfId="2" applyFont="1" applyProtection="1"/>
    <xf numFmtId="0" fontId="47" fillId="0" borderId="0" xfId="2" applyFont="1" applyAlignment="1" applyProtection="1">
      <alignment horizontal="center"/>
    </xf>
    <xf numFmtId="4" fontId="46" fillId="4" borderId="0" xfId="2" applyNumberFormat="1" applyFont="1" applyFill="1" applyAlignment="1" applyProtection="1">
      <alignment horizontal="right" vertical="center"/>
    </xf>
    <xf numFmtId="4" fontId="46" fillId="0" borderId="6" xfId="2" applyNumberFormat="1" applyFont="1" applyBorder="1" applyAlignment="1" applyProtection="1">
      <alignment horizontal="right" vertical="center"/>
    </xf>
    <xf numFmtId="0" fontId="46" fillId="0" borderId="0" xfId="2" applyFont="1" applyAlignment="1" applyProtection="1">
      <alignment horizontal="right" vertical="center"/>
    </xf>
    <xf numFmtId="0" fontId="1" fillId="0" borderId="0" xfId="1" applyAlignment="1" applyProtection="1">
      <alignment horizontal="center"/>
    </xf>
    <xf numFmtId="0" fontId="49" fillId="0" borderId="0" xfId="1" applyFont="1" applyAlignment="1" applyProtection="1">
      <alignment horizontal="center" vertical="center"/>
    </xf>
    <xf numFmtId="0" fontId="49" fillId="0" borderId="8" xfId="1" applyFont="1" applyBorder="1" applyAlignment="1" applyProtection="1">
      <alignment horizontal="center" vertical="center" wrapText="1"/>
    </xf>
    <xf numFmtId="0" fontId="49" fillId="0" borderId="8" xfId="1" quotePrefix="1" applyFont="1" applyBorder="1" applyAlignment="1" applyProtection="1">
      <alignment horizontal="center" vertical="center" wrapText="1"/>
    </xf>
    <xf numFmtId="0" fontId="49" fillId="0" borderId="9" xfId="1" applyFont="1" applyBorder="1" applyAlignment="1" applyProtection="1">
      <alignment horizontal="center" vertical="center" wrapText="1"/>
    </xf>
    <xf numFmtId="14" fontId="49" fillId="0" borderId="8" xfId="1" applyNumberFormat="1" applyFont="1" applyBorder="1" applyAlignment="1" applyProtection="1">
      <alignment horizontal="center" vertical="center" wrapText="1"/>
    </xf>
    <xf numFmtId="3" fontId="49" fillId="0" borderId="8" xfId="1" applyNumberFormat="1" applyFont="1" applyBorder="1" applyAlignment="1" applyProtection="1">
      <alignment horizontal="center" vertical="center" wrapText="1"/>
    </xf>
    <xf numFmtId="0" fontId="49" fillId="0" borderId="9" xfId="1" quotePrefix="1" applyFont="1" applyBorder="1" applyAlignment="1" applyProtection="1">
      <alignment horizontal="center" vertical="center" wrapText="1"/>
    </xf>
    <xf numFmtId="0" fontId="49" fillId="0" borderId="0" xfId="1" applyFont="1" applyAlignment="1" applyProtection="1">
      <alignment horizontal="center" vertical="center" wrapText="1"/>
    </xf>
    <xf numFmtId="14" fontId="49" fillId="0" borderId="0" xfId="1" applyNumberFormat="1" applyFont="1" applyAlignment="1" applyProtection="1">
      <alignment horizontal="center" vertical="center" wrapText="1"/>
    </xf>
    <xf numFmtId="0" fontId="49" fillId="0" borderId="0" xfId="1" applyFont="1" applyAlignment="1" applyProtection="1">
      <alignment horizontal="left" vertical="center" wrapText="1"/>
    </xf>
    <xf numFmtId="0" fontId="47" fillId="0" borderId="0" xfId="1" applyFont="1" applyAlignment="1" applyProtection="1">
      <alignment horizontal="center"/>
    </xf>
    <xf numFmtId="4" fontId="46" fillId="0" borderId="0" xfId="1" applyNumberFormat="1" applyFont="1" applyAlignment="1" applyProtection="1">
      <alignment horizontal="right" vertical="center" wrapText="1"/>
    </xf>
    <xf numFmtId="0" fontId="49" fillId="0" borderId="0" xfId="1" applyFont="1" applyAlignment="1" applyProtection="1">
      <alignment horizontal="right" vertical="center" wrapText="1"/>
    </xf>
    <xf numFmtId="0" fontId="46" fillId="0" borderId="0" xfId="1" applyFont="1" applyProtection="1"/>
    <xf numFmtId="0" fontId="49" fillId="0" borderId="28" xfId="1" applyFont="1" applyBorder="1" applyAlignment="1" applyProtection="1">
      <alignment horizontal="center" vertical="center" wrapText="1"/>
    </xf>
    <xf numFmtId="0" fontId="49" fillId="0" borderId="28" xfId="1" quotePrefix="1" applyFont="1" applyBorder="1" applyAlignment="1" applyProtection="1">
      <alignment horizontal="center" vertical="center" wrapText="1"/>
    </xf>
    <xf numFmtId="14" fontId="49" fillId="0" borderId="28" xfId="1" applyNumberFormat="1" applyFont="1" applyBorder="1" applyAlignment="1" applyProtection="1">
      <alignment horizontal="center" vertical="center" wrapText="1"/>
    </xf>
    <xf numFmtId="3" fontId="49" fillId="0" borderId="28" xfId="1" applyNumberFormat="1" applyFont="1" applyBorder="1" applyAlignment="1" applyProtection="1">
      <alignment horizontal="center" vertical="center" wrapText="1"/>
    </xf>
    <xf numFmtId="0" fontId="49" fillId="0" borderId="23" xfId="1" quotePrefix="1" applyFont="1" applyBorder="1" applyAlignment="1" applyProtection="1">
      <alignment horizontal="center" vertical="center" wrapText="1"/>
    </xf>
    <xf numFmtId="0" fontId="49" fillId="0" borderId="23" xfId="1" applyFont="1" applyBorder="1" applyAlignment="1" applyProtection="1">
      <alignment horizontal="center" vertical="center" wrapText="1"/>
    </xf>
    <xf numFmtId="14" fontId="49" fillId="0" borderId="23" xfId="1" applyNumberFormat="1" applyFont="1" applyBorder="1" applyAlignment="1" applyProtection="1">
      <alignment horizontal="center" vertical="center" wrapText="1"/>
    </xf>
    <xf numFmtId="3" fontId="49" fillId="0" borderId="23" xfId="1" applyNumberFormat="1" applyFont="1" applyBorder="1" applyAlignment="1" applyProtection="1">
      <alignment horizontal="center" vertical="center" wrapText="1"/>
    </xf>
    <xf numFmtId="0" fontId="46" fillId="0" borderId="0" xfId="1" applyFont="1" applyAlignment="1" applyProtection="1">
      <alignment horizontal="center" vertical="center"/>
    </xf>
    <xf numFmtId="0" fontId="46" fillId="0" borderId="0" xfId="1" applyFont="1" applyAlignment="1" applyProtection="1">
      <alignment horizontal="center"/>
    </xf>
    <xf numFmtId="4" fontId="46" fillId="0" borderId="0" xfId="1" applyNumberFormat="1" applyFont="1" applyAlignment="1" applyProtection="1">
      <alignment horizontal="right" vertical="center"/>
    </xf>
    <xf numFmtId="4" fontId="46" fillId="4" borderId="0" xfId="1" applyNumberFormat="1" applyFont="1" applyFill="1" applyAlignment="1" applyProtection="1">
      <alignment horizontal="right" vertical="center"/>
    </xf>
    <xf numFmtId="4" fontId="46" fillId="0" borderId="6" xfId="1" applyNumberFormat="1" applyFont="1" applyBorder="1" applyAlignment="1" applyProtection="1">
      <alignment horizontal="right" vertical="center"/>
    </xf>
    <xf numFmtId="0" fontId="46" fillId="0" borderId="0" xfId="1" applyFont="1" applyAlignment="1" applyProtection="1">
      <alignment horizontal="right" vertical="center"/>
    </xf>
    <xf numFmtId="4" fontId="5" fillId="0" borderId="8" xfId="1" applyNumberFormat="1" applyFont="1" applyBorder="1" applyAlignment="1" applyProtection="1">
      <alignment horizontal="right" vertical="center" wrapText="1"/>
    </xf>
    <xf numFmtId="0" fontId="54" fillId="0" borderId="0" xfId="1" applyFont="1" applyProtection="1"/>
    <xf numFmtId="0" fontId="5" fillId="0" borderId="8" xfId="2" applyFont="1" applyBorder="1" applyAlignment="1" applyProtection="1">
      <alignment horizontal="center" vertical="center" wrapText="1"/>
    </xf>
    <xf numFmtId="0" fontId="5" fillId="0" borderId="8" xfId="2" quotePrefix="1" applyFont="1" applyBorder="1" applyAlignment="1" applyProtection="1">
      <alignment horizontal="center" vertical="center" wrapText="1"/>
    </xf>
    <xf numFmtId="14" fontId="5" fillId="0" borderId="8" xfId="2" applyNumberFormat="1" applyFont="1" applyBorder="1" applyAlignment="1" applyProtection="1">
      <alignment horizontal="center" vertical="center" wrapText="1"/>
    </xf>
    <xf numFmtId="4" fontId="5" fillId="0" borderId="8" xfId="2" applyNumberFormat="1" applyFont="1" applyBorder="1" applyAlignment="1" applyProtection="1">
      <alignment horizontal="right" vertical="center" wrapText="1"/>
    </xf>
    <xf numFmtId="0" fontId="54" fillId="0" borderId="0" xfId="1" applyFont="1" applyAlignment="1" applyProtection="1">
      <alignment horizontal="center" vertical="center"/>
    </xf>
    <xf numFmtId="14" fontId="1" fillId="0" borderId="0" xfId="1" applyNumberFormat="1" applyAlignment="1" applyProtection="1">
      <alignment horizontal="center" vertical="center" wrapText="1"/>
    </xf>
    <xf numFmtId="0" fontId="1" fillId="0" borderId="0" xfId="1" applyAlignment="1" applyProtection="1">
      <alignment horizontal="left" vertical="center" wrapText="1"/>
    </xf>
    <xf numFmtId="4" fontId="7" fillId="0" borderId="0" xfId="1" applyNumberFormat="1" applyFont="1" applyAlignment="1" applyProtection="1">
      <alignment horizontal="right" vertical="center" wrapText="1"/>
    </xf>
    <xf numFmtId="0" fontId="39" fillId="0" borderId="0" xfId="1" applyFont="1" applyAlignment="1" applyProtection="1">
      <alignment horizontal="right" vertical="center" wrapText="1"/>
    </xf>
    <xf numFmtId="0" fontId="5" fillId="0" borderId="0" xfId="1" applyFont="1" applyAlignment="1" applyProtection="1">
      <alignment horizontal="right" vertical="center" wrapText="1"/>
    </xf>
    <xf numFmtId="0" fontId="54" fillId="0" borderId="0" xfId="1" applyFont="1" applyAlignment="1" applyProtection="1">
      <alignment vertical="center"/>
    </xf>
    <xf numFmtId="4" fontId="5" fillId="0" borderId="28" xfId="1" applyNumberFormat="1" applyFont="1" applyBorder="1" applyAlignment="1" applyProtection="1">
      <alignment horizontal="right" vertical="center" wrapText="1"/>
    </xf>
    <xf numFmtId="4" fontId="5" fillId="0" borderId="23" xfId="1" applyNumberFormat="1" applyFont="1" applyBorder="1" applyAlignment="1" applyProtection="1">
      <alignment horizontal="right" vertical="center" wrapText="1"/>
    </xf>
    <xf numFmtId="4" fontId="39" fillId="0" borderId="0" xfId="1" applyNumberFormat="1" applyFont="1" applyAlignment="1" applyProtection="1">
      <alignment horizontal="center" vertical="center"/>
    </xf>
    <xf numFmtId="0" fontId="48" fillId="0" borderId="0" xfId="1" applyFont="1" applyAlignment="1" applyProtection="1">
      <alignment horizontal="center" vertical="center"/>
    </xf>
    <xf numFmtId="0" fontId="48" fillId="0" borderId="0" xfId="1" applyFont="1" applyAlignment="1" applyProtection="1">
      <alignment horizontal="right" vertical="center"/>
    </xf>
    <xf numFmtId="0" fontId="48" fillId="0" borderId="8" xfId="1" applyFont="1" applyBorder="1" applyAlignment="1" applyProtection="1">
      <alignment horizontal="center" vertical="center" wrapText="1"/>
    </xf>
    <xf numFmtId="0" fontId="48" fillId="0" borderId="9" xfId="1" quotePrefix="1" applyFont="1" applyBorder="1" applyAlignment="1" applyProtection="1">
      <alignment horizontal="center" vertical="center" wrapText="1"/>
    </xf>
    <xf numFmtId="0" fontId="48" fillId="0" borderId="9" xfId="1" applyFont="1" applyBorder="1" applyAlignment="1" applyProtection="1">
      <alignment horizontal="center" vertical="center" wrapText="1"/>
    </xf>
    <xf numFmtId="14" fontId="48" fillId="0" borderId="9" xfId="1" applyNumberFormat="1" applyFont="1" applyBorder="1" applyAlignment="1" applyProtection="1">
      <alignment horizontal="center" vertical="center" wrapText="1"/>
    </xf>
    <xf numFmtId="3" fontId="48" fillId="0" borderId="8" xfId="1" applyNumberFormat="1" applyFont="1" applyBorder="1" applyAlignment="1" applyProtection="1">
      <alignment horizontal="right" vertical="center" wrapText="1"/>
    </xf>
    <xf numFmtId="3" fontId="48" fillId="0" borderId="9" xfId="1" applyNumberFormat="1" applyFont="1" applyBorder="1" applyAlignment="1" applyProtection="1">
      <alignment horizontal="right" vertical="center" wrapText="1"/>
    </xf>
    <xf numFmtId="0" fontId="48" fillId="0" borderId="28" xfId="1" quotePrefix="1" applyFont="1" applyBorder="1" applyAlignment="1" applyProtection="1">
      <alignment horizontal="center" vertical="center" wrapText="1"/>
    </xf>
    <xf numFmtId="0" fontId="48" fillId="0" borderId="28" xfId="1" applyFont="1" applyBorder="1" applyAlignment="1" applyProtection="1">
      <alignment horizontal="center" vertical="center" wrapText="1"/>
    </xf>
    <xf numFmtId="14" fontId="48" fillId="0" borderId="28" xfId="1" applyNumberFormat="1" applyFont="1" applyBorder="1" applyAlignment="1" applyProtection="1">
      <alignment horizontal="center" vertical="center" wrapText="1"/>
    </xf>
    <xf numFmtId="3" fontId="48" fillId="0" borderId="28" xfId="1" applyNumberFormat="1" applyFont="1" applyBorder="1" applyAlignment="1" applyProtection="1">
      <alignment horizontal="right" vertical="center" wrapText="1"/>
    </xf>
    <xf numFmtId="0" fontId="60" fillId="0" borderId="28" xfId="1" applyFont="1" applyBorder="1" applyAlignment="1" applyProtection="1">
      <alignment horizontal="center" vertical="center" wrapText="1"/>
    </xf>
    <xf numFmtId="0" fontId="48" fillId="0" borderId="26" xfId="1" applyFont="1" applyBorder="1" applyAlignment="1" applyProtection="1">
      <alignment horizontal="center" vertical="center" wrapText="1"/>
    </xf>
    <xf numFmtId="14" fontId="48" fillId="0" borderId="26" xfId="1" applyNumberFormat="1" applyFont="1" applyBorder="1" applyAlignment="1" applyProtection="1">
      <alignment horizontal="center" vertical="center" wrapText="1"/>
    </xf>
    <xf numFmtId="3" fontId="48" fillId="0" borderId="26" xfId="1" applyNumberFormat="1" applyFont="1" applyBorder="1" applyAlignment="1" applyProtection="1">
      <alignment horizontal="right" vertical="center" wrapText="1"/>
    </xf>
    <xf numFmtId="0" fontId="48" fillId="0" borderId="0" xfId="1" applyFont="1" applyAlignment="1" applyProtection="1">
      <alignment horizontal="center" vertical="center" wrapText="1"/>
    </xf>
    <xf numFmtId="14" fontId="48" fillId="0" borderId="0" xfId="1" applyNumberFormat="1" applyFont="1" applyAlignment="1" applyProtection="1">
      <alignment horizontal="center" vertical="center" wrapText="1"/>
    </xf>
    <xf numFmtId="0" fontId="58" fillId="0" borderId="0" xfId="1" applyFont="1" applyAlignment="1" applyProtection="1">
      <alignment horizontal="center" vertical="center"/>
    </xf>
    <xf numFmtId="0" fontId="59" fillId="0" borderId="0" xfId="1" applyFont="1" applyAlignment="1" applyProtection="1">
      <alignment horizontal="center" vertical="center"/>
    </xf>
    <xf numFmtId="0" fontId="59" fillId="0" borderId="0" xfId="1" applyFont="1" applyAlignment="1" applyProtection="1">
      <alignment horizontal="right" vertical="center"/>
    </xf>
    <xf numFmtId="4" fontId="58" fillId="0" borderId="0" xfId="1" applyNumberFormat="1" applyFont="1" applyAlignment="1" applyProtection="1">
      <alignment horizontal="right" vertical="center" wrapText="1"/>
    </xf>
    <xf numFmtId="0" fontId="48" fillId="0" borderId="0" xfId="1" applyFont="1" applyAlignment="1" applyProtection="1">
      <alignment horizontal="right" vertical="center" wrapText="1"/>
    </xf>
    <xf numFmtId="0" fontId="48" fillId="0" borderId="8" xfId="1" quotePrefix="1" applyFont="1" applyBorder="1" applyAlignment="1" applyProtection="1">
      <alignment horizontal="center" vertical="center" wrapText="1"/>
    </xf>
    <xf numFmtId="14" fontId="48" fillId="0" borderId="8" xfId="1" applyNumberFormat="1" applyFont="1" applyBorder="1" applyAlignment="1" applyProtection="1">
      <alignment horizontal="center" vertical="center" wrapText="1"/>
    </xf>
    <xf numFmtId="0" fontId="48" fillId="0" borderId="23" xfId="1" quotePrefix="1" applyFont="1" applyBorder="1" applyAlignment="1" applyProtection="1">
      <alignment horizontal="center" vertical="center" wrapText="1"/>
    </xf>
    <xf numFmtId="0" fontId="48" fillId="0" borderId="23" xfId="1" applyFont="1" applyBorder="1" applyAlignment="1" applyProtection="1">
      <alignment horizontal="center" vertical="center" wrapText="1"/>
    </xf>
    <xf numFmtId="14" fontId="48" fillId="0" borderId="23" xfId="1" applyNumberFormat="1" applyFont="1" applyBorder="1" applyAlignment="1" applyProtection="1">
      <alignment horizontal="center" vertical="center" wrapText="1"/>
    </xf>
    <xf numFmtId="0" fontId="58" fillId="0" borderId="0" xfId="1" applyFont="1" applyAlignment="1" applyProtection="1">
      <alignment horizontal="right" vertical="center"/>
    </xf>
    <xf numFmtId="4" fontId="58" fillId="0" borderId="0" xfId="1" applyNumberFormat="1" applyFont="1" applyAlignment="1" applyProtection="1">
      <alignment horizontal="right" vertical="center"/>
    </xf>
    <xf numFmtId="0" fontId="58" fillId="4" borderId="0" xfId="1" applyFont="1" applyFill="1" applyAlignment="1" applyProtection="1">
      <alignment horizontal="center" vertical="center"/>
    </xf>
    <xf numFmtId="4" fontId="58" fillId="4" borderId="0" xfId="1" applyNumberFormat="1" applyFont="1" applyFill="1" applyAlignment="1" applyProtection="1">
      <alignment horizontal="right" vertical="center"/>
    </xf>
    <xf numFmtId="4" fontId="58" fillId="0" borderId="6" xfId="1" applyNumberFormat="1" applyFont="1" applyBorder="1" applyAlignment="1" applyProtection="1">
      <alignment horizontal="right" vertical="center"/>
    </xf>
    <xf numFmtId="0" fontId="48" fillId="0" borderId="9" xfId="1" applyFont="1" applyBorder="1" applyAlignment="1" applyProtection="1">
      <alignment horizontal="center" vertical="center"/>
    </xf>
    <xf numFmtId="0" fontId="5" fillId="0" borderId="9" xfId="1" applyFont="1" applyBorder="1" applyAlignment="1" applyProtection="1">
      <alignment horizontal="center" vertical="center"/>
    </xf>
    <xf numFmtId="0" fontId="5" fillId="0" borderId="8" xfId="1" applyFont="1" applyBorder="1" applyAlignment="1" applyProtection="1">
      <alignment horizontal="center" vertical="center"/>
    </xf>
    <xf numFmtId="0" fontId="5" fillId="0" borderId="26" xfId="1" applyFont="1" applyBorder="1" applyAlignment="1" applyProtection="1">
      <alignment horizontal="center" vertical="center"/>
    </xf>
    <xf numFmtId="0" fontId="5" fillId="0" borderId="23" xfId="1" applyFont="1" applyBorder="1" applyAlignment="1" applyProtection="1">
      <alignment horizontal="center" vertical="center"/>
    </xf>
    <xf numFmtId="0" fontId="5" fillId="0" borderId="54" xfId="1" quotePrefix="1" applyFont="1" applyBorder="1" applyAlignment="1" applyProtection="1">
      <alignment horizontal="center" vertical="center" wrapText="1"/>
    </xf>
    <xf numFmtId="3" fontId="48" fillId="0" borderId="38" xfId="1" applyNumberFormat="1" applyFont="1" applyBorder="1" applyAlignment="1" applyProtection="1">
      <alignment horizontal="right" vertical="center" wrapText="1"/>
    </xf>
    <xf numFmtId="3" fontId="48" fillId="0" borderId="23" xfId="1" applyNumberFormat="1" applyFont="1" applyBorder="1" applyAlignment="1" applyProtection="1">
      <alignment horizontal="right" vertical="center" wrapText="1"/>
    </xf>
    <xf numFmtId="4" fontId="61" fillId="0" borderId="0" xfId="1" applyNumberFormat="1" applyFont="1" applyAlignment="1" applyProtection="1">
      <alignment horizontal="right" vertical="center"/>
    </xf>
    <xf numFmtId="4" fontId="58" fillId="4" borderId="27" xfId="1" applyNumberFormat="1" applyFont="1" applyFill="1" applyBorder="1" applyAlignment="1" applyProtection="1">
      <alignment horizontal="right" vertical="center"/>
    </xf>
    <xf numFmtId="4" fontId="58" fillId="7" borderId="27" xfId="1" applyNumberFormat="1" applyFont="1" applyFill="1" applyBorder="1" applyAlignment="1" applyProtection="1">
      <alignment horizontal="right" vertical="center"/>
    </xf>
    <xf numFmtId="14" fontId="49" fillId="0" borderId="0" xfId="1" applyNumberFormat="1" applyFont="1" applyAlignment="1" applyProtection="1">
      <alignment horizontal="center" vertical="center"/>
    </xf>
    <xf numFmtId="14" fontId="5" fillId="10" borderId="9" xfId="1" applyNumberFormat="1" applyFont="1" applyFill="1" applyBorder="1" applyAlignment="1" applyProtection="1">
      <alignment horizontal="center" vertical="center" wrapText="1"/>
    </xf>
    <xf numFmtId="14" fontId="5" fillId="10" borderId="28" xfId="1" applyNumberFormat="1" applyFont="1" applyFill="1" applyBorder="1" applyAlignment="1" applyProtection="1">
      <alignment horizontal="center" vertical="center" wrapText="1"/>
    </xf>
    <xf numFmtId="14" fontId="5" fillId="10" borderId="11" xfId="1" applyNumberFormat="1" applyFont="1" applyFill="1" applyBorder="1" applyAlignment="1" applyProtection="1">
      <alignment horizontal="center" vertical="center" wrapText="1"/>
    </xf>
    <xf numFmtId="3" fontId="48" fillId="0" borderId="32" xfId="1" applyNumberFormat="1" applyFont="1" applyBorder="1" applyAlignment="1" applyProtection="1">
      <alignment horizontal="right" vertical="center" wrapText="1"/>
    </xf>
    <xf numFmtId="0" fontId="48" fillId="0" borderId="37" xfId="1" applyFont="1" applyBorder="1" applyAlignment="1" applyProtection="1">
      <alignment horizontal="center" vertical="center" wrapText="1"/>
    </xf>
    <xf numFmtId="14" fontId="48" fillId="10" borderId="28" xfId="1" applyNumberFormat="1" applyFont="1" applyFill="1" applyBorder="1" applyAlignment="1" applyProtection="1">
      <alignment horizontal="center" vertical="center" wrapText="1"/>
    </xf>
    <xf numFmtId="3" fontId="48" fillId="0" borderId="17" xfId="1" applyNumberFormat="1" applyFont="1" applyBorder="1" applyAlignment="1" applyProtection="1">
      <alignment horizontal="right" vertical="center" wrapText="1"/>
    </xf>
    <xf numFmtId="3" fontId="48" fillId="0" borderId="13" xfId="1" applyNumberFormat="1" applyFont="1" applyBorder="1" applyAlignment="1" applyProtection="1">
      <alignment horizontal="right" vertical="center" wrapText="1"/>
    </xf>
    <xf numFmtId="0" fontId="25" fillId="0" borderId="8" xfId="1" applyFont="1" applyBorder="1" applyAlignment="1" applyProtection="1">
      <alignment horizontal="center" vertical="center" wrapText="1"/>
    </xf>
    <xf numFmtId="14" fontId="25" fillId="0" borderId="8" xfId="1" applyNumberFormat="1" applyFont="1" applyBorder="1" applyAlignment="1" applyProtection="1">
      <alignment horizontal="center" vertical="center" wrapText="1"/>
    </xf>
    <xf numFmtId="0" fontId="13" fillId="10" borderId="28" xfId="1" applyFont="1" applyFill="1" applyBorder="1" applyAlignment="1" applyProtection="1">
      <alignment horizontal="center" vertical="center" wrapText="1"/>
    </xf>
    <xf numFmtId="0" fontId="25" fillId="0" borderId="32" xfId="1" applyFont="1" applyBorder="1" applyAlignment="1" applyProtection="1">
      <alignment horizontal="center" vertical="center" wrapText="1"/>
    </xf>
    <xf numFmtId="14" fontId="5" fillId="10" borderId="32" xfId="1" applyNumberFormat="1" applyFont="1" applyFill="1" applyBorder="1" applyAlignment="1" applyProtection="1">
      <alignment horizontal="center" vertical="center" wrapText="1"/>
    </xf>
    <xf numFmtId="3" fontId="62" fillId="0" borderId="28" xfId="1" applyNumberFormat="1" applyFont="1" applyBorder="1" applyAlignment="1" applyProtection="1">
      <alignment horizontal="right" vertical="center" wrapText="1"/>
    </xf>
    <xf numFmtId="0" fontId="63" fillId="0" borderId="0" xfId="1" applyFont="1" applyProtection="1"/>
    <xf numFmtId="0" fontId="65" fillId="0" borderId="0" xfId="1" applyFont="1" applyAlignment="1" applyProtection="1">
      <alignment horizontal="center" vertical="center"/>
    </xf>
    <xf numFmtId="0" fontId="66" fillId="0" borderId="0" xfId="1" applyFont="1" applyAlignment="1" applyProtection="1">
      <alignment horizontal="center" vertical="center"/>
    </xf>
    <xf numFmtId="164" fontId="25" fillId="0" borderId="37" xfId="1" applyNumberFormat="1" applyFont="1" applyBorder="1" applyAlignment="1" applyProtection="1">
      <alignment horizontal="center" vertical="center" wrapText="1"/>
    </xf>
    <xf numFmtId="164" fontId="6" fillId="12" borderId="0" xfId="1" applyNumberFormat="1" applyFont="1" applyFill="1" applyAlignment="1" applyProtection="1">
      <alignment horizontal="left" vertical="center" wrapText="1"/>
    </xf>
    <xf numFmtId="14" fontId="5" fillId="13" borderId="28" xfId="1" applyNumberFormat="1" applyFont="1" applyFill="1" applyBorder="1" applyAlignment="1" applyProtection="1">
      <alignment horizontal="center" vertical="center" wrapText="1"/>
    </xf>
    <xf numFmtId="0" fontId="48" fillId="0" borderId="28" xfId="1" applyFont="1" applyBorder="1" applyAlignment="1" applyProtection="1">
      <alignment horizontal="center" vertical="center"/>
    </xf>
    <xf numFmtId="164" fontId="5" fillId="0" borderId="22" xfId="1" applyNumberFormat="1" applyFont="1" applyBorder="1" applyAlignment="1" applyProtection="1">
      <alignment horizontal="center" vertical="center" wrapText="1"/>
    </xf>
    <xf numFmtId="3" fontId="1" fillId="0" borderId="0" xfId="0" applyNumberFormat="1" applyFont="1" applyAlignment="1">
      <alignment horizontal="right"/>
    </xf>
    <xf numFmtId="3" fontId="1" fillId="14" borderId="28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3" fontId="1" fillId="0" borderId="28" xfId="0" applyNumberFormat="1" applyFont="1" applyBorder="1" applyAlignment="1">
      <alignment horizontal="right" vertical="center"/>
    </xf>
    <xf numFmtId="0" fontId="3" fillId="6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69" fillId="0" borderId="0" xfId="0" applyFont="1" applyAlignment="1">
      <alignment horizontal="right" vertical="center" wrapText="1"/>
    </xf>
    <xf numFmtId="0" fontId="69" fillId="16" borderId="9" xfId="0" applyFont="1" applyFill="1" applyBorder="1" applyAlignment="1">
      <alignment horizontal="center" vertical="center" wrapText="1"/>
    </xf>
    <xf numFmtId="0" fontId="69" fillId="16" borderId="8" xfId="0" applyFont="1" applyFill="1" applyBorder="1" applyAlignment="1">
      <alignment horizontal="center" vertical="center" wrapText="1"/>
    </xf>
    <xf numFmtId="0" fontId="69" fillId="16" borderId="16" xfId="0" applyFont="1" applyFill="1" applyBorder="1" applyAlignment="1">
      <alignment horizontal="right" vertical="center" wrapText="1"/>
    </xf>
    <xf numFmtId="0" fontId="69" fillId="16" borderId="8" xfId="0" applyFont="1" applyFill="1" applyBorder="1" applyAlignment="1">
      <alignment horizontal="right" vertical="center" wrapText="1"/>
    </xf>
    <xf numFmtId="0" fontId="69" fillId="16" borderId="17" xfId="0" applyFont="1" applyFill="1" applyBorder="1" applyAlignment="1">
      <alignment horizontal="right" vertical="center" wrapText="1"/>
    </xf>
    <xf numFmtId="0" fontId="69" fillId="0" borderId="8" xfId="0" applyFont="1" applyBorder="1" applyAlignment="1">
      <alignment horizontal="center" vertical="center" wrapText="1"/>
    </xf>
    <xf numFmtId="0" fontId="70" fillId="6" borderId="8" xfId="0" applyFont="1" applyFill="1" applyBorder="1" applyAlignment="1">
      <alignment horizontal="center" vertical="center" wrapText="1"/>
    </xf>
    <xf numFmtId="0" fontId="69" fillId="6" borderId="8" xfId="0" applyFont="1" applyFill="1" applyBorder="1" applyAlignment="1">
      <alignment horizontal="center" vertical="center" wrapText="1"/>
    </xf>
    <xf numFmtId="0" fontId="69" fillId="6" borderId="16" xfId="0" applyFont="1" applyFill="1" applyBorder="1" applyAlignment="1">
      <alignment horizontal="right" vertical="center" wrapText="1"/>
    </xf>
    <xf numFmtId="0" fontId="69" fillId="6" borderId="8" xfId="0" applyFont="1" applyFill="1" applyBorder="1" applyAlignment="1">
      <alignment horizontal="right" vertical="center" wrapText="1"/>
    </xf>
    <xf numFmtId="0" fontId="69" fillId="6" borderId="17" xfId="0" applyFont="1" applyFill="1" applyBorder="1" applyAlignment="1">
      <alignment horizontal="right" vertical="center" wrapText="1"/>
    </xf>
    <xf numFmtId="3" fontId="69" fillId="0" borderId="8" xfId="0" applyNumberFormat="1" applyFont="1" applyBorder="1" applyAlignment="1">
      <alignment horizontal="right" vertical="center" wrapText="1"/>
    </xf>
    <xf numFmtId="0" fontId="70" fillId="17" borderId="8" xfId="0" applyFont="1" applyFill="1" applyBorder="1" applyAlignment="1">
      <alignment horizontal="center" vertical="center" wrapText="1"/>
    </xf>
    <xf numFmtId="0" fontId="70" fillId="10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3" fontId="69" fillId="6" borderId="8" xfId="0" applyNumberFormat="1" applyFont="1" applyFill="1" applyBorder="1" applyAlignment="1">
      <alignment horizontal="right" vertical="center" wrapText="1"/>
    </xf>
    <xf numFmtId="3" fontId="69" fillId="0" borderId="9" xfId="0" applyNumberFormat="1" applyFont="1" applyBorder="1" applyAlignment="1">
      <alignment horizontal="right" vertical="center" wrapText="1"/>
    </xf>
    <xf numFmtId="3" fontId="70" fillId="10" borderId="8" xfId="0" applyNumberFormat="1" applyFont="1" applyFill="1" applyBorder="1" applyAlignment="1">
      <alignment horizontal="right" vertical="center" wrapText="1"/>
    </xf>
    <xf numFmtId="3" fontId="70" fillId="10" borderId="8" xfId="0" applyNumberFormat="1" applyFont="1" applyFill="1" applyBorder="1" applyAlignment="1">
      <alignment horizontal="center" vertical="center" wrapText="1"/>
    </xf>
    <xf numFmtId="0" fontId="70" fillId="18" borderId="8" xfId="0" applyFont="1" applyFill="1" applyBorder="1" applyAlignment="1">
      <alignment horizontal="center" vertical="center" wrapText="1"/>
    </xf>
    <xf numFmtId="3" fontId="70" fillId="0" borderId="8" xfId="0" applyNumberFormat="1" applyFont="1" applyBorder="1" applyAlignment="1">
      <alignment horizontal="center" vertical="center" wrapText="1"/>
    </xf>
    <xf numFmtId="3" fontId="70" fillId="0" borderId="8" xfId="0" applyNumberFormat="1" applyFont="1" applyBorder="1" applyAlignment="1">
      <alignment horizontal="right" vertical="center" wrapText="1"/>
    </xf>
    <xf numFmtId="3" fontId="70" fillId="0" borderId="0" xfId="0" applyNumberFormat="1" applyFont="1" applyAlignment="1">
      <alignment horizontal="right" vertical="center" wrapText="1"/>
    </xf>
    <xf numFmtId="3" fontId="71" fillId="0" borderId="0" xfId="0" applyNumberFormat="1" applyFont="1" applyAlignment="1">
      <alignment horizontal="right" vertical="center" wrapText="1"/>
    </xf>
    <xf numFmtId="3" fontId="70" fillId="10" borderId="0" xfId="0" applyNumberFormat="1" applyFont="1" applyFill="1" applyAlignment="1">
      <alignment horizontal="right" vertical="center" wrapText="1"/>
    </xf>
    <xf numFmtId="3" fontId="70" fillId="0" borderId="0" xfId="0" applyNumberFormat="1" applyFont="1" applyAlignment="1">
      <alignment horizontal="center" vertical="center" wrapText="1"/>
    </xf>
    <xf numFmtId="0" fontId="73" fillId="6" borderId="28" xfId="0" applyFont="1" applyFill="1" applyBorder="1" applyAlignment="1">
      <alignment horizontal="center" vertical="center"/>
    </xf>
    <xf numFmtId="165" fontId="73" fillId="6" borderId="28" xfId="0" applyNumberFormat="1" applyFont="1" applyFill="1" applyBorder="1" applyAlignment="1">
      <alignment horizontal="center" vertical="center"/>
    </xf>
    <xf numFmtId="0" fontId="29" fillId="10" borderId="28" xfId="0" applyFont="1" applyFill="1" applyBorder="1" applyAlignment="1">
      <alignment horizontal="left" vertical="center"/>
    </xf>
    <xf numFmtId="165" fontId="29" fillId="10" borderId="28" xfId="0" applyNumberFormat="1" applyFont="1" applyFill="1" applyBorder="1" applyAlignment="1">
      <alignment horizontal="left" vertical="center"/>
    </xf>
    <xf numFmtId="165" fontId="3" fillId="0" borderId="28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74" fillId="0" borderId="0" xfId="0" applyFont="1">
      <alignment vertical="center"/>
    </xf>
    <xf numFmtId="0" fontId="3" fillId="18" borderId="0" xfId="0" applyFont="1" applyFill="1">
      <alignment vertical="center"/>
    </xf>
    <xf numFmtId="164" fontId="30" fillId="18" borderId="28" xfId="0" applyNumberFormat="1" applyFont="1" applyFill="1" applyBorder="1" applyAlignment="1">
      <alignment horizontal="right" vertical="center"/>
    </xf>
    <xf numFmtId="164" fontId="3" fillId="18" borderId="28" xfId="0" applyNumberFormat="1" applyFont="1" applyFill="1" applyBorder="1" applyAlignment="1">
      <alignment horizontal="center" vertical="center"/>
    </xf>
    <xf numFmtId="164" fontId="30" fillId="18" borderId="28" xfId="0" applyNumberFormat="1" applyFont="1" applyFill="1" applyBorder="1" applyAlignment="1">
      <alignment horizontal="center" vertical="center"/>
    </xf>
    <xf numFmtId="165" fontId="30" fillId="18" borderId="28" xfId="0" applyNumberFormat="1" applyFont="1" applyFill="1" applyBorder="1" applyAlignment="1">
      <alignment horizontal="right" vertical="center"/>
    </xf>
    <xf numFmtId="0" fontId="75" fillId="0" borderId="0" xfId="0" applyFont="1">
      <alignment vertical="center"/>
    </xf>
    <xf numFmtId="0" fontId="75" fillId="0" borderId="28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3" fillId="0" borderId="28" xfId="0" quotePrefix="1" applyFont="1" applyBorder="1" applyAlignment="1">
      <alignment horizontal="center" vertical="center"/>
    </xf>
    <xf numFmtId="165" fontId="3" fillId="7" borderId="2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3" fillId="6" borderId="28" xfId="0" applyFont="1" applyFill="1" applyBorder="1" applyAlignment="1">
      <alignment horizontal="center" vertical="center" wrapText="1"/>
    </xf>
    <xf numFmtId="0" fontId="29" fillId="10" borderId="28" xfId="0" applyFont="1" applyFill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18" borderId="28" xfId="0" applyFont="1" applyFill="1" applyBorder="1" applyAlignment="1">
      <alignment horizontal="center" vertical="center"/>
    </xf>
    <xf numFmtId="0" fontId="3" fillId="18" borderId="28" xfId="0" applyFont="1" applyFill="1" applyBorder="1" applyAlignment="1">
      <alignment horizontal="center" vertical="center" wrapText="1"/>
    </xf>
    <xf numFmtId="165" fontId="3" fillId="18" borderId="28" xfId="0" applyNumberFormat="1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76" fillId="0" borderId="0" xfId="0" applyFont="1" applyAlignment="1">
      <alignment horizontal="center" vertical="center" wrapText="1"/>
    </xf>
    <xf numFmtId="0" fontId="78" fillId="10" borderId="28" xfId="0" applyFont="1" applyFill="1" applyBorder="1" applyAlignment="1">
      <alignment horizontal="center" vertical="center" wrapText="1"/>
    </xf>
    <xf numFmtId="0" fontId="78" fillId="18" borderId="28" xfId="0" applyFont="1" applyFill="1" applyBorder="1" applyAlignment="1">
      <alignment horizontal="center" vertical="center" wrapText="1"/>
    </xf>
    <xf numFmtId="14" fontId="76" fillId="0" borderId="28" xfId="0" applyNumberFormat="1" applyFont="1" applyBorder="1" applyAlignment="1">
      <alignment horizontal="center" vertical="center" wrapText="1"/>
    </xf>
    <xf numFmtId="0" fontId="76" fillId="0" borderId="28" xfId="0" applyFont="1" applyBorder="1" applyAlignment="1">
      <alignment horizontal="center" vertical="center" wrapText="1"/>
    </xf>
    <xf numFmtId="166" fontId="76" fillId="0" borderId="28" xfId="0" applyNumberFormat="1" applyFont="1" applyBorder="1" applyAlignment="1">
      <alignment horizontal="center" vertical="center" wrapText="1"/>
    </xf>
    <xf numFmtId="165" fontId="76" fillId="0" borderId="28" xfId="0" applyNumberFormat="1" applyFont="1" applyBorder="1" applyAlignment="1">
      <alignment horizontal="center" vertical="center" wrapText="1"/>
    </xf>
    <xf numFmtId="166" fontId="76" fillId="0" borderId="28" xfId="0" applyNumberFormat="1" applyFont="1" applyBorder="1" applyAlignment="1">
      <alignment horizontal="right" vertical="center" wrapText="1"/>
    </xf>
    <xf numFmtId="166" fontId="78" fillId="10" borderId="28" xfId="0" applyNumberFormat="1" applyFont="1" applyFill="1" applyBorder="1" applyAlignment="1">
      <alignment horizontal="center" vertical="center" wrapText="1"/>
    </xf>
    <xf numFmtId="166" fontId="76" fillId="0" borderId="0" xfId="0" applyNumberFormat="1" applyFont="1" applyAlignment="1">
      <alignment horizontal="center" vertical="center" wrapText="1"/>
    </xf>
    <xf numFmtId="166" fontId="76" fillId="0" borderId="32" xfId="0" applyNumberFormat="1" applyFont="1" applyBorder="1" applyAlignment="1">
      <alignment horizontal="right" vertical="center" wrapText="1"/>
    </xf>
    <xf numFmtId="166" fontId="76" fillId="0" borderId="37" xfId="0" applyNumberFormat="1" applyFont="1" applyBorder="1" applyAlignment="1">
      <alignment horizontal="right" vertical="center" wrapText="1"/>
    </xf>
    <xf numFmtId="166" fontId="76" fillId="0" borderId="0" xfId="0" applyNumberFormat="1" applyFont="1" applyAlignment="1">
      <alignment horizontal="right" vertical="center" wrapText="1"/>
    </xf>
    <xf numFmtId="166" fontId="76" fillId="7" borderId="2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3" fillId="21" borderId="28" xfId="0" applyFont="1" applyFill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14" fontId="33" fillId="0" borderId="28" xfId="0" applyNumberFormat="1" applyFont="1" applyBorder="1" applyAlignment="1">
      <alignment horizontal="center" vertical="center" wrapText="1"/>
    </xf>
    <xf numFmtId="0" fontId="33" fillId="0" borderId="28" xfId="0" quotePrefix="1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80" fillId="0" borderId="0" xfId="0" applyFont="1" applyAlignment="1">
      <alignment horizontal="left" vertical="center"/>
    </xf>
    <xf numFmtId="0" fontId="80" fillId="0" borderId="0" xfId="0" applyFont="1" applyAlignment="1">
      <alignment horizontal="right" vertical="center"/>
    </xf>
    <xf numFmtId="0" fontId="73" fillId="0" borderId="0" xfId="0" applyFont="1">
      <alignment vertical="center"/>
    </xf>
    <xf numFmtId="0" fontId="80" fillId="0" borderId="36" xfId="0" applyFont="1" applyBorder="1" applyAlignment="1">
      <alignment horizontal="left" vertical="center"/>
    </xf>
    <xf numFmtId="0" fontId="80" fillId="0" borderId="36" xfId="0" applyFont="1" applyBorder="1" applyAlignment="1">
      <alignment horizontal="right" vertical="center"/>
    </xf>
    <xf numFmtId="0" fontId="32" fillId="0" borderId="36" xfId="0" applyFont="1" applyBorder="1" applyAlignment="1">
      <alignment horizontal="center" vertical="center"/>
    </xf>
    <xf numFmtId="0" fontId="32" fillId="0" borderId="36" xfId="0" applyFont="1" applyBorder="1" applyAlignment="1">
      <alignment horizontal="left" vertical="center"/>
    </xf>
    <xf numFmtId="166" fontId="80" fillId="0" borderId="36" xfId="0" applyNumberFormat="1" applyFont="1" applyBorder="1" applyAlignment="1">
      <alignment horizontal="right" vertical="center"/>
    </xf>
    <xf numFmtId="166" fontId="32" fillId="0" borderId="36" xfId="0" applyNumberFormat="1" applyFont="1" applyBorder="1" applyAlignment="1">
      <alignment horizontal="right" vertical="center"/>
    </xf>
    <xf numFmtId="0" fontId="80" fillId="0" borderId="34" xfId="0" applyFont="1" applyBorder="1" applyAlignment="1">
      <alignment horizontal="left" vertical="center"/>
    </xf>
    <xf numFmtId="0" fontId="80" fillId="0" borderId="34" xfId="0" applyFont="1" applyBorder="1" applyAlignment="1">
      <alignment horizontal="right" vertical="center"/>
    </xf>
    <xf numFmtId="166" fontId="32" fillId="10" borderId="36" xfId="0" applyNumberFormat="1" applyFont="1" applyFill="1" applyBorder="1" applyAlignment="1">
      <alignment horizontal="right" vertical="center"/>
    </xf>
    <xf numFmtId="0" fontId="83" fillId="10" borderId="28" xfId="0" applyFont="1" applyFill="1" applyBorder="1" applyAlignment="1">
      <alignment horizontal="center" vertical="center" wrapText="1"/>
    </xf>
    <xf numFmtId="0" fontId="84" fillId="0" borderId="28" xfId="0" applyFont="1" applyBorder="1" applyAlignment="1">
      <alignment horizontal="left" vertical="center" wrapText="1"/>
    </xf>
    <xf numFmtId="14" fontId="84" fillId="0" borderId="28" xfId="0" applyNumberFormat="1" applyFont="1" applyBorder="1" applyAlignment="1">
      <alignment horizontal="left" vertical="center" wrapText="1"/>
    </xf>
    <xf numFmtId="167" fontId="84" fillId="0" borderId="28" xfId="0" applyNumberFormat="1" applyFont="1" applyBorder="1" applyAlignment="1">
      <alignment vertical="center" wrapText="1"/>
    </xf>
    <xf numFmtId="0" fontId="83" fillId="10" borderId="28" xfId="0" applyFont="1" applyFill="1" applyBorder="1" applyAlignment="1">
      <alignment horizontal="left" vertical="center" wrapText="1"/>
    </xf>
    <xf numFmtId="164" fontId="83" fillId="10" borderId="28" xfId="0" applyNumberFormat="1" applyFont="1" applyFill="1" applyBorder="1" applyAlignment="1">
      <alignment vertical="center" wrapText="1"/>
    </xf>
    <xf numFmtId="0" fontId="84" fillId="0" borderId="0" xfId="0" applyFont="1">
      <alignment vertical="center"/>
    </xf>
    <xf numFmtId="0" fontId="84" fillId="0" borderId="0" xfId="0" applyFont="1" applyAlignment="1">
      <alignment vertical="center" wrapText="1"/>
    </xf>
    <xf numFmtId="164" fontId="84" fillId="0" borderId="28" xfId="0" applyNumberFormat="1" applyFont="1" applyBorder="1" applyAlignment="1">
      <alignment vertical="center" wrapText="1"/>
    </xf>
    <xf numFmtId="0" fontId="84" fillId="10" borderId="0" xfId="0" applyFont="1" applyFill="1">
      <alignment vertical="center"/>
    </xf>
    <xf numFmtId="0" fontId="84" fillId="10" borderId="28" xfId="0" applyFont="1" applyFill="1" applyBorder="1" applyAlignment="1">
      <alignment horizontal="left" vertical="center" wrapText="1"/>
    </xf>
    <xf numFmtId="164" fontId="84" fillId="10" borderId="28" xfId="0" applyNumberFormat="1" applyFont="1" applyFill="1" applyBorder="1" applyAlignment="1">
      <alignment vertical="center" wrapText="1"/>
    </xf>
    <xf numFmtId="164" fontId="83" fillId="18" borderId="0" xfId="0" applyNumberFormat="1" applyFont="1" applyFill="1" applyAlignment="1">
      <alignment horizontal="center" vertical="center" wrapText="1"/>
    </xf>
    <xf numFmtId="164" fontId="84" fillId="0" borderId="0" xfId="0" applyNumberFormat="1" applyFont="1" applyAlignment="1">
      <alignment vertical="center" wrapText="1"/>
    </xf>
    <xf numFmtId="0" fontId="84" fillId="6" borderId="28" xfId="0" applyFont="1" applyFill="1" applyBorder="1" applyAlignment="1">
      <alignment horizontal="left" vertical="center" wrapText="1"/>
    </xf>
    <xf numFmtId="167" fontId="84" fillId="6" borderId="28" xfId="0" applyNumberFormat="1" applyFont="1" applyFill="1" applyBorder="1" applyAlignment="1">
      <alignment vertical="center" wrapText="1"/>
    </xf>
    <xf numFmtId="167" fontId="83" fillId="6" borderId="28" xfId="0" applyNumberFormat="1" applyFont="1" applyFill="1" applyBorder="1" applyAlignment="1">
      <alignment vertical="center" wrapText="1"/>
    </xf>
    <xf numFmtId="167" fontId="85" fillId="0" borderId="0" xfId="0" applyNumberFormat="1" applyFont="1">
      <alignment vertical="center"/>
    </xf>
    <xf numFmtId="3" fontId="84" fillId="0" borderId="0" xfId="0" applyNumberFormat="1" applyFont="1" applyAlignment="1">
      <alignment vertical="center" wrapText="1"/>
    </xf>
    <xf numFmtId="167" fontId="84" fillId="10" borderId="28" xfId="0" applyNumberFormat="1" applyFont="1" applyFill="1" applyBorder="1" applyAlignment="1">
      <alignment vertical="center" wrapText="1"/>
    </xf>
    <xf numFmtId="3" fontId="86" fillId="0" borderId="0" xfId="0" applyNumberFormat="1" applyFont="1" applyAlignment="1">
      <alignment vertical="center" wrapText="1"/>
    </xf>
    <xf numFmtId="3" fontId="83" fillId="0" borderId="0" xfId="0" applyNumberFormat="1" applyFont="1" applyAlignment="1">
      <alignment vertical="center" wrapText="1"/>
    </xf>
    <xf numFmtId="0" fontId="83" fillId="0" borderId="0" xfId="0" applyFont="1" applyAlignment="1">
      <alignment vertical="center" wrapText="1"/>
    </xf>
    <xf numFmtId="3" fontId="84" fillId="0" borderId="0" xfId="0" applyNumberFormat="1" applyFont="1">
      <alignment vertical="center"/>
    </xf>
    <xf numFmtId="3" fontId="83" fillId="0" borderId="0" xfId="0" applyNumberFormat="1" applyFont="1">
      <alignment vertical="center"/>
    </xf>
    <xf numFmtId="3" fontId="84" fillId="0" borderId="28" xfId="0" applyNumberFormat="1" applyFont="1" applyBorder="1">
      <alignment vertical="center"/>
    </xf>
    <xf numFmtId="3" fontId="84" fillId="0" borderId="28" xfId="0" applyNumberFormat="1" applyFont="1" applyBorder="1" applyAlignment="1">
      <alignment horizontal="right" vertical="center"/>
    </xf>
    <xf numFmtId="3" fontId="84" fillId="0" borderId="28" xfId="0" applyNumberFormat="1" applyFont="1" applyBorder="1" applyAlignment="1">
      <alignment horizontal="left" vertical="center"/>
    </xf>
    <xf numFmtId="0" fontId="83" fillId="22" borderId="28" xfId="0" applyFont="1" applyFill="1" applyBorder="1" applyAlignment="1">
      <alignment horizontal="center" vertical="center"/>
    </xf>
    <xf numFmtId="3" fontId="83" fillId="10" borderId="28" xfId="0" applyNumberFormat="1" applyFont="1" applyFill="1" applyBorder="1">
      <alignment vertical="center"/>
    </xf>
    <xf numFmtId="0" fontId="83" fillId="10" borderId="0" xfId="0" applyFont="1" applyFill="1" applyAlignment="1">
      <alignment horizontal="center" vertical="center" wrapText="1"/>
    </xf>
    <xf numFmtId="167" fontId="84" fillId="0" borderId="0" xfId="0" applyNumberFormat="1" applyFont="1" applyAlignment="1">
      <alignment vertical="center" wrapText="1"/>
    </xf>
    <xf numFmtId="164" fontId="84" fillId="10" borderId="0" xfId="0" applyNumberFormat="1" applyFont="1" applyFill="1" applyAlignment="1">
      <alignment vertical="center" wrapText="1"/>
    </xf>
    <xf numFmtId="164" fontId="83" fillId="10" borderId="0" xfId="0" applyNumberFormat="1" applyFont="1" applyFill="1" applyAlignment="1">
      <alignment vertical="center" wrapText="1"/>
    </xf>
    <xf numFmtId="167" fontId="83" fillId="6" borderId="0" xfId="0" applyNumberFormat="1" applyFont="1" applyFill="1" applyAlignment="1">
      <alignment vertical="center" wrapText="1"/>
    </xf>
    <xf numFmtId="167" fontId="84" fillId="10" borderId="0" xfId="0" applyNumberFormat="1" applyFont="1" applyFill="1" applyAlignment="1">
      <alignment vertical="center" wrapText="1"/>
    </xf>
    <xf numFmtId="164" fontId="83" fillId="7" borderId="0" xfId="0" applyNumberFormat="1" applyFont="1" applyFill="1" applyAlignment="1">
      <alignment horizontal="center" vertical="center" wrapText="1"/>
    </xf>
    <xf numFmtId="0" fontId="84" fillId="0" borderId="28" xfId="0" applyFont="1" applyBorder="1" applyAlignment="1">
      <alignment vertical="center" wrapText="1"/>
    </xf>
    <xf numFmtId="0" fontId="84" fillId="6" borderId="28" xfId="0" applyFont="1" applyFill="1" applyBorder="1" applyAlignment="1">
      <alignment vertical="center" wrapText="1"/>
    </xf>
    <xf numFmtId="0" fontId="83" fillId="22" borderId="28" xfId="0" applyFont="1" applyFill="1" applyBorder="1" applyAlignment="1">
      <alignment vertical="center" wrapText="1"/>
    </xf>
    <xf numFmtId="3" fontId="84" fillId="0" borderId="28" xfId="0" applyNumberFormat="1" applyFont="1" applyBorder="1" applyAlignment="1">
      <alignment horizontal="center" vertical="center" wrapText="1"/>
    </xf>
    <xf numFmtId="0" fontId="84" fillId="0" borderId="28" xfId="0" applyFont="1" applyBorder="1" applyAlignment="1">
      <alignment horizontal="center" vertical="center" wrapText="1"/>
    </xf>
    <xf numFmtId="3" fontId="86" fillId="0" borderId="27" xfId="0" applyNumberFormat="1" applyFont="1" applyBorder="1" applyAlignment="1">
      <alignment vertical="center" wrapText="1"/>
    </xf>
    <xf numFmtId="3" fontId="85" fillId="0" borderId="0" xfId="0" applyNumberFormat="1" applyFont="1" applyAlignment="1">
      <alignment vertical="center" wrapText="1"/>
    </xf>
    <xf numFmtId="14" fontId="84" fillId="10" borderId="28" xfId="0" applyNumberFormat="1" applyFont="1" applyFill="1" applyBorder="1" applyAlignment="1">
      <alignment horizontal="left" vertical="center" wrapText="1"/>
    </xf>
    <xf numFmtId="0" fontId="0" fillId="7" borderId="0" xfId="0" applyFill="1">
      <alignment vertical="center"/>
    </xf>
    <xf numFmtId="164" fontId="3" fillId="7" borderId="28" xfId="0" applyNumberFormat="1" applyFont="1" applyFill="1" applyBorder="1" applyAlignment="1">
      <alignment horizontal="right" vertical="center"/>
    </xf>
    <xf numFmtId="164" fontId="3" fillId="7" borderId="37" xfId="0" applyNumberFormat="1" applyFont="1" applyFill="1" applyBorder="1" applyAlignment="1">
      <alignment horizontal="right" vertical="center"/>
    </xf>
    <xf numFmtId="164" fontId="3" fillId="0" borderId="28" xfId="0" applyNumberFormat="1" applyFont="1" applyBorder="1" applyAlignment="1">
      <alignment horizontal="right" vertical="center"/>
    </xf>
    <xf numFmtId="164" fontId="3" fillId="0" borderId="37" xfId="0" applyNumberFormat="1" applyFont="1" applyBorder="1" applyAlignment="1">
      <alignment horizontal="right" vertical="center"/>
    </xf>
    <xf numFmtId="164" fontId="3" fillId="18" borderId="28" xfId="0" applyNumberFormat="1" applyFont="1" applyFill="1" applyBorder="1" applyAlignment="1">
      <alignment horizontal="right" vertical="center"/>
    </xf>
    <xf numFmtId="164" fontId="3" fillId="18" borderId="37" xfId="0" applyNumberFormat="1" applyFont="1" applyFill="1" applyBorder="1" applyAlignment="1">
      <alignment horizontal="right" vertical="center"/>
    </xf>
    <xf numFmtId="164" fontId="29" fillId="10" borderId="28" xfId="0" applyNumberFormat="1" applyFont="1" applyFill="1" applyBorder="1" applyAlignment="1">
      <alignment horizontal="right" vertical="center"/>
    </xf>
    <xf numFmtId="0" fontId="29" fillId="10" borderId="28" xfId="0" applyFont="1" applyFill="1" applyBorder="1" applyAlignment="1">
      <alignment horizontal="right" vertical="center"/>
    </xf>
    <xf numFmtId="164" fontId="29" fillId="10" borderId="37" xfId="0" applyNumberFormat="1" applyFont="1" applyFill="1" applyBorder="1" applyAlignment="1">
      <alignment horizontal="right" vertical="center"/>
    </xf>
    <xf numFmtId="0" fontId="3" fillId="24" borderId="28" xfId="0" applyFont="1" applyFill="1" applyBorder="1" applyAlignment="1">
      <alignment horizontal="center" vertical="center"/>
    </xf>
    <xf numFmtId="164" fontId="3" fillId="24" borderId="28" xfId="0" applyNumberFormat="1" applyFont="1" applyFill="1" applyBorder="1" applyAlignment="1">
      <alignment horizontal="right" vertical="center"/>
    </xf>
    <xf numFmtId="164" fontId="3" fillId="24" borderId="37" xfId="0" applyNumberFormat="1" applyFont="1" applyFill="1" applyBorder="1" applyAlignment="1">
      <alignment horizontal="right" vertical="center"/>
    </xf>
    <xf numFmtId="165" fontId="3" fillId="24" borderId="28" xfId="0" applyNumberFormat="1" applyFont="1" applyFill="1" applyBorder="1" applyAlignment="1">
      <alignment horizontal="center" vertical="center"/>
    </xf>
    <xf numFmtId="0" fontId="0" fillId="24" borderId="0" xfId="0" applyFill="1">
      <alignment vertical="center"/>
    </xf>
    <xf numFmtId="164" fontId="88" fillId="18" borderId="28" xfId="0" applyNumberFormat="1" applyFont="1" applyFill="1" applyBorder="1" applyAlignment="1">
      <alignment horizontal="right" vertical="center"/>
    </xf>
    <xf numFmtId="164" fontId="88" fillId="18" borderId="37" xfId="0" applyNumberFormat="1" applyFont="1" applyFill="1" applyBorder="1" applyAlignment="1">
      <alignment horizontal="right" vertical="center"/>
    </xf>
    <xf numFmtId="165" fontId="88" fillId="18" borderId="28" xfId="0" applyNumberFormat="1" applyFont="1" applyFill="1" applyBorder="1" applyAlignment="1">
      <alignment horizontal="right" vertical="center"/>
    </xf>
    <xf numFmtId="0" fontId="30" fillId="18" borderId="28" xfId="0" applyFont="1" applyFill="1" applyBorder="1" applyAlignment="1">
      <alignment horizontal="right" vertical="center"/>
    </xf>
    <xf numFmtId="0" fontId="9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1" fillId="0" borderId="0" xfId="0" applyFont="1" applyAlignment="1">
      <alignment horizontal="left" vertical="center" wrapText="1"/>
    </xf>
    <xf numFmtId="0" fontId="87" fillId="22" borderId="32" xfId="0" applyFont="1" applyFill="1" applyBorder="1" applyAlignment="1">
      <alignment horizontal="center" vertical="center" wrapText="1"/>
    </xf>
    <xf numFmtId="0" fontId="91" fillId="0" borderId="0" xfId="0" applyFont="1" applyAlignment="1">
      <alignment vertical="center" wrapText="1"/>
    </xf>
    <xf numFmtId="0" fontId="91" fillId="0" borderId="48" xfId="0" applyFont="1" applyBorder="1" applyAlignment="1">
      <alignment horizontal="center" vertical="center" wrapText="1"/>
    </xf>
    <xf numFmtId="0" fontId="91" fillId="0" borderId="55" xfId="0" applyFont="1" applyBorder="1" applyAlignment="1">
      <alignment vertical="center" wrapText="1"/>
    </xf>
    <xf numFmtId="0" fontId="91" fillId="0" borderId="55" xfId="0" applyFont="1" applyBorder="1" applyAlignment="1">
      <alignment horizontal="center" vertical="center" wrapText="1"/>
    </xf>
    <xf numFmtId="0" fontId="91" fillId="0" borderId="55" xfId="0" applyFont="1" applyBorder="1" applyAlignment="1">
      <alignment horizontal="left" vertical="center" wrapText="1"/>
    </xf>
    <xf numFmtId="0" fontId="91" fillId="0" borderId="49" xfId="0" applyFont="1" applyBorder="1" applyAlignment="1">
      <alignment horizontal="center" vertical="center" wrapText="1"/>
    </xf>
    <xf numFmtId="0" fontId="91" fillId="0" borderId="50" xfId="0" applyFont="1" applyBorder="1" applyAlignment="1">
      <alignment horizontal="center" vertical="center" wrapText="1"/>
    </xf>
    <xf numFmtId="0" fontId="91" fillId="0" borderId="51" xfId="0" applyFont="1" applyBorder="1" applyAlignment="1">
      <alignment horizontal="center" vertical="center" wrapText="1"/>
    </xf>
    <xf numFmtId="0" fontId="91" fillId="0" borderId="52" xfId="0" applyFont="1" applyBorder="1" applyAlignment="1">
      <alignment horizontal="center" vertical="center" wrapText="1"/>
    </xf>
    <xf numFmtId="0" fontId="91" fillId="0" borderId="27" xfId="0" applyFont="1" applyBorder="1" applyAlignment="1">
      <alignment horizontal="left" vertical="center" wrapText="1"/>
    </xf>
    <xf numFmtId="0" fontId="91" fillId="0" borderId="27" xfId="0" applyFont="1" applyBorder="1" applyAlignment="1">
      <alignment horizontal="center" vertical="center" wrapText="1"/>
    </xf>
    <xf numFmtId="0" fontId="91" fillId="0" borderId="53" xfId="0" applyFont="1" applyBorder="1" applyAlignment="1">
      <alignment horizontal="center" vertical="center" wrapText="1"/>
    </xf>
    <xf numFmtId="0" fontId="93" fillId="0" borderId="0" xfId="0" applyFont="1" applyAlignment="1">
      <alignment vertical="center" wrapText="1"/>
    </xf>
    <xf numFmtId="0" fontId="91" fillId="0" borderId="34" xfId="0" applyFont="1" applyBorder="1" applyAlignment="1">
      <alignment horizontal="center" vertical="center" wrapText="1"/>
    </xf>
    <xf numFmtId="0" fontId="91" fillId="0" borderId="32" xfId="0" applyFont="1" applyBorder="1" applyAlignment="1">
      <alignment horizontal="center" vertical="center" wrapText="1"/>
    </xf>
    <xf numFmtId="0" fontId="92" fillId="0" borderId="27" xfId="0" applyFont="1" applyBorder="1" applyAlignment="1">
      <alignment horizontal="center" vertical="center" wrapText="1"/>
    </xf>
    <xf numFmtId="0" fontId="73" fillId="6" borderId="28" xfId="0" applyFont="1" applyFill="1" applyBorder="1" applyAlignment="1">
      <alignment horizontal="right" vertical="center"/>
    </xf>
    <xf numFmtId="0" fontId="73" fillId="6" borderId="0" xfId="0" applyFont="1" applyFill="1" applyAlignment="1">
      <alignment horizontal="right" vertical="center"/>
    </xf>
    <xf numFmtId="0" fontId="29" fillId="10" borderId="37" xfId="0" applyFont="1" applyFill="1" applyBorder="1" applyAlignment="1">
      <alignment horizontal="right" vertical="center"/>
    </xf>
    <xf numFmtId="164" fontId="75" fillId="0" borderId="28" xfId="0" applyNumberFormat="1" applyFont="1" applyBorder="1" applyAlignment="1">
      <alignment horizontal="right" vertical="center"/>
    </xf>
    <xf numFmtId="164" fontId="75" fillId="0" borderId="37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7" borderId="28" xfId="0" applyFont="1" applyFill="1" applyBorder="1">
      <alignment vertical="center"/>
    </xf>
    <xf numFmtId="0" fontId="95" fillId="0" borderId="28" xfId="0" applyFont="1" applyBorder="1" applyAlignment="1">
      <alignment horizontal="center" vertical="center"/>
    </xf>
    <xf numFmtId="164" fontId="95" fillId="0" borderId="28" xfId="0" applyNumberFormat="1" applyFont="1" applyBorder="1" applyAlignment="1">
      <alignment horizontal="right" vertical="center"/>
    </xf>
    <xf numFmtId="164" fontId="95" fillId="0" borderId="37" xfId="0" applyNumberFormat="1" applyFont="1" applyBorder="1" applyAlignment="1">
      <alignment horizontal="right" vertical="center"/>
    </xf>
    <xf numFmtId="165" fontId="95" fillId="0" borderId="28" xfId="0" applyNumberFormat="1" applyFont="1" applyBorder="1" applyAlignment="1">
      <alignment horizontal="center" vertical="center"/>
    </xf>
    <xf numFmtId="0" fontId="95" fillId="0" borderId="0" xfId="0" applyFont="1">
      <alignment vertical="center"/>
    </xf>
    <xf numFmtId="0" fontId="95" fillId="7" borderId="28" xfId="0" applyFont="1" applyFill="1" applyBorder="1" applyAlignment="1">
      <alignment horizontal="center" vertical="center"/>
    </xf>
    <xf numFmtId="0" fontId="96" fillId="7" borderId="28" xfId="0" applyFont="1" applyFill="1" applyBorder="1" applyAlignment="1">
      <alignment horizontal="center" vertical="center"/>
    </xf>
    <xf numFmtId="164" fontId="95" fillId="7" borderId="28" xfId="0" applyNumberFormat="1" applyFont="1" applyFill="1" applyBorder="1" applyAlignment="1">
      <alignment horizontal="right" vertical="center"/>
    </xf>
    <xf numFmtId="164" fontId="95" fillId="7" borderId="37" xfId="0" applyNumberFormat="1" applyFont="1" applyFill="1" applyBorder="1" applyAlignment="1">
      <alignment horizontal="right" vertical="center"/>
    </xf>
    <xf numFmtId="165" fontId="95" fillId="7" borderId="28" xfId="0" applyNumberFormat="1" applyFont="1" applyFill="1" applyBorder="1" applyAlignment="1">
      <alignment horizontal="center" vertical="center"/>
    </xf>
    <xf numFmtId="0" fontId="95" fillId="7" borderId="0" xfId="0" applyFont="1" applyFill="1">
      <alignment vertical="center"/>
    </xf>
    <xf numFmtId="0" fontId="3" fillId="19" borderId="28" xfId="0" applyFont="1" applyFill="1" applyBorder="1" applyAlignment="1">
      <alignment horizontal="center" vertical="center"/>
    </xf>
    <xf numFmtId="0" fontId="3" fillId="19" borderId="28" xfId="0" applyFont="1" applyFill="1" applyBorder="1" applyAlignment="1">
      <alignment horizontal="center" vertical="center" wrapText="1"/>
    </xf>
    <xf numFmtId="164" fontId="3" fillId="19" borderId="28" xfId="0" applyNumberFormat="1" applyFont="1" applyFill="1" applyBorder="1" applyAlignment="1">
      <alignment horizontal="center" vertical="center"/>
    </xf>
    <xf numFmtId="165" fontId="3" fillId="19" borderId="28" xfId="0" applyNumberFormat="1" applyFont="1" applyFill="1" applyBorder="1" applyAlignment="1">
      <alignment horizontal="center" vertical="center"/>
    </xf>
    <xf numFmtId="0" fontId="3" fillId="19" borderId="0" xfId="0" applyFont="1" applyFill="1">
      <alignment vertical="center"/>
    </xf>
    <xf numFmtId="0" fontId="103" fillId="6" borderId="0" xfId="1" applyFont="1" applyFill="1" applyProtection="1"/>
    <xf numFmtId="0" fontId="99" fillId="26" borderId="0" xfId="1" applyFont="1" applyFill="1" applyProtection="1"/>
    <xf numFmtId="165" fontId="100" fillId="26" borderId="8" xfId="1" applyNumberFormat="1" applyFont="1" applyFill="1" applyBorder="1" applyAlignment="1" applyProtection="1">
      <alignment horizontal="center" vertical="center" wrapText="1"/>
    </xf>
    <xf numFmtId="0" fontId="100" fillId="26" borderId="0" xfId="1" applyFont="1" applyFill="1" applyProtection="1"/>
    <xf numFmtId="165" fontId="105" fillId="0" borderId="53" xfId="1" applyNumberFormat="1" applyFont="1" applyBorder="1" applyAlignment="1" applyProtection="1">
      <alignment horizontal="center" vertical="center" wrapText="1"/>
    </xf>
    <xf numFmtId="0" fontId="103" fillId="6" borderId="0" xfId="1" applyFont="1" applyFill="1" applyAlignment="1" applyProtection="1">
      <alignment horizontal="right"/>
    </xf>
    <xf numFmtId="0" fontId="1" fillId="0" borderId="0" xfId="1" applyAlignment="1" applyProtection="1">
      <alignment horizontal="right"/>
    </xf>
    <xf numFmtId="3" fontId="97" fillId="27" borderId="28" xfId="1" applyNumberFormat="1" applyFont="1" applyFill="1" applyBorder="1" applyAlignment="1" applyProtection="1">
      <alignment horizontal="right" vertical="center" wrapText="1"/>
    </xf>
    <xf numFmtId="3" fontId="0" fillId="0" borderId="0" xfId="0" applyNumberFormat="1">
      <alignment vertical="center"/>
    </xf>
    <xf numFmtId="0" fontId="0" fillId="10" borderId="0" xfId="0" applyFill="1">
      <alignment vertical="center"/>
    </xf>
    <xf numFmtId="0" fontId="108" fillId="0" borderId="0" xfId="0" applyFont="1">
      <alignment vertical="center"/>
    </xf>
    <xf numFmtId="0" fontId="84" fillId="0" borderId="0" xfId="0" applyFont="1" applyAlignment="1">
      <alignment horizontal="left" vertical="center"/>
    </xf>
    <xf numFmtId="0" fontId="84" fillId="0" borderId="0" xfId="0" applyFont="1" applyAlignment="1">
      <alignment horizontal="right" vertical="center"/>
    </xf>
    <xf numFmtId="0" fontId="87" fillId="0" borderId="0" xfId="0" applyFont="1">
      <alignment vertical="center"/>
    </xf>
    <xf numFmtId="0" fontId="84" fillId="0" borderId="36" xfId="0" applyFont="1" applyBorder="1" applyAlignment="1">
      <alignment horizontal="left" vertical="center"/>
    </xf>
    <xf numFmtId="0" fontId="84" fillId="0" borderId="36" xfId="0" applyFont="1" applyBorder="1" applyAlignment="1">
      <alignment horizontal="right" vertical="center"/>
    </xf>
    <xf numFmtId="0" fontId="83" fillId="0" borderId="36" xfId="0" applyFont="1" applyBorder="1" applyAlignment="1">
      <alignment horizontal="center" vertical="center"/>
    </xf>
    <xf numFmtId="0" fontId="83" fillId="0" borderId="36" xfId="0" applyFont="1" applyBorder="1" applyAlignment="1">
      <alignment horizontal="left" vertical="center"/>
    </xf>
    <xf numFmtId="166" fontId="84" fillId="0" borderId="36" xfId="0" applyNumberFormat="1" applyFont="1" applyBorder="1" applyAlignment="1">
      <alignment horizontal="right" vertical="center"/>
    </xf>
    <xf numFmtId="166" fontId="83" fillId="0" borderId="36" xfId="0" applyNumberFormat="1" applyFont="1" applyBorder="1" applyAlignment="1">
      <alignment horizontal="right" vertical="center"/>
    </xf>
    <xf numFmtId="0" fontId="84" fillId="0" borderId="34" xfId="0" applyFont="1" applyBorder="1" applyAlignment="1">
      <alignment horizontal="left" vertical="center"/>
    </xf>
    <xf numFmtId="0" fontId="84" fillId="0" borderId="34" xfId="0" applyFont="1" applyBorder="1" applyAlignment="1">
      <alignment horizontal="right" vertical="center"/>
    </xf>
    <xf numFmtId="166" fontId="83" fillId="6" borderId="36" xfId="0" applyNumberFormat="1" applyFont="1" applyFill="1" applyBorder="1" applyAlignment="1">
      <alignment horizontal="right" vertical="center"/>
    </xf>
    <xf numFmtId="0" fontId="109" fillId="0" borderId="28" xfId="0" applyFont="1" applyBorder="1">
      <alignment vertical="center"/>
    </xf>
    <xf numFmtId="0" fontId="108" fillId="0" borderId="28" xfId="0" applyFont="1" applyBorder="1">
      <alignment vertical="center"/>
    </xf>
    <xf numFmtId="3" fontId="108" fillId="0" borderId="28" xfId="0" applyNumberFormat="1" applyFont="1" applyBorder="1">
      <alignment vertical="center"/>
    </xf>
    <xf numFmtId="3" fontId="109" fillId="0" borderId="28" xfId="0" applyNumberFormat="1" applyFont="1" applyBorder="1">
      <alignment vertical="center"/>
    </xf>
    <xf numFmtId="14" fontId="108" fillId="0" borderId="0" xfId="0" applyNumberFormat="1" applyFont="1">
      <alignment vertical="center"/>
    </xf>
    <xf numFmtId="0" fontId="83" fillId="0" borderId="28" xfId="0" applyFont="1" applyBorder="1" applyAlignment="1">
      <alignment horizontal="center" vertical="center"/>
    </xf>
    <xf numFmtId="0" fontId="83" fillId="0" borderId="0" xfId="0" applyFont="1" applyAlignment="1">
      <alignment horizontal="right" vertical="center"/>
    </xf>
    <xf numFmtId="0" fontId="84" fillId="0" borderId="28" xfId="0" applyFont="1" applyBorder="1" applyAlignment="1">
      <alignment horizontal="center" vertical="center"/>
    </xf>
    <xf numFmtId="164" fontId="84" fillId="0" borderId="28" xfId="0" applyNumberFormat="1" applyFont="1" applyBorder="1" applyAlignment="1">
      <alignment horizontal="right" vertical="center"/>
    </xf>
    <xf numFmtId="3" fontId="109" fillId="0" borderId="28" xfId="0" applyNumberFormat="1" applyFont="1" applyBorder="1" applyAlignment="1">
      <alignment horizontal="right" vertical="center"/>
    </xf>
    <xf numFmtId="0" fontId="3" fillId="6" borderId="28" xfId="0" applyFont="1" applyFill="1" applyBorder="1" applyAlignment="1">
      <alignment horizontal="center" vertical="center"/>
    </xf>
    <xf numFmtId="164" fontId="3" fillId="6" borderId="28" xfId="0" applyNumberFormat="1" applyFont="1" applyFill="1" applyBorder="1" applyAlignment="1">
      <alignment horizontal="right" vertical="center"/>
    </xf>
    <xf numFmtId="164" fontId="3" fillId="6" borderId="37" xfId="0" applyNumberFormat="1" applyFont="1" applyFill="1" applyBorder="1" applyAlignment="1">
      <alignment horizontal="right" vertical="center"/>
    </xf>
    <xf numFmtId="165" fontId="3" fillId="6" borderId="28" xfId="0" applyNumberFormat="1" applyFont="1" applyFill="1" applyBorder="1" applyAlignment="1">
      <alignment horizontal="center" vertical="center"/>
    </xf>
    <xf numFmtId="0" fontId="0" fillId="6" borderId="0" xfId="0" applyFill="1">
      <alignment vertical="center"/>
    </xf>
    <xf numFmtId="166" fontId="78" fillId="7" borderId="28" xfId="0" applyNumberFormat="1" applyFont="1" applyFill="1" applyBorder="1" applyAlignment="1">
      <alignment horizontal="right" vertical="center" wrapText="1"/>
    </xf>
    <xf numFmtId="0" fontId="103" fillId="6" borderId="0" xfId="1" applyFont="1" applyFill="1" applyAlignment="1" applyProtection="1">
      <alignment horizontal="center" vertical="center"/>
    </xf>
    <xf numFmtId="3" fontId="105" fillId="0" borderId="28" xfId="1" applyNumberFormat="1" applyFont="1" applyBorder="1" applyAlignment="1" applyProtection="1">
      <alignment vertical="center" wrapText="1"/>
    </xf>
    <xf numFmtId="164" fontId="97" fillId="27" borderId="34" xfId="1" applyNumberFormat="1" applyFont="1" applyFill="1" applyBorder="1" applyAlignment="1" applyProtection="1">
      <alignment horizontal="center" vertical="center" wrapText="1"/>
    </xf>
    <xf numFmtId="164" fontId="97" fillId="27" borderId="28" xfId="1" applyNumberFormat="1" applyFont="1" applyFill="1" applyBorder="1" applyAlignment="1" applyProtection="1">
      <alignment horizontal="center" vertical="center" wrapText="1"/>
    </xf>
    <xf numFmtId="164" fontId="110" fillId="27" borderId="28" xfId="1" applyNumberFormat="1" applyFont="1" applyFill="1" applyBorder="1" applyAlignment="1" applyProtection="1">
      <alignment horizontal="center" vertical="center" wrapText="1"/>
    </xf>
    <xf numFmtId="164" fontId="97" fillId="27" borderId="37" xfId="1" applyNumberFormat="1" applyFont="1" applyFill="1" applyBorder="1" applyAlignment="1" applyProtection="1">
      <alignment horizontal="center" vertical="center" wrapText="1"/>
    </xf>
    <xf numFmtId="14" fontId="110" fillId="27" borderId="38" xfId="1" applyNumberFormat="1" applyFont="1" applyFill="1" applyBorder="1" applyAlignment="1" applyProtection="1">
      <alignment horizontal="center" vertical="center" wrapText="1"/>
    </xf>
    <xf numFmtId="165" fontId="97" fillId="27" borderId="28" xfId="1" applyNumberFormat="1" applyFont="1" applyFill="1" applyBorder="1" applyAlignment="1" applyProtection="1">
      <alignment horizontal="center" vertical="center" wrapText="1"/>
    </xf>
    <xf numFmtId="164" fontId="97" fillId="27" borderId="32" xfId="1" applyNumberFormat="1" applyFont="1" applyFill="1" applyBorder="1" applyAlignment="1" applyProtection="1">
      <alignment vertical="center" wrapText="1"/>
    </xf>
    <xf numFmtId="14" fontId="110" fillId="27" borderId="32" xfId="1" applyNumberFormat="1" applyFont="1" applyFill="1" applyBorder="1" applyAlignment="1" applyProtection="1">
      <alignment vertical="center" wrapText="1"/>
    </xf>
    <xf numFmtId="3" fontId="97" fillId="27" borderId="32" xfId="1" applyNumberFormat="1" applyFont="1" applyFill="1" applyBorder="1" applyAlignment="1" applyProtection="1">
      <alignment vertical="center" wrapText="1"/>
    </xf>
    <xf numFmtId="165" fontId="97" fillId="27" borderId="32" xfId="1" applyNumberFormat="1" applyFont="1" applyFill="1" applyBorder="1" applyAlignment="1" applyProtection="1">
      <alignment vertical="center" wrapText="1"/>
    </xf>
    <xf numFmtId="3" fontId="99" fillId="29" borderId="28" xfId="1" applyNumberFormat="1" applyFont="1" applyFill="1" applyBorder="1" applyAlignment="1" applyProtection="1">
      <alignment horizontal="right" vertical="center" wrapText="1"/>
    </xf>
    <xf numFmtId="165" fontId="99" fillId="29" borderId="28" xfId="1" applyNumberFormat="1" applyFont="1" applyFill="1" applyBorder="1" applyAlignment="1" applyProtection="1">
      <alignment horizontal="center" vertical="center" wrapText="1"/>
    </xf>
    <xf numFmtId="164" fontId="99" fillId="29" borderId="28" xfId="1" applyNumberFormat="1" applyFont="1" applyFill="1" applyBorder="1" applyAlignment="1" applyProtection="1">
      <alignment horizontal="center" vertical="center" wrapText="1"/>
    </xf>
    <xf numFmtId="0" fontId="83" fillId="0" borderId="0" xfId="0" applyFont="1">
      <alignment vertical="center"/>
    </xf>
    <xf numFmtId="0" fontId="83" fillId="0" borderId="28" xfId="0" applyFont="1" applyBorder="1">
      <alignment vertical="center"/>
    </xf>
    <xf numFmtId="0" fontId="84" fillId="0" borderId="28" xfId="0" applyFont="1" applyBorder="1">
      <alignment vertical="center"/>
    </xf>
    <xf numFmtId="3" fontId="83" fillId="0" borderId="28" xfId="0" applyNumberFormat="1" applyFont="1" applyBorder="1">
      <alignment vertical="center"/>
    </xf>
    <xf numFmtId="0" fontId="84" fillId="0" borderId="0" xfId="0" applyFont="1" applyProtection="1">
      <alignment vertical="center"/>
      <protection hidden="1"/>
    </xf>
    <xf numFmtId="0" fontId="111" fillId="0" borderId="28" xfId="0" applyFont="1" applyBorder="1" applyAlignment="1">
      <alignment horizontal="center" vertical="center" wrapText="1"/>
    </xf>
    <xf numFmtId="166" fontId="111" fillId="0" borderId="28" xfId="0" applyNumberFormat="1" applyFont="1" applyBorder="1" applyAlignment="1">
      <alignment horizontal="right" vertical="center" wrapText="1"/>
    </xf>
    <xf numFmtId="0" fontId="111" fillId="0" borderId="28" xfId="0" applyFont="1" applyBorder="1">
      <alignment vertical="center"/>
    </xf>
    <xf numFmtId="3" fontId="112" fillId="0" borderId="28" xfId="0" applyNumberFormat="1" applyFont="1" applyBorder="1">
      <alignment vertical="center"/>
    </xf>
    <xf numFmtId="0" fontId="83" fillId="0" borderId="0" xfId="0" applyFont="1" applyAlignment="1">
      <alignment horizontal="left" vertical="center"/>
    </xf>
    <xf numFmtId="4" fontId="83" fillId="0" borderId="0" xfId="0" applyNumberFormat="1" applyFont="1" applyAlignment="1">
      <alignment horizontal="right" vertical="center"/>
    </xf>
    <xf numFmtId="164" fontId="105" fillId="0" borderId="32" xfId="1" applyNumberFormat="1" applyFont="1" applyBorder="1" applyAlignment="1" applyProtection="1">
      <alignment horizontal="center" vertical="center" wrapText="1"/>
    </xf>
    <xf numFmtId="164" fontId="105" fillId="0" borderId="46" xfId="1" applyNumberFormat="1" applyFont="1" applyBorder="1" applyAlignment="1" applyProtection="1">
      <alignment horizontal="center" vertical="center" wrapText="1"/>
    </xf>
    <xf numFmtId="3" fontId="97" fillId="7" borderId="34" xfId="1" applyNumberFormat="1" applyFont="1" applyFill="1" applyBorder="1" applyAlignment="1" applyProtection="1">
      <alignment horizontal="right" vertical="center" wrapText="1"/>
    </xf>
    <xf numFmtId="165" fontId="105" fillId="7" borderId="53" xfId="1" applyNumberFormat="1" applyFont="1" applyFill="1" applyBorder="1" applyAlignment="1" applyProtection="1">
      <alignment horizontal="center" vertical="center" wrapText="1"/>
    </xf>
    <xf numFmtId="14" fontId="106" fillId="7" borderId="53" xfId="1" applyNumberFormat="1" applyFont="1" applyFill="1" applyBorder="1" applyAlignment="1" applyProtection="1">
      <alignment horizontal="center" vertical="center" wrapText="1"/>
    </xf>
    <xf numFmtId="3" fontId="105" fillId="7" borderId="28" xfId="1" applyNumberFormat="1" applyFont="1" applyFill="1" applyBorder="1" applyAlignment="1" applyProtection="1">
      <alignment vertical="center" wrapText="1"/>
    </xf>
    <xf numFmtId="165" fontId="105" fillId="30" borderId="53" xfId="1" applyNumberFormat="1" applyFont="1" applyFill="1" applyBorder="1" applyAlignment="1" applyProtection="1">
      <alignment horizontal="center" vertical="center" wrapText="1"/>
    </xf>
    <xf numFmtId="3" fontId="105" fillId="30" borderId="28" xfId="1" applyNumberFormat="1" applyFont="1" applyFill="1" applyBorder="1" applyAlignment="1" applyProtection="1">
      <alignment vertical="center" wrapText="1"/>
    </xf>
    <xf numFmtId="0" fontId="105" fillId="30" borderId="0" xfId="1" applyFont="1" applyFill="1" applyAlignment="1" applyProtection="1">
      <alignment horizontal="center" vertical="center"/>
    </xf>
    <xf numFmtId="165" fontId="98" fillId="30" borderId="34" xfId="1" applyNumberFormat="1" applyFont="1" applyFill="1" applyBorder="1" applyAlignment="1" applyProtection="1">
      <alignment horizontal="center" vertical="center" wrapText="1"/>
    </xf>
    <xf numFmtId="3" fontId="98" fillId="30" borderId="34" xfId="1" applyNumberFormat="1" applyFont="1" applyFill="1" applyBorder="1" applyAlignment="1" applyProtection="1">
      <alignment horizontal="right" vertical="center" wrapText="1"/>
    </xf>
    <xf numFmtId="3" fontId="98" fillId="7" borderId="34" xfId="1" applyNumberFormat="1" applyFont="1" applyFill="1" applyBorder="1" applyAlignment="1" applyProtection="1">
      <alignment horizontal="right" vertical="center" wrapText="1"/>
    </xf>
    <xf numFmtId="4" fontId="112" fillId="0" borderId="28" xfId="0" applyNumberFormat="1" applyFont="1" applyBorder="1">
      <alignment vertical="center"/>
    </xf>
    <xf numFmtId="4" fontId="83" fillId="10" borderId="0" xfId="0" applyNumberFormat="1" applyFont="1" applyFill="1" applyAlignment="1">
      <alignment horizontal="right" vertical="center"/>
    </xf>
    <xf numFmtId="4" fontId="84" fillId="0" borderId="28" xfId="0" applyNumberFormat="1" applyFont="1" applyBorder="1" applyAlignment="1">
      <alignment horizontal="right" vertical="center"/>
    </xf>
    <xf numFmtId="4" fontId="109" fillId="0" borderId="28" xfId="0" applyNumberFormat="1" applyFont="1" applyBorder="1" applyAlignment="1">
      <alignment horizontal="right" vertical="center"/>
    </xf>
    <xf numFmtId="0" fontId="83" fillId="0" borderId="28" xfId="0" applyFont="1" applyBorder="1" applyAlignment="1">
      <alignment horizontal="right" vertical="center"/>
    </xf>
    <xf numFmtId="164" fontId="84" fillId="31" borderId="28" xfId="0" applyNumberFormat="1" applyFont="1" applyFill="1" applyBorder="1" applyAlignment="1">
      <alignment horizontal="right" vertical="center"/>
    </xf>
    <xf numFmtId="0" fontId="115" fillId="0" borderId="0" xfId="0" applyFont="1">
      <alignment vertical="center"/>
    </xf>
    <xf numFmtId="0" fontId="116" fillId="0" borderId="0" xfId="0" applyFont="1">
      <alignment vertical="center"/>
    </xf>
    <xf numFmtId="0" fontId="117" fillId="0" borderId="28" xfId="0" applyFont="1" applyBorder="1" applyAlignment="1">
      <alignment horizontal="center" vertical="center"/>
    </xf>
    <xf numFmtId="0" fontId="115" fillId="0" borderId="28" xfId="0" applyFont="1" applyBorder="1">
      <alignment vertical="center"/>
    </xf>
    <xf numFmtId="14" fontId="115" fillId="0" borderId="28" xfId="0" applyNumberFormat="1" applyFont="1" applyBorder="1">
      <alignment vertical="center"/>
    </xf>
    <xf numFmtId="0" fontId="115" fillId="0" borderId="28" xfId="0" applyFont="1" applyBorder="1" applyAlignment="1">
      <alignment horizontal="center" vertical="center"/>
    </xf>
    <xf numFmtId="164" fontId="115" fillId="0" borderId="28" xfId="0" applyNumberFormat="1" applyFont="1" applyBorder="1" applyAlignment="1">
      <alignment horizontal="right" vertical="center"/>
    </xf>
    <xf numFmtId="3" fontId="117" fillId="0" borderId="28" xfId="0" applyNumberFormat="1" applyFont="1" applyBorder="1">
      <alignment vertical="center"/>
    </xf>
    <xf numFmtId="168" fontId="115" fillId="0" borderId="28" xfId="0" applyNumberFormat="1" applyFont="1" applyBorder="1" applyAlignment="1">
      <alignment horizontal="center" vertical="center"/>
    </xf>
    <xf numFmtId="169" fontId="115" fillId="0" borderId="28" xfId="0" applyNumberFormat="1" applyFont="1" applyBorder="1" applyAlignment="1">
      <alignment horizontal="right" vertical="center"/>
    </xf>
    <xf numFmtId="169" fontId="117" fillId="0" borderId="28" xfId="0" applyNumberFormat="1" applyFont="1" applyBorder="1" applyAlignment="1">
      <alignment horizontal="right" vertical="center"/>
    </xf>
    <xf numFmtId="165" fontId="105" fillId="30" borderId="28" xfId="1" applyNumberFormat="1" applyFont="1" applyFill="1" applyBorder="1" applyAlignment="1" applyProtection="1">
      <alignment horizontal="center" vertical="center" wrapText="1"/>
    </xf>
    <xf numFmtId="3" fontId="98" fillId="30" borderId="28" xfId="1" applyNumberFormat="1" applyFont="1" applyFill="1" applyBorder="1" applyAlignment="1" applyProtection="1">
      <alignment horizontal="right" vertical="center" wrapText="1"/>
    </xf>
    <xf numFmtId="14" fontId="106" fillId="30" borderId="49" xfId="1" applyNumberFormat="1" applyFont="1" applyFill="1" applyBorder="1" applyAlignment="1" applyProtection="1">
      <alignment horizontal="center" vertical="center" wrapText="1"/>
    </xf>
    <xf numFmtId="14" fontId="106" fillId="32" borderId="53" xfId="1" applyNumberFormat="1" applyFont="1" applyFill="1" applyBorder="1" applyAlignment="1" applyProtection="1">
      <alignment horizontal="center" vertical="center" wrapText="1"/>
    </xf>
    <xf numFmtId="3" fontId="105" fillId="32" borderId="28" xfId="1" applyNumberFormat="1" applyFont="1" applyFill="1" applyBorder="1" applyAlignment="1" applyProtection="1">
      <alignment vertical="center" wrapText="1"/>
    </xf>
    <xf numFmtId="165" fontId="105" fillId="32" borderId="53" xfId="1" applyNumberFormat="1" applyFont="1" applyFill="1" applyBorder="1" applyAlignment="1" applyProtection="1">
      <alignment horizontal="center" vertical="center" wrapText="1"/>
    </xf>
    <xf numFmtId="3" fontId="97" fillId="32" borderId="34" xfId="1" applyNumberFormat="1" applyFont="1" applyFill="1" applyBorder="1" applyAlignment="1" applyProtection="1">
      <alignment horizontal="right" vertical="center" wrapText="1"/>
    </xf>
    <xf numFmtId="165" fontId="105" fillId="7" borderId="28" xfId="1" applyNumberFormat="1" applyFont="1" applyFill="1" applyBorder="1" applyAlignment="1" applyProtection="1">
      <alignment horizontal="center" vertical="center" wrapText="1"/>
    </xf>
    <xf numFmtId="165" fontId="105" fillId="30" borderId="34" xfId="1" applyNumberFormat="1" applyFont="1" applyFill="1" applyBorder="1" applyAlignment="1" applyProtection="1">
      <alignment horizontal="center" vertical="center" wrapText="1"/>
    </xf>
    <xf numFmtId="165" fontId="98" fillId="30" borderId="28" xfId="1" applyNumberFormat="1" applyFont="1" applyFill="1" applyBorder="1" applyAlignment="1" applyProtection="1">
      <alignment horizontal="center" vertical="center" wrapText="1"/>
    </xf>
    <xf numFmtId="14" fontId="113" fillId="30" borderId="32" xfId="1" applyNumberFormat="1" applyFont="1" applyFill="1" applyBorder="1" applyAlignment="1" applyProtection="1">
      <alignment horizontal="center" vertical="center" wrapText="1"/>
    </xf>
    <xf numFmtId="0" fontId="84" fillId="30" borderId="28" xfId="0" applyFont="1" applyFill="1" applyBorder="1" applyAlignment="1">
      <alignment horizontal="center" vertical="center"/>
    </xf>
    <xf numFmtId="14" fontId="106" fillId="30" borderId="32" xfId="1" applyNumberFormat="1" applyFont="1" applyFill="1" applyBorder="1" applyAlignment="1" applyProtection="1">
      <alignment horizontal="center" vertical="center" wrapText="1"/>
    </xf>
    <xf numFmtId="0" fontId="1" fillId="30" borderId="0" xfId="1" applyFill="1" applyProtection="1"/>
    <xf numFmtId="164" fontId="98" fillId="30" borderId="28" xfId="1" applyNumberFormat="1" applyFont="1" applyFill="1" applyBorder="1" applyAlignment="1" applyProtection="1">
      <alignment vertical="center" wrapText="1"/>
    </xf>
    <xf numFmtId="14" fontId="115" fillId="0" borderId="56" xfId="0" applyNumberFormat="1" applyFont="1" applyBorder="1">
      <alignment vertical="center"/>
    </xf>
    <xf numFmtId="0" fontId="109" fillId="0" borderId="28" xfId="0" applyFont="1" applyBorder="1" applyAlignment="1">
      <alignment horizontal="center" vertical="center"/>
    </xf>
    <xf numFmtId="0" fontId="87" fillId="0" borderId="28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165" fontId="105" fillId="30" borderId="32" xfId="1" applyNumberFormat="1" applyFont="1" applyFill="1" applyBorder="1" applyAlignment="1" applyProtection="1">
      <alignment horizontal="center" vertical="center" wrapText="1"/>
    </xf>
    <xf numFmtId="164" fontId="105" fillId="30" borderId="32" xfId="1" applyNumberFormat="1" applyFont="1" applyFill="1" applyBorder="1" applyAlignment="1" applyProtection="1">
      <alignment horizontal="center" vertical="center" wrapText="1"/>
    </xf>
    <xf numFmtId="164" fontId="106" fillId="30" borderId="32" xfId="1" applyNumberFormat="1" applyFont="1" applyFill="1" applyBorder="1" applyAlignment="1" applyProtection="1">
      <alignment horizontal="center" vertical="center" wrapText="1"/>
    </xf>
    <xf numFmtId="164" fontId="105" fillId="30" borderId="32" xfId="1" quotePrefix="1" applyNumberFormat="1" applyFont="1" applyFill="1" applyBorder="1" applyAlignment="1" applyProtection="1">
      <alignment horizontal="center" vertical="center" wrapText="1"/>
    </xf>
    <xf numFmtId="164" fontId="98" fillId="30" borderId="32" xfId="1" applyNumberFormat="1" applyFont="1" applyFill="1" applyBorder="1" applyAlignment="1" applyProtection="1">
      <alignment horizontal="center" vertical="center" wrapText="1"/>
    </xf>
    <xf numFmtId="3" fontId="105" fillId="30" borderId="32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108" fillId="0" borderId="28" xfId="0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28" xfId="0" applyFont="1" applyBorder="1" applyAlignment="1">
      <alignment horizontal="center" vertical="center"/>
    </xf>
    <xf numFmtId="0" fontId="124" fillId="25" borderId="28" xfId="0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 wrapText="1"/>
    </xf>
    <xf numFmtId="0" fontId="125" fillId="0" borderId="0" xfId="0" applyFont="1" applyAlignment="1">
      <alignment vertical="center" wrapText="1"/>
    </xf>
    <xf numFmtId="0" fontId="87" fillId="0" borderId="37" xfId="0" applyFont="1" applyBorder="1" applyAlignment="1">
      <alignment horizontal="center" vertical="center"/>
    </xf>
    <xf numFmtId="0" fontId="87" fillId="0" borderId="56" xfId="0" applyFont="1" applyBorder="1" applyAlignment="1">
      <alignment horizontal="center" vertical="center"/>
    </xf>
    <xf numFmtId="3" fontId="87" fillId="0" borderId="38" xfId="0" applyNumberFormat="1" applyFont="1" applyBorder="1" applyAlignment="1">
      <alignment horizontal="center" vertical="center"/>
    </xf>
    <xf numFmtId="14" fontId="91" fillId="0" borderId="28" xfId="0" applyNumberFormat="1" applyFont="1" applyBorder="1" applyAlignment="1">
      <alignment horizontal="center" vertical="center"/>
    </xf>
    <xf numFmtId="3" fontId="91" fillId="0" borderId="28" xfId="0" applyNumberFormat="1" applyFont="1" applyBorder="1" applyAlignment="1">
      <alignment horizontal="right" vertical="center"/>
    </xf>
    <xf numFmtId="3" fontId="87" fillId="0" borderId="28" xfId="0" applyNumberFormat="1" applyFont="1" applyBorder="1" applyAlignment="1">
      <alignment horizontal="right" vertical="center"/>
    </xf>
    <xf numFmtId="14" fontId="108" fillId="0" borderId="28" xfId="0" applyNumberFormat="1" applyFont="1" applyBorder="1">
      <alignment vertical="center"/>
    </xf>
    <xf numFmtId="0" fontId="108" fillId="0" borderId="28" xfId="0" applyFont="1" applyBorder="1" applyAlignment="1">
      <alignment vertical="center" wrapText="1"/>
    </xf>
    <xf numFmtId="0" fontId="83" fillId="0" borderId="28" xfId="0" applyFont="1" applyBorder="1" applyAlignment="1">
      <alignment horizontal="center" vertical="center" wrapText="1"/>
    </xf>
    <xf numFmtId="0" fontId="108" fillId="0" borderId="28" xfId="0" applyFont="1" applyBorder="1" applyAlignment="1">
      <alignment horizontal="center" vertical="center" wrapText="1"/>
    </xf>
    <xf numFmtId="14" fontId="108" fillId="0" borderId="28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20" fillId="0" borderId="0" xfId="0" applyFont="1" applyAlignment="1">
      <alignment horizontal="center" vertical="center" wrapText="1"/>
    </xf>
    <xf numFmtId="0" fontId="120" fillId="0" borderId="0" xfId="0" applyFont="1">
      <alignment vertical="center"/>
    </xf>
    <xf numFmtId="0" fontId="88" fillId="0" borderId="0" xfId="0" applyFont="1">
      <alignment vertical="center"/>
    </xf>
    <xf numFmtId="0" fontId="109" fillId="0" borderId="0" xfId="0" applyFont="1">
      <alignment vertical="center"/>
    </xf>
    <xf numFmtId="0" fontId="87" fillId="0" borderId="28" xfId="0" applyFont="1" applyBorder="1" applyAlignment="1">
      <alignment horizontal="center" vertical="center" wrapText="1"/>
    </xf>
    <xf numFmtId="0" fontId="91" fillId="0" borderId="28" xfId="0" applyFont="1" applyBorder="1" applyAlignment="1">
      <alignment horizontal="center" vertical="center" wrapText="1"/>
    </xf>
    <xf numFmtId="0" fontId="91" fillId="0" borderId="28" xfId="0" applyFont="1" applyBorder="1" applyAlignment="1">
      <alignment horizontal="left" vertical="center" wrapText="1"/>
    </xf>
    <xf numFmtId="3" fontId="91" fillId="0" borderId="28" xfId="0" applyNumberFormat="1" applyFont="1" applyBorder="1" applyAlignment="1">
      <alignment horizontal="right" vertical="center" wrapText="1"/>
    </xf>
    <xf numFmtId="0" fontId="87" fillId="0" borderId="0" xfId="0" applyFont="1" applyAlignment="1">
      <alignment horizontal="left" vertical="center"/>
    </xf>
    <xf numFmtId="3" fontId="124" fillId="6" borderId="28" xfId="0" applyNumberFormat="1" applyFont="1" applyFill="1" applyBorder="1" applyAlignment="1">
      <alignment horizontal="right" vertical="center" wrapText="1"/>
    </xf>
    <xf numFmtId="0" fontId="124" fillId="6" borderId="28" xfId="0" applyFont="1" applyFill="1" applyBorder="1" applyAlignment="1">
      <alignment horizontal="center" vertical="center" wrapText="1"/>
    </xf>
    <xf numFmtId="14" fontId="106" fillId="30" borderId="28" xfId="1" applyNumberFormat="1" applyFont="1" applyFill="1" applyBorder="1" applyAlignment="1" applyProtection="1">
      <alignment vertical="center" wrapText="1"/>
    </xf>
    <xf numFmtId="14" fontId="106" fillId="0" borderId="32" xfId="1" applyNumberFormat="1" applyFont="1" applyBorder="1" applyAlignment="1" applyProtection="1">
      <alignment horizontal="center" vertical="center" wrapText="1"/>
    </xf>
    <xf numFmtId="165" fontId="105" fillId="0" borderId="34" xfId="1" applyNumberFormat="1" applyFont="1" applyBorder="1" applyAlignment="1" applyProtection="1">
      <alignment horizontal="center" vertical="center" wrapText="1"/>
    </xf>
    <xf numFmtId="165" fontId="105" fillId="7" borderId="34" xfId="1" applyNumberFormat="1" applyFont="1" applyFill="1" applyBorder="1" applyAlignment="1" applyProtection="1">
      <alignment horizontal="center" vertical="center" wrapText="1"/>
    </xf>
    <xf numFmtId="14" fontId="106" fillId="7" borderId="32" xfId="1" applyNumberFormat="1" applyFont="1" applyFill="1" applyBorder="1" applyAlignment="1" applyProtection="1">
      <alignment horizontal="center" vertical="center" wrapText="1"/>
    </xf>
    <xf numFmtId="14" fontId="106" fillId="0" borderId="49" xfId="1" applyNumberFormat="1" applyFont="1" applyBorder="1" applyAlignment="1" applyProtection="1">
      <alignment horizontal="center" vertical="center" wrapText="1"/>
    </xf>
    <xf numFmtId="3" fontId="98" fillId="0" borderId="34" xfId="1" applyNumberFormat="1" applyFont="1" applyBorder="1" applyAlignment="1" applyProtection="1">
      <alignment horizontal="right" vertical="center" wrapText="1"/>
    </xf>
    <xf numFmtId="165" fontId="105" fillId="0" borderId="28" xfId="1" applyNumberFormat="1" applyFont="1" applyBorder="1" applyAlignment="1" applyProtection="1">
      <alignment horizontal="center" vertical="center" wrapText="1"/>
    </xf>
    <xf numFmtId="0" fontId="99" fillId="25" borderId="0" xfId="1" applyFont="1" applyFill="1" applyProtection="1"/>
    <xf numFmtId="0" fontId="103" fillId="33" borderId="0" xfId="1" applyFont="1" applyFill="1" applyProtection="1"/>
    <xf numFmtId="0" fontId="103" fillId="33" borderId="0" xfId="1" applyFont="1" applyFill="1" applyAlignment="1" applyProtection="1">
      <alignment horizontal="right"/>
    </xf>
    <xf numFmtId="0" fontId="103" fillId="33" borderId="0" xfId="1" applyFont="1" applyFill="1" applyAlignment="1" applyProtection="1">
      <alignment horizontal="center" vertical="center"/>
    </xf>
    <xf numFmtId="0" fontId="104" fillId="33" borderId="0" xfId="1" applyFont="1" applyFill="1" applyProtection="1"/>
    <xf numFmtId="14" fontId="106" fillId="7" borderId="49" xfId="1" applyNumberFormat="1" applyFont="1" applyFill="1" applyBorder="1" applyAlignment="1" applyProtection="1">
      <alignment horizontal="center" vertical="center" wrapText="1"/>
    </xf>
    <xf numFmtId="165" fontId="105" fillId="32" borderId="34" xfId="1" applyNumberFormat="1" applyFont="1" applyFill="1" applyBorder="1" applyAlignment="1" applyProtection="1">
      <alignment horizontal="center" vertical="center" wrapText="1"/>
    </xf>
    <xf numFmtId="0" fontId="1" fillId="32" borderId="0" xfId="1" applyFill="1" applyProtection="1"/>
    <xf numFmtId="0" fontId="5" fillId="9" borderId="11" xfId="1" applyFont="1" applyFill="1" applyBorder="1" applyAlignment="1" applyProtection="1">
      <alignment horizontal="center" vertical="center" wrapText="1"/>
    </xf>
    <xf numFmtId="0" fontId="5" fillId="9" borderId="26" xfId="1" applyFont="1" applyFill="1" applyBorder="1" applyAlignment="1" applyProtection="1">
      <alignment horizontal="center" vertical="center" wrapText="1"/>
    </xf>
    <xf numFmtId="0" fontId="5" fillId="0" borderId="28" xfId="1" quotePrefix="1" applyFont="1" applyBorder="1" applyAlignment="1" applyProtection="1">
      <alignment horizontal="center" vertical="center" wrapText="1"/>
    </xf>
    <xf numFmtId="0" fontId="5" fillId="0" borderId="28" xfId="1" applyFont="1" applyBorder="1" applyAlignment="1" applyProtection="1">
      <alignment horizontal="center" vertical="center" wrapText="1"/>
    </xf>
    <xf numFmtId="0" fontId="5" fillId="0" borderId="9" xfId="1" applyFont="1" applyBorder="1" applyAlignment="1" applyProtection="1">
      <alignment horizontal="center" vertical="center" wrapText="1"/>
    </xf>
    <xf numFmtId="0" fontId="5" fillId="0" borderId="11" xfId="1" applyFont="1" applyBorder="1" applyAlignment="1" applyProtection="1">
      <alignment horizontal="center" vertical="center" wrapText="1"/>
    </xf>
    <xf numFmtId="0" fontId="3" fillId="0" borderId="10" xfId="1" applyFont="1" applyBorder="1" applyProtection="1"/>
    <xf numFmtId="0" fontId="5" fillId="0" borderId="9" xfId="1" quotePrefix="1" applyFont="1" applyBorder="1" applyAlignment="1" applyProtection="1">
      <alignment horizontal="center" vertical="center" wrapText="1"/>
    </xf>
    <xf numFmtId="0" fontId="5" fillId="9" borderId="28" xfId="1" applyFont="1" applyFill="1" applyBorder="1" applyAlignment="1" applyProtection="1">
      <alignment horizontal="center" vertical="center" wrapText="1"/>
    </xf>
    <xf numFmtId="0" fontId="5" fillId="0" borderId="26" xfId="1" applyFont="1" applyBorder="1" applyAlignment="1" applyProtection="1">
      <alignment horizontal="center" vertical="center" wrapText="1"/>
    </xf>
    <xf numFmtId="14" fontId="5" fillId="0" borderId="28" xfId="1" applyNumberFormat="1" applyFont="1" applyBorder="1" applyAlignment="1" applyProtection="1">
      <alignment horizontal="center" vertical="center" wrapText="1"/>
    </xf>
    <xf numFmtId="0" fontId="13" fillId="0" borderId="10" xfId="1" applyFont="1" applyBorder="1" applyProtection="1"/>
    <xf numFmtId="0" fontId="20" fillId="0" borderId="9" xfId="1" applyFont="1" applyBorder="1" applyAlignment="1" applyProtection="1">
      <alignment horizontal="center" vertical="center" wrapText="1"/>
    </xf>
    <xf numFmtId="14" fontId="5" fillId="0" borderId="9" xfId="1" applyNumberFormat="1" applyFont="1" applyBorder="1" applyAlignment="1" applyProtection="1">
      <alignment horizontal="center" vertical="center" wrapText="1"/>
    </xf>
    <xf numFmtId="14" fontId="5" fillId="0" borderId="26" xfId="1" applyNumberFormat="1" applyFont="1" applyBorder="1" applyAlignment="1" applyProtection="1">
      <alignment horizontal="center" vertical="center" wrapText="1"/>
    </xf>
    <xf numFmtId="0" fontId="23" fillId="2" borderId="18" xfId="1" applyFont="1" applyFill="1" applyBorder="1" applyAlignment="1" applyProtection="1">
      <alignment horizontal="center" vertical="center" wrapText="1"/>
    </xf>
    <xf numFmtId="0" fontId="24" fillId="0" borderId="18" xfId="1" applyFont="1" applyBorder="1" applyProtection="1"/>
    <xf numFmtId="14" fontId="5" fillId="0" borderId="20" xfId="1" applyNumberFormat="1" applyFont="1" applyBorder="1" applyAlignment="1" applyProtection="1">
      <alignment horizontal="center" vertical="center" wrapText="1"/>
    </xf>
    <xf numFmtId="0" fontId="13" fillId="0" borderId="21" xfId="1" applyFont="1" applyBorder="1" applyAlignment="1" applyProtection="1">
      <alignment wrapText="1"/>
    </xf>
    <xf numFmtId="0" fontId="13" fillId="0" borderId="22" xfId="1" applyFont="1" applyBorder="1" applyAlignment="1" applyProtection="1">
      <alignment wrapText="1"/>
    </xf>
    <xf numFmtId="0" fontId="5" fillId="7" borderId="11" xfId="1" applyFont="1" applyFill="1" applyBorder="1" applyAlignment="1" applyProtection="1">
      <alignment horizontal="center" vertical="center" wrapText="1"/>
    </xf>
    <xf numFmtId="0" fontId="5" fillId="7" borderId="26" xfId="1" applyFont="1" applyFill="1" applyBorder="1" applyAlignment="1" applyProtection="1">
      <alignment horizontal="center" vertical="center" wrapText="1"/>
    </xf>
    <xf numFmtId="0" fontId="5" fillId="0" borderId="32" xfId="1" applyFont="1" applyBorder="1" applyAlignment="1" applyProtection="1">
      <alignment horizontal="center" vertical="center" wrapText="1"/>
    </xf>
    <xf numFmtId="0" fontId="5" fillId="0" borderId="36" xfId="1" applyFont="1" applyBorder="1" applyAlignment="1" applyProtection="1">
      <alignment horizontal="center" vertical="center" wrapText="1"/>
    </xf>
    <xf numFmtId="0" fontId="6" fillId="5" borderId="6" xfId="1" applyFont="1" applyFill="1" applyBorder="1" applyAlignment="1" applyProtection="1">
      <alignment horizontal="left" vertical="center" wrapText="1"/>
    </xf>
    <xf numFmtId="0" fontId="13" fillId="0" borderId="6" xfId="1" applyFont="1" applyBorder="1" applyProtection="1"/>
    <xf numFmtId="0" fontId="13" fillId="0" borderId="7" xfId="1" applyFont="1" applyBorder="1" applyProtection="1"/>
    <xf numFmtId="14" fontId="5" fillId="0" borderId="32" xfId="1" applyNumberFormat="1" applyFont="1" applyBorder="1" applyAlignment="1" applyProtection="1">
      <alignment horizontal="center" vertical="center" wrapText="1"/>
    </xf>
    <xf numFmtId="14" fontId="5" fillId="0" borderId="36" xfId="1" applyNumberFormat="1" applyFont="1" applyBorder="1" applyAlignment="1" applyProtection="1">
      <alignment horizontal="center" vertical="center" wrapText="1"/>
    </xf>
    <xf numFmtId="14" fontId="5" fillId="0" borderId="34" xfId="1" applyNumberFormat="1" applyFont="1" applyBorder="1" applyAlignment="1" applyProtection="1">
      <alignment horizontal="center" vertical="center" wrapText="1"/>
    </xf>
    <xf numFmtId="14" fontId="5" fillId="0" borderId="11" xfId="1" applyNumberFormat="1" applyFont="1" applyBorder="1" applyAlignment="1" applyProtection="1">
      <alignment horizontal="center" vertical="center" wrapText="1"/>
    </xf>
    <xf numFmtId="3" fontId="5" fillId="0" borderId="28" xfId="1" applyNumberFormat="1" applyFont="1" applyBorder="1" applyAlignment="1" applyProtection="1">
      <alignment horizontal="center" vertical="center" wrapText="1"/>
    </xf>
    <xf numFmtId="3" fontId="5" fillId="0" borderId="9" xfId="1" applyNumberFormat="1" applyFont="1" applyBorder="1" applyAlignment="1" applyProtection="1">
      <alignment horizontal="center" vertical="center" wrapText="1"/>
    </xf>
    <xf numFmtId="3" fontId="5" fillId="0" borderId="10" xfId="1" applyNumberFormat="1" applyFont="1" applyBorder="1" applyAlignment="1" applyProtection="1">
      <alignment horizontal="center" vertical="center" wrapText="1"/>
    </xf>
    <xf numFmtId="0" fontId="3" fillId="0" borderId="6" xfId="1" applyFont="1" applyBorder="1" applyProtection="1"/>
    <xf numFmtId="0" fontId="3" fillId="0" borderId="7" xfId="1" applyFont="1" applyBorder="1" applyProtection="1"/>
    <xf numFmtId="0" fontId="5" fillId="0" borderId="11" xfId="1" quotePrefix="1" applyFont="1" applyBorder="1" applyAlignment="1" applyProtection="1">
      <alignment horizontal="center" vertical="center" wrapText="1"/>
    </xf>
    <xf numFmtId="164" fontId="5" fillId="7" borderId="28" xfId="1" applyNumberFormat="1" applyFont="1" applyFill="1" applyBorder="1" applyAlignment="1" applyProtection="1">
      <alignment horizontal="center" vertical="center" wrapText="1"/>
    </xf>
    <xf numFmtId="164" fontId="5" fillId="7" borderId="32" xfId="1" applyNumberFormat="1" applyFont="1" applyFill="1" applyBorder="1" applyAlignment="1" applyProtection="1">
      <alignment horizontal="center" vertical="center" wrapText="1"/>
    </xf>
    <xf numFmtId="164" fontId="5" fillId="0" borderId="28" xfId="1" applyNumberFormat="1" applyFont="1" applyBorder="1" applyAlignment="1" applyProtection="1">
      <alignment horizontal="center" vertical="center" wrapText="1"/>
    </xf>
    <xf numFmtId="164" fontId="3" fillId="7" borderId="28" xfId="0" applyNumberFormat="1" applyFont="1" applyFill="1" applyBorder="1" applyAlignment="1">
      <alignment horizontal="center" vertical="center"/>
    </xf>
    <xf numFmtId="164" fontId="3" fillId="7" borderId="32" xfId="0" applyNumberFormat="1" applyFont="1" applyFill="1" applyBorder="1" applyAlignment="1">
      <alignment horizontal="center" vertical="center"/>
    </xf>
    <xf numFmtId="164" fontId="25" fillId="0" borderId="28" xfId="1" applyNumberFormat="1" applyFont="1" applyBorder="1" applyAlignment="1" applyProtection="1">
      <alignment horizontal="center" vertical="center" wrapText="1"/>
    </xf>
    <xf numFmtId="164" fontId="25" fillId="0" borderId="28" xfId="1" applyNumberFormat="1" applyFont="1" applyBorder="1" applyAlignment="1" applyProtection="1">
      <alignment horizontal="center" vertical="center"/>
    </xf>
    <xf numFmtId="164" fontId="25" fillId="7" borderId="28" xfId="1" applyNumberFormat="1" applyFont="1" applyFill="1" applyBorder="1" applyAlignment="1" applyProtection="1">
      <alignment horizontal="center" vertical="center" wrapText="1"/>
    </xf>
    <xf numFmtId="164" fontId="6" fillId="5" borderId="0" xfId="1" applyNumberFormat="1" applyFont="1" applyFill="1" applyAlignment="1" applyProtection="1">
      <alignment horizontal="left" vertical="center" wrapText="1"/>
    </xf>
    <xf numFmtId="165" fontId="5" fillId="0" borderId="28" xfId="1" applyNumberFormat="1" applyFont="1" applyBorder="1" applyAlignment="1" applyProtection="1">
      <alignment horizontal="center" vertical="center" wrapText="1"/>
    </xf>
    <xf numFmtId="165" fontId="5" fillId="7" borderId="28" xfId="1" applyNumberFormat="1" applyFont="1" applyFill="1" applyBorder="1" applyAlignment="1" applyProtection="1">
      <alignment horizontal="center" vertical="center" wrapText="1"/>
    </xf>
    <xf numFmtId="164" fontId="25" fillId="0" borderId="38" xfId="1" applyNumberFormat="1" applyFont="1" applyBorder="1" applyAlignment="1" applyProtection="1">
      <alignment horizontal="center" vertical="center" wrapText="1"/>
    </xf>
    <xf numFmtId="164" fontId="5" fillId="0" borderId="37" xfId="1" applyNumberFormat="1" applyFont="1" applyBorder="1" applyAlignment="1" applyProtection="1">
      <alignment horizontal="center" vertical="center" wrapText="1"/>
    </xf>
    <xf numFmtId="164" fontId="5" fillId="0" borderId="20" xfId="1" applyNumberFormat="1" applyFont="1" applyBorder="1" applyAlignment="1" applyProtection="1">
      <alignment horizontal="center" vertical="center" wrapText="1"/>
    </xf>
    <xf numFmtId="164" fontId="13" fillId="0" borderId="21" xfId="1" applyNumberFormat="1" applyFont="1" applyBorder="1" applyAlignment="1" applyProtection="1">
      <alignment wrapText="1"/>
    </xf>
    <xf numFmtId="164" fontId="13" fillId="0" borderId="22" xfId="1" applyNumberFormat="1" applyFont="1" applyBorder="1" applyAlignment="1" applyProtection="1">
      <alignment wrapText="1"/>
    </xf>
    <xf numFmtId="164" fontId="5" fillId="7" borderId="28" xfId="1" quotePrefix="1" applyNumberFormat="1" applyFont="1" applyFill="1" applyBorder="1" applyAlignment="1" applyProtection="1">
      <alignment horizontal="center" vertical="center" wrapText="1"/>
    </xf>
    <xf numFmtId="14" fontId="5" fillId="0" borderId="46" xfId="1" applyNumberFormat="1" applyFont="1" applyBorder="1" applyAlignment="1" applyProtection="1">
      <alignment horizontal="center" vertical="center" wrapText="1"/>
    </xf>
    <xf numFmtId="14" fontId="5" fillId="7" borderId="28" xfId="1" applyNumberFormat="1" applyFont="1" applyFill="1" applyBorder="1" applyAlignment="1" applyProtection="1">
      <alignment horizontal="center" vertical="center" wrapText="1"/>
    </xf>
    <xf numFmtId="14" fontId="5" fillId="0" borderId="10" xfId="1" applyNumberFormat="1" applyFont="1" applyBorder="1" applyAlignment="1" applyProtection="1">
      <alignment horizontal="center" vertical="center" wrapText="1"/>
    </xf>
    <xf numFmtId="3" fontId="5" fillId="0" borderId="32" xfId="1" applyNumberFormat="1" applyFont="1" applyBorder="1" applyAlignment="1" applyProtection="1">
      <alignment horizontal="center" vertical="center" wrapText="1"/>
    </xf>
    <xf numFmtId="3" fontId="5" fillId="0" borderId="36" xfId="1" applyNumberFormat="1" applyFont="1" applyBorder="1" applyAlignment="1" applyProtection="1">
      <alignment horizontal="center" vertical="center" wrapText="1"/>
    </xf>
    <xf numFmtId="3" fontId="5" fillId="0" borderId="34" xfId="1" applyNumberFormat="1" applyFont="1" applyBorder="1" applyAlignment="1" applyProtection="1">
      <alignment horizontal="center" vertical="center" wrapText="1"/>
    </xf>
    <xf numFmtId="3" fontId="5" fillId="0" borderId="29" xfId="1" applyNumberFormat="1" applyFont="1" applyBorder="1" applyAlignment="1" applyProtection="1">
      <alignment horizontal="center" vertical="center" wrapText="1"/>
    </xf>
    <xf numFmtId="3" fontId="5" fillId="0" borderId="26" xfId="1" applyNumberFormat="1" applyFont="1" applyBorder="1" applyAlignment="1" applyProtection="1">
      <alignment horizontal="center" vertical="center" wrapText="1"/>
    </xf>
    <xf numFmtId="3" fontId="5" fillId="0" borderId="11" xfId="1" applyNumberFormat="1" applyFont="1" applyBorder="1" applyAlignment="1" applyProtection="1">
      <alignment horizontal="center" vertical="center" wrapText="1"/>
    </xf>
    <xf numFmtId="14" fontId="5" fillId="0" borderId="16" xfId="1" applyNumberFormat="1" applyFont="1" applyBorder="1" applyAlignment="1" applyProtection="1">
      <alignment horizontal="center" vertical="center" wrapText="1"/>
    </xf>
    <xf numFmtId="14" fontId="5" fillId="0" borderId="19" xfId="1" applyNumberFormat="1" applyFont="1" applyBorder="1" applyAlignment="1" applyProtection="1">
      <alignment horizontal="center" vertical="center" wrapText="1"/>
    </xf>
    <xf numFmtId="14" fontId="5" fillId="0" borderId="17" xfId="1" applyNumberFormat="1" applyFont="1" applyBorder="1" applyAlignment="1" applyProtection="1">
      <alignment horizontal="center" vertical="center" wrapText="1"/>
    </xf>
    <xf numFmtId="14" fontId="5" fillId="0" borderId="29" xfId="1" applyNumberFormat="1" applyFont="1" applyBorder="1" applyAlignment="1" applyProtection="1">
      <alignment horizontal="center" vertical="center" wrapText="1"/>
    </xf>
    <xf numFmtId="0" fontId="6" fillId="5" borderId="0" xfId="1" applyFont="1" applyFill="1" applyAlignment="1" applyProtection="1">
      <alignment horizontal="left" vertical="center" wrapText="1"/>
    </xf>
    <xf numFmtId="0" fontId="13" fillId="0" borderId="0" xfId="1" applyFont="1" applyProtection="1"/>
    <xf numFmtId="0" fontId="13" fillId="0" borderId="24" xfId="1" applyFont="1" applyBorder="1" applyProtection="1"/>
    <xf numFmtId="0" fontId="5" fillId="0" borderId="29" xfId="1" applyFont="1" applyBorder="1" applyAlignment="1" applyProtection="1">
      <alignment horizontal="center" vertical="center" wrapText="1"/>
    </xf>
    <xf numFmtId="0" fontId="5" fillId="0" borderId="37" xfId="1" applyFont="1" applyBorder="1" applyAlignment="1" applyProtection="1">
      <alignment horizontal="center" vertical="center" wrapText="1"/>
    </xf>
    <xf numFmtId="14" fontId="25" fillId="0" borderId="28" xfId="1" applyNumberFormat="1" applyFont="1" applyBorder="1" applyAlignment="1" applyProtection="1">
      <alignment horizontal="center" vertical="center" wrapText="1"/>
    </xf>
    <xf numFmtId="0" fontId="5" fillId="0" borderId="24" xfId="1" applyFont="1" applyBorder="1" applyAlignment="1" applyProtection="1">
      <alignment horizontal="center" vertical="center" wrapText="1"/>
    </xf>
    <xf numFmtId="0" fontId="5" fillId="7" borderId="28" xfId="1" applyFont="1" applyFill="1" applyBorder="1" applyAlignment="1" applyProtection="1">
      <alignment horizontal="center" vertical="center" wrapText="1"/>
    </xf>
    <xf numFmtId="14" fontId="5" fillId="9" borderId="28" xfId="1" applyNumberFormat="1" applyFont="1" applyFill="1" applyBorder="1" applyAlignment="1" applyProtection="1">
      <alignment horizontal="center" vertical="center" wrapText="1"/>
    </xf>
    <xf numFmtId="0" fontId="5" fillId="7" borderId="11" xfId="1" quotePrefix="1" applyFont="1" applyFill="1" applyBorder="1" applyAlignment="1" applyProtection="1">
      <alignment horizontal="center" vertical="center" wrapText="1"/>
    </xf>
    <xf numFmtId="0" fontId="25" fillId="0" borderId="28" xfId="1" applyFont="1" applyBorder="1" applyAlignment="1" applyProtection="1">
      <alignment horizontal="center" vertical="center" wrapText="1"/>
    </xf>
    <xf numFmtId="0" fontId="14" fillId="2" borderId="18" xfId="1" applyFont="1" applyFill="1" applyBorder="1" applyAlignment="1" applyProtection="1">
      <alignment horizontal="center" vertical="center" wrapText="1"/>
    </xf>
    <xf numFmtId="0" fontId="15" fillId="0" borderId="18" xfId="1" applyFont="1" applyBorder="1" applyProtection="1"/>
    <xf numFmtId="0" fontId="3" fillId="0" borderId="21" xfId="1" applyFont="1" applyBorder="1" applyProtection="1"/>
    <xf numFmtId="0" fontId="3" fillId="0" borderId="22" xfId="1" applyFont="1" applyBorder="1" applyProtection="1"/>
    <xf numFmtId="0" fontId="3" fillId="0" borderId="0" xfId="1" applyFont="1" applyProtection="1"/>
    <xf numFmtId="0" fontId="3" fillId="0" borderId="24" xfId="1" applyFont="1" applyBorder="1" applyProtection="1"/>
    <xf numFmtId="0" fontId="5" fillId="0" borderId="12" xfId="1" applyFont="1" applyBorder="1" applyAlignment="1" applyProtection="1">
      <alignment horizontal="center" vertical="center" wrapText="1"/>
    </xf>
    <xf numFmtId="0" fontId="13" fillId="0" borderId="14" xfId="1" applyFont="1" applyBorder="1" applyProtection="1"/>
    <xf numFmtId="0" fontId="5" fillId="0" borderId="13" xfId="1" applyFont="1" applyBorder="1" applyAlignment="1" applyProtection="1">
      <alignment horizontal="center" vertical="center" wrapText="1"/>
    </xf>
    <xf numFmtId="164" fontId="25" fillId="7" borderId="38" xfId="1" applyNumberFormat="1" applyFont="1" applyFill="1" applyBorder="1" applyAlignment="1" applyProtection="1">
      <alignment horizontal="center" vertical="center" wrapText="1"/>
    </xf>
    <xf numFmtId="0" fontId="25" fillId="9" borderId="28" xfId="1" applyFont="1" applyFill="1" applyBorder="1" applyAlignment="1" applyProtection="1">
      <alignment horizontal="center" vertical="center" wrapText="1"/>
    </xf>
    <xf numFmtId="14" fontId="5" fillId="7" borderId="11" xfId="1" applyNumberFormat="1" applyFont="1" applyFill="1" applyBorder="1" applyAlignment="1" applyProtection="1">
      <alignment horizontal="center" vertical="center" wrapText="1"/>
    </xf>
    <xf numFmtId="14" fontId="5" fillId="7" borderId="26" xfId="1" applyNumberFormat="1" applyFont="1" applyFill="1" applyBorder="1" applyAlignment="1" applyProtection="1">
      <alignment horizontal="center" vertical="center" wrapText="1"/>
    </xf>
    <xf numFmtId="164" fontId="25" fillId="7" borderId="37" xfId="1" applyNumberFormat="1" applyFont="1" applyFill="1" applyBorder="1" applyAlignment="1" applyProtection="1">
      <alignment horizontal="center" vertical="center" wrapText="1"/>
    </xf>
    <xf numFmtId="165" fontId="5" fillId="7" borderId="32" xfId="1" applyNumberFormat="1" applyFont="1" applyFill="1" applyBorder="1" applyAlignment="1" applyProtection="1">
      <alignment horizontal="center" vertical="center" wrapText="1"/>
    </xf>
    <xf numFmtId="14" fontId="5" fillId="9" borderId="11" xfId="1" applyNumberFormat="1" applyFont="1" applyFill="1" applyBorder="1" applyAlignment="1" applyProtection="1">
      <alignment horizontal="center" vertical="center" wrapText="1"/>
    </xf>
    <xf numFmtId="14" fontId="5" fillId="9" borderId="26" xfId="1" applyNumberFormat="1" applyFont="1" applyFill="1" applyBorder="1" applyAlignment="1" applyProtection="1">
      <alignment horizontal="center" vertical="center" wrapText="1"/>
    </xf>
    <xf numFmtId="14" fontId="5" fillId="4" borderId="9" xfId="1" applyNumberFormat="1" applyFont="1" applyFill="1" applyBorder="1" applyAlignment="1" applyProtection="1">
      <alignment horizontal="center" vertical="center" wrapText="1"/>
    </xf>
    <xf numFmtId="14" fontId="5" fillId="0" borderId="12" xfId="1" applyNumberFormat="1" applyFont="1" applyBorder="1" applyAlignment="1" applyProtection="1">
      <alignment horizontal="center" vertical="center" wrapText="1"/>
    </xf>
    <xf numFmtId="0" fontId="3" fillId="0" borderId="15" xfId="1" applyFont="1" applyBorder="1" applyProtection="1"/>
    <xf numFmtId="0" fontId="3" fillId="0" borderId="13" xfId="1" applyFont="1" applyBorder="1" applyProtection="1"/>
    <xf numFmtId="0" fontId="3" fillId="0" borderId="14" xfId="1" applyFont="1" applyBorder="1" applyProtection="1"/>
    <xf numFmtId="164" fontId="5" fillId="0" borderId="28" xfId="1" quotePrefix="1" applyNumberFormat="1" applyFont="1" applyBorder="1" applyAlignment="1" applyProtection="1">
      <alignment horizontal="center" vertical="center" wrapText="1"/>
    </xf>
    <xf numFmtId="164" fontId="25" fillId="0" borderId="32" xfId="1" applyNumberFormat="1" applyFont="1" applyBorder="1" applyAlignment="1" applyProtection="1">
      <alignment horizontal="center" vertical="center" wrapText="1"/>
    </xf>
    <xf numFmtId="14" fontId="5" fillId="0" borderId="9" xfId="1" quotePrefix="1" applyNumberFormat="1" applyFont="1" applyBorder="1" applyAlignment="1" applyProtection="1">
      <alignment horizontal="center" vertical="center" wrapText="1"/>
    </xf>
    <xf numFmtId="0" fontId="2" fillId="2" borderId="18" xfId="1" applyFont="1" applyFill="1" applyBorder="1" applyAlignment="1" applyProtection="1">
      <alignment horizontal="center" vertical="center" wrapText="1"/>
    </xf>
    <xf numFmtId="0" fontId="3" fillId="0" borderId="18" xfId="1" applyFont="1" applyBorder="1" applyProtection="1"/>
    <xf numFmtId="0" fontId="7" fillId="0" borderId="0" xfId="1" applyFont="1" applyAlignment="1" applyProtection="1">
      <alignment horizontal="center" vertical="center" wrapText="1"/>
    </xf>
    <xf numFmtId="0" fontId="1" fillId="0" borderId="0" xfId="1" applyProtection="1"/>
    <xf numFmtId="0" fontId="5" fillId="4" borderId="9" xfId="1" applyFont="1" applyFill="1" applyBorder="1" applyAlignment="1" applyProtection="1">
      <alignment horizontal="center" vertical="center" wrapText="1"/>
    </xf>
    <xf numFmtId="0" fontId="25" fillId="0" borderId="28" xfId="1" quotePrefix="1" applyFont="1" applyBorder="1" applyAlignment="1" applyProtection="1">
      <alignment horizontal="center" vertical="center" wrapText="1"/>
    </xf>
    <xf numFmtId="0" fontId="5" fillId="9" borderId="28" xfId="1" quotePrefix="1" applyFont="1" applyFill="1" applyBorder="1" applyAlignment="1" applyProtection="1">
      <alignment horizontal="center" vertical="center" wrapText="1"/>
    </xf>
    <xf numFmtId="3" fontId="5" fillId="7" borderId="11" xfId="1" applyNumberFormat="1" applyFont="1" applyFill="1" applyBorder="1" applyAlignment="1" applyProtection="1">
      <alignment horizontal="center" vertical="center" wrapText="1"/>
    </xf>
    <xf numFmtId="3" fontId="5" fillId="7" borderId="26" xfId="1" applyNumberFormat="1" applyFont="1" applyFill="1" applyBorder="1" applyAlignment="1" applyProtection="1">
      <alignment horizontal="center" vertical="center" wrapText="1"/>
    </xf>
    <xf numFmtId="0" fontId="3" fillId="0" borderId="19" xfId="1" applyFont="1" applyBorder="1" applyProtection="1"/>
    <xf numFmtId="0" fontId="3" fillId="0" borderId="17" xfId="1" applyFont="1" applyBorder="1" applyProtection="1"/>
    <xf numFmtId="14" fontId="5" fillId="0" borderId="30" xfId="1" applyNumberFormat="1" applyFont="1" applyBorder="1" applyAlignment="1" applyProtection="1">
      <alignment horizontal="center" vertical="center" wrapText="1"/>
    </xf>
    <xf numFmtId="0" fontId="13" fillId="0" borderId="27" xfId="1" applyFont="1" applyBorder="1" applyAlignment="1" applyProtection="1">
      <alignment wrapText="1"/>
    </xf>
    <xf numFmtId="0" fontId="13" fillId="0" borderId="31" xfId="1" applyFont="1" applyBorder="1" applyAlignment="1" applyProtection="1">
      <alignment wrapText="1"/>
    </xf>
    <xf numFmtId="0" fontId="5" fillId="0" borderId="10" xfId="1" applyFont="1" applyBorder="1" applyAlignment="1" applyProtection="1">
      <alignment horizontal="center" vertical="center" wrapText="1"/>
    </xf>
    <xf numFmtId="164" fontId="5" fillId="7" borderId="20" xfId="1" applyNumberFormat="1" applyFont="1" applyFill="1" applyBorder="1" applyAlignment="1" applyProtection="1">
      <alignment horizontal="center" vertical="center" wrapText="1"/>
    </xf>
    <xf numFmtId="164" fontId="13" fillId="7" borderId="21" xfId="1" applyNumberFormat="1" applyFont="1" applyFill="1" applyBorder="1" applyAlignment="1" applyProtection="1">
      <alignment wrapText="1"/>
    </xf>
    <xf numFmtId="164" fontId="13" fillId="7" borderId="22" xfId="1" applyNumberFormat="1" applyFont="1" applyFill="1" applyBorder="1" applyAlignment="1" applyProtection="1">
      <alignment wrapText="1"/>
    </xf>
    <xf numFmtId="164" fontId="25" fillId="7" borderId="32" xfId="1" applyNumberFormat="1" applyFont="1" applyFill="1" applyBorder="1" applyAlignment="1" applyProtection="1">
      <alignment horizontal="center" vertical="center" wrapText="1"/>
    </xf>
    <xf numFmtId="14" fontId="20" fillId="0" borderId="9" xfId="1" applyNumberFormat="1" applyFont="1" applyBorder="1" applyAlignment="1" applyProtection="1">
      <alignment horizontal="center" vertical="center" wrapText="1"/>
    </xf>
    <xf numFmtId="0" fontId="5" fillId="0" borderId="25" xfId="1" applyFont="1" applyBorder="1" applyAlignment="1" applyProtection="1">
      <alignment horizontal="center" vertical="center" wrapText="1"/>
    </xf>
    <xf numFmtId="14" fontId="5" fillId="0" borderId="21" xfId="1" applyNumberFormat="1" applyFont="1" applyBorder="1" applyAlignment="1" applyProtection="1">
      <alignment horizontal="center" vertical="center" wrapText="1"/>
    </xf>
    <xf numFmtId="14" fontId="5" fillId="0" borderId="22" xfId="1" applyNumberFormat="1" applyFont="1" applyBorder="1" applyAlignment="1" applyProtection="1">
      <alignment horizontal="center" vertical="center" wrapText="1"/>
    </xf>
    <xf numFmtId="164" fontId="5" fillId="7" borderId="37" xfId="1" applyNumberFormat="1" applyFont="1" applyFill="1" applyBorder="1" applyAlignment="1" applyProtection="1">
      <alignment horizontal="center" vertical="center" wrapText="1"/>
    </xf>
    <xf numFmtId="0" fontId="5" fillId="0" borderId="32" xfId="1" quotePrefix="1" applyFont="1" applyBorder="1" applyAlignment="1" applyProtection="1">
      <alignment horizontal="center" vertical="center" wrapText="1"/>
    </xf>
    <xf numFmtId="0" fontId="5" fillId="0" borderId="41" xfId="1" applyFont="1" applyBorder="1" applyAlignment="1" applyProtection="1">
      <alignment horizontal="center" vertical="center" wrapText="1"/>
    </xf>
    <xf numFmtId="0" fontId="5" fillId="0" borderId="43" xfId="1" applyFont="1" applyBorder="1" applyAlignment="1" applyProtection="1">
      <alignment horizontal="center" vertical="center" wrapText="1"/>
    </xf>
    <xf numFmtId="0" fontId="5" fillId="0" borderId="31" xfId="1" applyFont="1" applyBorder="1" applyAlignment="1" applyProtection="1">
      <alignment horizontal="center" vertical="center" wrapText="1"/>
    </xf>
    <xf numFmtId="0" fontId="25" fillId="0" borderId="38" xfId="1" applyFont="1" applyBorder="1" applyAlignment="1" applyProtection="1">
      <alignment horizontal="center" vertical="center" wrapText="1"/>
    </xf>
    <xf numFmtId="0" fontId="5" fillId="0" borderId="38" xfId="1" applyFont="1" applyBorder="1" applyAlignment="1" applyProtection="1">
      <alignment horizontal="center" vertical="center" wrapText="1"/>
    </xf>
    <xf numFmtId="3" fontId="5" fillId="9" borderId="28" xfId="1" applyNumberFormat="1" applyFont="1" applyFill="1" applyBorder="1" applyAlignment="1" applyProtection="1">
      <alignment horizontal="center" vertical="center" wrapText="1"/>
    </xf>
    <xf numFmtId="0" fontId="5" fillId="0" borderId="34" xfId="1" applyFont="1" applyBorder="1" applyAlignment="1" applyProtection="1">
      <alignment horizontal="center" vertical="center" wrapText="1"/>
    </xf>
    <xf numFmtId="3" fontId="5" fillId="9" borderId="11" xfId="1" applyNumberFormat="1" applyFont="1" applyFill="1" applyBorder="1" applyAlignment="1" applyProtection="1">
      <alignment horizontal="center" vertical="center" wrapText="1"/>
    </xf>
    <xf numFmtId="3" fontId="5" fillId="9" borderId="26" xfId="1" applyNumberFormat="1" applyFont="1" applyFill="1" applyBorder="1" applyAlignment="1" applyProtection="1">
      <alignment horizontal="center" vertical="center" wrapText="1"/>
    </xf>
    <xf numFmtId="3" fontId="5" fillId="0" borderId="46" xfId="1" applyNumberFormat="1" applyFont="1" applyBorder="1" applyAlignment="1" applyProtection="1">
      <alignment horizontal="center" vertical="center" wrapText="1"/>
    </xf>
    <xf numFmtId="14" fontId="5" fillId="0" borderId="15" xfId="1" applyNumberFormat="1" applyFont="1" applyBorder="1" applyAlignment="1" applyProtection="1">
      <alignment horizontal="center" vertical="center" wrapText="1"/>
    </xf>
    <xf numFmtId="14" fontId="5" fillId="0" borderId="13" xfId="1" applyNumberFormat="1" applyFont="1" applyBorder="1" applyAlignment="1" applyProtection="1">
      <alignment horizontal="center" vertical="center" wrapText="1"/>
    </xf>
    <xf numFmtId="3" fontId="5" fillId="0" borderId="12" xfId="1" applyNumberFormat="1" applyFont="1" applyBorder="1" applyAlignment="1" applyProtection="1">
      <alignment horizontal="center" vertical="center" wrapText="1"/>
    </xf>
    <xf numFmtId="164" fontId="5" fillId="0" borderId="32" xfId="1" applyNumberFormat="1" applyFont="1" applyBorder="1" applyAlignment="1" applyProtection="1">
      <alignment horizontal="center" vertical="center" wrapText="1"/>
    </xf>
    <xf numFmtId="0" fontId="20" fillId="0" borderId="11" xfId="1" applyFont="1" applyBorder="1" applyAlignment="1" applyProtection="1">
      <alignment horizontal="center" vertical="center" wrapText="1"/>
    </xf>
    <xf numFmtId="0" fontId="6" fillId="0" borderId="0" xfId="1" applyFont="1" applyAlignment="1" applyProtection="1">
      <alignment horizontal="center" vertical="center" wrapText="1"/>
    </xf>
    <xf numFmtId="0" fontId="5" fillId="0" borderId="0" xfId="1" applyFont="1" applyProtection="1"/>
    <xf numFmtId="0" fontId="1" fillId="0" borderId="0" xfId="1" applyAlignment="1" applyProtection="1">
      <alignment horizontal="center" vertical="center"/>
    </xf>
    <xf numFmtId="0" fontId="20" fillId="0" borderId="28" xfId="1" applyFont="1" applyBorder="1" applyAlignment="1" applyProtection="1">
      <alignment horizontal="center" vertical="center" wrapText="1"/>
    </xf>
    <xf numFmtId="3" fontId="5" fillId="7" borderId="28" xfId="1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0" borderId="1" xfId="1" applyFont="1" applyBorder="1" applyProtection="1"/>
    <xf numFmtId="0" fontId="2" fillId="2" borderId="1" xfId="1" applyFont="1" applyFill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left"/>
    </xf>
    <xf numFmtId="3" fontId="20" fillId="0" borderId="28" xfId="1" applyNumberFormat="1" applyFont="1" applyBorder="1" applyAlignment="1" applyProtection="1">
      <alignment horizontal="center" vertical="center" wrapText="1"/>
    </xf>
    <xf numFmtId="0" fontId="5" fillId="0" borderId="30" xfId="1" applyFont="1" applyBorder="1" applyAlignment="1" applyProtection="1">
      <alignment horizontal="center" vertical="center" wrapText="1"/>
    </xf>
    <xf numFmtId="0" fontId="5" fillId="9" borderId="29" xfId="1" applyFont="1" applyFill="1" applyBorder="1" applyAlignment="1" applyProtection="1">
      <alignment horizontal="center" vertical="center" wrapText="1"/>
    </xf>
    <xf numFmtId="0" fontId="5" fillId="9" borderId="10" xfId="1" applyFont="1" applyFill="1" applyBorder="1" applyAlignment="1" applyProtection="1">
      <alignment horizontal="center" vertical="center" wrapText="1"/>
    </xf>
    <xf numFmtId="0" fontId="20" fillId="0" borderId="29" xfId="1" applyFont="1" applyBorder="1" applyAlignment="1" applyProtection="1">
      <alignment horizontal="center" vertical="center" wrapText="1"/>
    </xf>
    <xf numFmtId="0" fontId="20" fillId="0" borderId="26" xfId="1" applyFont="1" applyBorder="1" applyAlignment="1" applyProtection="1">
      <alignment horizontal="center" vertical="center" wrapText="1"/>
    </xf>
    <xf numFmtId="0" fontId="5" fillId="7" borderId="28" xfId="1" quotePrefix="1" applyFont="1" applyFill="1" applyBorder="1" applyAlignment="1" applyProtection="1">
      <alignment horizontal="center" vertical="center" wrapText="1"/>
    </xf>
    <xf numFmtId="0" fontId="25" fillId="0" borderId="32" xfId="1" applyFont="1" applyBorder="1" applyAlignment="1" applyProtection="1">
      <alignment horizontal="center" vertical="center" wrapText="1"/>
    </xf>
    <xf numFmtId="0" fontId="25" fillId="0" borderId="36" xfId="1" applyFont="1" applyBorder="1" applyAlignment="1" applyProtection="1">
      <alignment horizontal="center" vertical="center" wrapText="1"/>
    </xf>
    <xf numFmtId="0" fontId="5" fillId="0" borderId="45" xfId="1" applyFont="1" applyBorder="1" applyAlignment="1" applyProtection="1">
      <alignment horizontal="center" vertical="center" wrapText="1"/>
    </xf>
    <xf numFmtId="3" fontId="20" fillId="0" borderId="32" xfId="1" applyNumberFormat="1" applyFont="1" applyBorder="1" applyAlignment="1" applyProtection="1">
      <alignment horizontal="center" vertical="center" wrapText="1"/>
    </xf>
    <xf numFmtId="3" fontId="20" fillId="0" borderId="36" xfId="1" applyNumberFormat="1" applyFont="1" applyBorder="1" applyAlignment="1" applyProtection="1">
      <alignment horizontal="center" vertical="center" wrapText="1"/>
    </xf>
    <xf numFmtId="3" fontId="20" fillId="0" borderId="34" xfId="1" applyNumberFormat="1" applyFont="1" applyBorder="1" applyAlignment="1" applyProtection="1">
      <alignment horizontal="center" vertical="center" wrapText="1"/>
    </xf>
    <xf numFmtId="14" fontId="20" fillId="0" borderId="28" xfId="1" applyNumberFormat="1" applyFont="1" applyBorder="1" applyAlignment="1" applyProtection="1">
      <alignment horizontal="center" vertical="center" wrapText="1"/>
    </xf>
    <xf numFmtId="0" fontId="5" fillId="0" borderId="29" xfId="1" quotePrefix="1" applyFont="1" applyBorder="1" applyAlignment="1" applyProtection="1">
      <alignment horizontal="center" vertical="center" wrapText="1"/>
    </xf>
    <xf numFmtId="0" fontId="5" fillId="0" borderId="40" xfId="1" applyFont="1" applyBorder="1" applyAlignment="1" applyProtection="1">
      <alignment horizontal="center" vertical="center" wrapText="1"/>
    </xf>
    <xf numFmtId="0" fontId="5" fillId="0" borderId="42" xfId="1" applyFont="1" applyBorder="1" applyAlignment="1" applyProtection="1">
      <alignment horizontal="center" vertical="center" wrapText="1"/>
    </xf>
    <xf numFmtId="49" fontId="5" fillId="0" borderId="28" xfId="1" applyNumberFormat="1" applyFont="1" applyBorder="1" applyAlignment="1" applyProtection="1">
      <alignment horizontal="center" vertical="center" wrapText="1"/>
    </xf>
    <xf numFmtId="0" fontId="5" fillId="7" borderId="29" xfId="1" applyFont="1" applyFill="1" applyBorder="1" applyAlignment="1" applyProtection="1">
      <alignment horizontal="center" vertical="center" wrapText="1"/>
    </xf>
    <xf numFmtId="0" fontId="5" fillId="7" borderId="10" xfId="1" applyFont="1" applyFill="1" applyBorder="1" applyAlignment="1" applyProtection="1">
      <alignment horizontal="center" vertical="center" wrapText="1"/>
    </xf>
    <xf numFmtId="0" fontId="5" fillId="0" borderId="44" xfId="1" applyFont="1" applyBorder="1" applyAlignment="1" applyProtection="1">
      <alignment horizontal="center" vertical="center" wrapText="1"/>
    </xf>
    <xf numFmtId="14" fontId="5" fillId="0" borderId="14" xfId="1" applyNumberFormat="1" applyFont="1" applyBorder="1" applyAlignment="1" applyProtection="1">
      <alignment horizontal="center" vertical="center" wrapText="1"/>
    </xf>
    <xf numFmtId="14" fontId="5" fillId="0" borderId="6" xfId="1" applyNumberFormat="1" applyFont="1" applyBorder="1" applyAlignment="1" applyProtection="1">
      <alignment horizontal="center" vertical="center" wrapText="1"/>
    </xf>
    <xf numFmtId="14" fontId="5" fillId="0" borderId="7" xfId="1" applyNumberFormat="1" applyFont="1" applyBorder="1" applyAlignment="1" applyProtection="1">
      <alignment horizontal="center" vertical="center" wrapText="1"/>
    </xf>
    <xf numFmtId="14" fontId="5" fillId="5" borderId="9" xfId="1" applyNumberFormat="1" applyFont="1" applyFill="1" applyBorder="1" applyAlignment="1" applyProtection="1">
      <alignment horizontal="center" vertical="center" wrapText="1"/>
    </xf>
    <xf numFmtId="0" fontId="3" fillId="0" borderId="11" xfId="1" applyFont="1" applyBorder="1" applyProtection="1"/>
    <xf numFmtId="0" fontId="25" fillId="0" borderId="34" xfId="1" applyFont="1" applyBorder="1" applyAlignment="1" applyProtection="1">
      <alignment horizontal="center" vertical="center"/>
    </xf>
    <xf numFmtId="0" fontId="25" fillId="0" borderId="28" xfId="1" applyFont="1" applyBorder="1" applyAlignment="1" applyProtection="1">
      <alignment horizontal="center" vertical="center"/>
    </xf>
    <xf numFmtId="0" fontId="5" fillId="0" borderId="33" xfId="1" applyFont="1" applyBorder="1" applyAlignment="1" applyProtection="1">
      <alignment horizontal="center" vertical="center" wrapText="1"/>
    </xf>
    <xf numFmtId="0" fontId="13" fillId="0" borderId="11" xfId="1" applyFont="1" applyBorder="1" applyProtection="1"/>
    <xf numFmtId="0" fontId="5" fillId="9" borderId="11" xfId="1" quotePrefix="1" applyFont="1" applyFill="1" applyBorder="1" applyAlignment="1" applyProtection="1">
      <alignment horizontal="center" vertical="center" wrapText="1"/>
    </xf>
    <xf numFmtId="164" fontId="5" fillId="7" borderId="38" xfId="1" quotePrefix="1" applyNumberFormat="1" applyFont="1" applyFill="1" applyBorder="1" applyAlignment="1" applyProtection="1">
      <alignment horizontal="center" vertical="center" wrapText="1"/>
    </xf>
    <xf numFmtId="164" fontId="5" fillId="7" borderId="38" xfId="1" applyNumberFormat="1" applyFont="1" applyFill="1" applyBorder="1" applyAlignment="1" applyProtection="1">
      <alignment horizontal="center" vertical="center" wrapText="1"/>
    </xf>
    <xf numFmtId="14" fontId="20" fillId="0" borderId="32" xfId="1" applyNumberFormat="1" applyFont="1" applyBorder="1" applyAlignment="1" applyProtection="1">
      <alignment horizontal="center" vertical="center" wrapText="1"/>
    </xf>
    <xf numFmtId="14" fontId="20" fillId="0" borderId="36" xfId="1" applyNumberFormat="1" applyFont="1" applyBorder="1" applyAlignment="1" applyProtection="1">
      <alignment horizontal="center" vertical="center" wrapText="1"/>
    </xf>
    <xf numFmtId="14" fontId="20" fillId="0" borderId="34" xfId="1" applyNumberFormat="1" applyFont="1" applyBorder="1" applyAlignment="1" applyProtection="1">
      <alignment horizontal="center" vertical="center" wrapText="1"/>
    </xf>
    <xf numFmtId="14" fontId="5" fillId="0" borderId="25" xfId="1" applyNumberFormat="1" applyFont="1" applyBorder="1" applyAlignment="1" applyProtection="1">
      <alignment horizontal="center" vertical="center" wrapText="1"/>
    </xf>
    <xf numFmtId="3" fontId="5" fillId="0" borderId="14" xfId="1" applyNumberFormat="1" applyFont="1" applyBorder="1" applyAlignment="1" applyProtection="1">
      <alignment horizontal="center" vertical="center" wrapText="1"/>
    </xf>
    <xf numFmtId="0" fontId="30" fillId="0" borderId="28" xfId="0" applyFont="1" applyBorder="1" applyAlignment="1">
      <alignment horizontal="center" vertical="center"/>
    </xf>
    <xf numFmtId="0" fontId="30" fillId="6" borderId="48" xfId="0" applyFont="1" applyFill="1" applyBorder="1" applyAlignment="1">
      <alignment horizontal="left" vertical="top"/>
    </xf>
    <xf numFmtId="0" fontId="30" fillId="6" borderId="49" xfId="0" applyFont="1" applyFill="1" applyBorder="1" applyAlignment="1">
      <alignment horizontal="left" vertical="top"/>
    </xf>
    <xf numFmtId="0" fontId="30" fillId="6" borderId="50" xfId="0" applyFont="1" applyFill="1" applyBorder="1" applyAlignment="1">
      <alignment horizontal="left" vertical="top"/>
    </xf>
    <xf numFmtId="0" fontId="30" fillId="6" borderId="51" xfId="0" applyFont="1" applyFill="1" applyBorder="1" applyAlignment="1">
      <alignment horizontal="left" vertical="top"/>
    </xf>
    <xf numFmtId="0" fontId="30" fillId="6" borderId="52" xfId="0" applyFont="1" applyFill="1" applyBorder="1" applyAlignment="1">
      <alignment horizontal="left" vertical="top"/>
    </xf>
    <xf numFmtId="0" fontId="30" fillId="6" borderId="53" xfId="0" applyFont="1" applyFill="1" applyBorder="1" applyAlignment="1">
      <alignment horizontal="left" vertical="top"/>
    </xf>
    <xf numFmtId="0" fontId="29" fillId="10" borderId="28" xfId="0" applyFont="1" applyFill="1" applyBorder="1" applyAlignment="1">
      <alignment horizontal="center" vertical="center"/>
    </xf>
    <xf numFmtId="0" fontId="30" fillId="10" borderId="28" xfId="0" applyFont="1" applyFill="1" applyBorder="1" applyAlignment="1">
      <alignment horizontal="center" vertical="center"/>
    </xf>
    <xf numFmtId="0" fontId="31" fillId="10" borderId="28" xfId="0" applyFont="1" applyFill="1" applyBorder="1" applyAlignment="1">
      <alignment horizontal="center" vertical="center"/>
    </xf>
    <xf numFmtId="3" fontId="3" fillId="0" borderId="32" xfId="0" applyNumberFormat="1" applyFont="1" applyBorder="1" applyAlignment="1">
      <alignment horizontal="right" vertical="center"/>
    </xf>
    <xf numFmtId="3" fontId="3" fillId="0" borderId="34" xfId="0" applyNumberFormat="1" applyFont="1" applyBorder="1" applyAlignment="1">
      <alignment horizontal="right" vertical="center"/>
    </xf>
    <xf numFmtId="0" fontId="35" fillId="10" borderId="28" xfId="0" applyFont="1" applyFill="1" applyBorder="1" applyAlignment="1">
      <alignment horizontal="center" vertical="center"/>
    </xf>
    <xf numFmtId="3" fontId="3" fillId="6" borderId="32" xfId="0" applyNumberFormat="1" applyFont="1" applyFill="1" applyBorder="1" applyAlignment="1">
      <alignment horizontal="right" vertical="center"/>
    </xf>
    <xf numFmtId="3" fontId="3" fillId="6" borderId="34" xfId="0" applyNumberFormat="1" applyFont="1" applyFill="1" applyBorder="1" applyAlignment="1">
      <alignment horizontal="right" vertical="center"/>
    </xf>
    <xf numFmtId="3" fontId="3" fillId="0" borderId="36" xfId="0" applyNumberFormat="1" applyFont="1" applyBorder="1" applyAlignment="1">
      <alignment horizontal="right" vertical="center"/>
    </xf>
    <xf numFmtId="0" fontId="38" fillId="5" borderId="0" xfId="1" applyFont="1" applyFill="1" applyAlignment="1" applyProtection="1">
      <alignment horizontal="center" vertical="center" wrapText="1"/>
    </xf>
    <xf numFmtId="0" fontId="6" fillId="5" borderId="9" xfId="1" applyFont="1" applyFill="1" applyBorder="1" applyAlignment="1" applyProtection="1">
      <alignment horizontal="center" vertical="center" wrapText="1"/>
    </xf>
    <xf numFmtId="0" fontId="6" fillId="5" borderId="12" xfId="1" applyFont="1" applyFill="1" applyBorder="1" applyAlignment="1" applyProtection="1">
      <alignment horizontal="center" vertical="center" wrapText="1"/>
    </xf>
    <xf numFmtId="0" fontId="38" fillId="4" borderId="0" xfId="1" applyFont="1" applyFill="1" applyAlignment="1" applyProtection="1">
      <alignment horizontal="center" vertical="center" wrapText="1"/>
    </xf>
    <xf numFmtId="0" fontId="40" fillId="0" borderId="0" xfId="1" applyFont="1" applyAlignment="1" applyProtection="1">
      <alignment horizontal="center" vertical="center"/>
    </xf>
    <xf numFmtId="0" fontId="42" fillId="0" borderId="0" xfId="1" applyFont="1" applyAlignment="1" applyProtection="1">
      <alignment horizontal="center" vertical="center"/>
    </xf>
    <xf numFmtId="0" fontId="42" fillId="4" borderId="0" xfId="1" applyFont="1" applyFill="1" applyAlignment="1" applyProtection="1">
      <alignment horizontal="center" vertical="center"/>
    </xf>
    <xf numFmtId="0" fontId="6" fillId="0" borderId="6" xfId="1" applyFont="1" applyBorder="1" applyAlignment="1" applyProtection="1">
      <alignment horizontal="left" vertical="center" wrapText="1"/>
    </xf>
    <xf numFmtId="0" fontId="3" fillId="0" borderId="10" xfId="1" applyFont="1" applyBorder="1" applyAlignment="1" applyProtection="1">
      <alignment wrapText="1"/>
    </xf>
    <xf numFmtId="0" fontId="6" fillId="0" borderId="15" xfId="1" applyFont="1" applyBorder="1" applyAlignment="1" applyProtection="1">
      <alignment horizontal="center" vertical="center"/>
    </xf>
    <xf numFmtId="0" fontId="6" fillId="0" borderId="0" xfId="1" applyFont="1" applyAlignment="1" applyProtection="1">
      <alignment horizontal="left" vertical="center" wrapText="1"/>
    </xf>
    <xf numFmtId="0" fontId="46" fillId="5" borderId="9" xfId="2" applyFont="1" applyFill="1" applyBorder="1" applyAlignment="1" applyProtection="1">
      <alignment horizontal="center" vertical="center" wrapText="1"/>
    </xf>
    <xf numFmtId="0" fontId="47" fillId="0" borderId="10" xfId="2" applyFont="1" applyBorder="1" applyProtection="1"/>
    <xf numFmtId="0" fontId="46" fillId="5" borderId="12" xfId="2" applyFont="1" applyFill="1" applyBorder="1" applyAlignment="1" applyProtection="1">
      <alignment horizontal="center" vertical="center" wrapText="1"/>
    </xf>
    <xf numFmtId="0" fontId="47" fillId="0" borderId="14" xfId="2" applyFont="1" applyBorder="1" applyProtection="1"/>
    <xf numFmtId="0" fontId="46" fillId="0" borderId="0" xfId="2" applyFont="1" applyAlignment="1" applyProtection="1">
      <alignment horizontal="left" vertical="center" wrapText="1"/>
    </xf>
    <xf numFmtId="0" fontId="46" fillId="0" borderId="0" xfId="2" applyFont="1" applyProtection="1"/>
    <xf numFmtId="0" fontId="46" fillId="0" borderId="0" xfId="2" applyFont="1" applyAlignment="1" applyProtection="1">
      <alignment horizontal="center" vertical="center"/>
    </xf>
    <xf numFmtId="0" fontId="46" fillId="4" borderId="0" xfId="2" applyFont="1" applyFill="1" applyAlignment="1" applyProtection="1">
      <alignment horizontal="center" vertical="center"/>
    </xf>
    <xf numFmtId="0" fontId="47" fillId="0" borderId="0" xfId="2" applyFont="1" applyProtection="1"/>
    <xf numFmtId="0" fontId="44" fillId="5" borderId="0" xfId="2" applyFont="1" applyFill="1" applyAlignment="1" applyProtection="1">
      <alignment horizontal="center" vertical="center" wrapText="1"/>
    </xf>
    <xf numFmtId="0" fontId="45" fillId="0" borderId="0" xfId="2" applyFont="1" applyProtection="1"/>
    <xf numFmtId="0" fontId="49" fillId="0" borderId="15" xfId="2" applyFont="1" applyBorder="1" applyAlignment="1" applyProtection="1">
      <alignment horizontal="center" vertical="center"/>
    </xf>
    <xf numFmtId="0" fontId="50" fillId="0" borderId="15" xfId="2" applyFont="1" applyBorder="1" applyProtection="1"/>
    <xf numFmtId="0" fontId="44" fillId="4" borderId="0" xfId="2" applyFont="1" applyFill="1" applyAlignment="1" applyProtection="1">
      <alignment horizontal="center" vertical="center" wrapText="1"/>
    </xf>
    <xf numFmtId="0" fontId="46" fillId="0" borderId="6" xfId="2" applyFont="1" applyBorder="1" applyAlignment="1" applyProtection="1">
      <alignment horizontal="left" vertical="center" wrapText="1"/>
    </xf>
    <xf numFmtId="0" fontId="47" fillId="0" borderId="6" xfId="2" applyFont="1" applyBorder="1" applyProtection="1"/>
    <xf numFmtId="0" fontId="46" fillId="0" borderId="0" xfId="1" applyFont="1" applyAlignment="1" applyProtection="1">
      <alignment horizontal="center" vertical="center"/>
    </xf>
    <xf numFmtId="0" fontId="46" fillId="0" borderId="0" xfId="1" applyFont="1" applyProtection="1"/>
    <xf numFmtId="0" fontId="46" fillId="5" borderId="9" xfId="1" applyFont="1" applyFill="1" applyBorder="1" applyAlignment="1" applyProtection="1">
      <alignment horizontal="center" vertical="center" wrapText="1"/>
    </xf>
    <xf numFmtId="0" fontId="47" fillId="0" borderId="10" xfId="1" applyFont="1" applyBorder="1" applyProtection="1"/>
    <xf numFmtId="0" fontId="46" fillId="0" borderId="15" xfId="1" applyFont="1" applyBorder="1" applyAlignment="1" applyProtection="1">
      <alignment horizontal="center" vertical="center"/>
    </xf>
    <xf numFmtId="0" fontId="47" fillId="0" borderId="15" xfId="1" applyFont="1" applyBorder="1" applyProtection="1"/>
    <xf numFmtId="0" fontId="46" fillId="5" borderId="0" xfId="1" applyFont="1" applyFill="1" applyAlignment="1" applyProtection="1">
      <alignment horizontal="center" vertical="center" wrapText="1"/>
    </xf>
    <xf numFmtId="0" fontId="47" fillId="0" borderId="0" xfId="1" applyFont="1" applyProtection="1"/>
    <xf numFmtId="0" fontId="46" fillId="4" borderId="0" xfId="1" applyFont="1" applyFill="1" applyAlignment="1" applyProtection="1">
      <alignment horizontal="center" vertical="center" wrapText="1"/>
    </xf>
    <xf numFmtId="0" fontId="46" fillId="5" borderId="12" xfId="1" applyFont="1" applyFill="1" applyBorder="1" applyAlignment="1" applyProtection="1">
      <alignment horizontal="center" vertical="center" wrapText="1"/>
    </xf>
    <xf numFmtId="0" fontId="47" fillId="0" borderId="14" xfId="1" applyFont="1" applyBorder="1" applyProtection="1"/>
    <xf numFmtId="0" fontId="46" fillId="0" borderId="0" xfId="1" applyFont="1" applyAlignment="1" applyProtection="1">
      <alignment horizontal="left" vertical="center" wrapText="1"/>
    </xf>
    <xf numFmtId="0" fontId="46" fillId="4" borderId="0" xfId="1" applyFont="1" applyFill="1" applyAlignment="1" applyProtection="1">
      <alignment horizontal="center" vertical="center"/>
    </xf>
    <xf numFmtId="0" fontId="46" fillId="0" borderId="6" xfId="1" applyFont="1" applyBorder="1" applyAlignment="1" applyProtection="1">
      <alignment horizontal="left" vertical="center" wrapText="1"/>
    </xf>
    <xf numFmtId="0" fontId="47" fillId="0" borderId="6" xfId="1" applyFont="1" applyBorder="1" applyProtection="1"/>
    <xf numFmtId="0" fontId="30" fillId="11" borderId="16" xfId="1" applyFont="1" applyFill="1" applyBorder="1" applyAlignment="1" applyProtection="1">
      <alignment horizontal="left"/>
    </xf>
    <xf numFmtId="0" fontId="30" fillId="11" borderId="19" xfId="1" applyFont="1" applyFill="1" applyBorder="1" applyAlignment="1" applyProtection="1">
      <alignment horizontal="left"/>
    </xf>
    <xf numFmtId="0" fontId="30" fillId="11" borderId="17" xfId="1" applyFont="1" applyFill="1" applyBorder="1" applyAlignment="1" applyProtection="1">
      <alignment horizontal="left"/>
    </xf>
    <xf numFmtId="0" fontId="7" fillId="0" borderId="15" xfId="1" applyFont="1" applyBorder="1" applyAlignment="1" applyProtection="1">
      <alignment horizontal="center" vertical="center"/>
    </xf>
    <xf numFmtId="0" fontId="38" fillId="0" borderId="0" xfId="1" applyFont="1" applyAlignment="1" applyProtection="1">
      <alignment horizontal="left" vertical="center" wrapText="1"/>
    </xf>
    <xf numFmtId="0" fontId="55" fillId="0" borderId="0" xfId="1" applyFont="1" applyProtection="1"/>
    <xf numFmtId="0" fontId="30" fillId="11" borderId="13" xfId="1" applyFont="1" applyFill="1" applyBorder="1" applyAlignment="1" applyProtection="1">
      <alignment horizontal="left"/>
    </xf>
    <xf numFmtId="0" fontId="52" fillId="0" borderId="6" xfId="1" applyFont="1" applyBorder="1" applyAlignment="1" applyProtection="1">
      <alignment horizontal="left" vertical="center" wrapText="1"/>
    </xf>
    <xf numFmtId="0" fontId="53" fillId="0" borderId="6" xfId="1" applyFont="1" applyBorder="1" applyProtection="1"/>
    <xf numFmtId="0" fontId="13" fillId="0" borderId="10" xfId="1" applyFont="1" applyBorder="1" applyAlignment="1" applyProtection="1">
      <alignment wrapText="1"/>
    </xf>
    <xf numFmtId="0" fontId="51" fillId="5" borderId="0" xfId="1" applyFont="1" applyFill="1" applyAlignment="1" applyProtection="1">
      <alignment horizontal="center" vertical="center" wrapText="1"/>
    </xf>
    <xf numFmtId="0" fontId="51" fillId="4" borderId="0" xfId="1" applyFont="1" applyFill="1" applyAlignment="1" applyProtection="1">
      <alignment horizontal="center" vertical="center" wrapText="1"/>
    </xf>
    <xf numFmtId="0" fontId="58" fillId="5" borderId="9" xfId="1" applyFont="1" applyFill="1" applyBorder="1" applyAlignment="1" applyProtection="1">
      <alignment horizontal="center" vertical="center" wrapText="1"/>
    </xf>
    <xf numFmtId="0" fontId="59" fillId="0" borderId="10" xfId="1" applyFont="1" applyBorder="1" applyAlignment="1" applyProtection="1">
      <alignment horizontal="center" vertical="center"/>
    </xf>
    <xf numFmtId="0" fontId="58" fillId="0" borderId="6" xfId="1" applyFont="1" applyBorder="1" applyAlignment="1" applyProtection="1">
      <alignment horizontal="left" vertical="center" wrapText="1"/>
    </xf>
    <xf numFmtId="0" fontId="59" fillId="0" borderId="6" xfId="1" applyFont="1" applyBorder="1" applyAlignment="1" applyProtection="1">
      <alignment horizontal="left" vertical="center"/>
    </xf>
    <xf numFmtId="0" fontId="58" fillId="5" borderId="12" xfId="1" applyFont="1" applyFill="1" applyBorder="1" applyAlignment="1" applyProtection="1">
      <alignment horizontal="center" vertical="center" wrapText="1"/>
    </xf>
    <xf numFmtId="0" fontId="59" fillId="0" borderId="14" xfId="1" applyFont="1" applyBorder="1" applyAlignment="1" applyProtection="1">
      <alignment horizontal="center" vertical="center"/>
    </xf>
    <xf numFmtId="0" fontId="58" fillId="0" borderId="0" xfId="1" applyFont="1" applyAlignment="1" applyProtection="1">
      <alignment horizontal="left" vertical="center" wrapText="1"/>
    </xf>
    <xf numFmtId="0" fontId="58" fillId="0" borderId="0" xfId="1" applyFont="1" applyAlignment="1" applyProtection="1">
      <alignment horizontal="left" vertical="center"/>
    </xf>
    <xf numFmtId="0" fontId="56" fillId="5" borderId="0" xfId="1" applyFont="1" applyFill="1" applyAlignment="1" applyProtection="1">
      <alignment horizontal="center" vertical="center" wrapText="1"/>
    </xf>
    <xf numFmtId="0" fontId="57" fillId="0" borderId="0" xfId="1" applyFont="1" applyAlignment="1" applyProtection="1">
      <alignment horizontal="center" vertical="center"/>
    </xf>
    <xf numFmtId="0" fontId="58" fillId="0" borderId="0" xfId="1" applyFont="1" applyAlignment="1" applyProtection="1">
      <alignment horizontal="center" vertical="center"/>
    </xf>
    <xf numFmtId="0" fontId="59" fillId="0" borderId="0" xfId="1" applyFont="1" applyAlignment="1" applyProtection="1">
      <alignment horizontal="center" vertical="center"/>
    </xf>
    <xf numFmtId="0" fontId="58" fillId="0" borderId="15" xfId="1" applyFont="1" applyBorder="1" applyAlignment="1" applyProtection="1">
      <alignment horizontal="center" vertical="center"/>
    </xf>
    <xf numFmtId="0" fontId="59" fillId="0" borderId="15" xfId="1" applyFont="1" applyBorder="1" applyAlignment="1" applyProtection="1">
      <alignment horizontal="center" vertical="center"/>
    </xf>
    <xf numFmtId="0" fontId="58" fillId="4" borderId="0" xfId="1" applyFont="1" applyFill="1" applyAlignment="1" applyProtection="1">
      <alignment horizontal="center" vertical="center"/>
    </xf>
    <xf numFmtId="0" fontId="56" fillId="4" borderId="0" xfId="1" applyFont="1" applyFill="1" applyAlignment="1" applyProtection="1">
      <alignment horizontal="center" vertical="center" wrapText="1"/>
    </xf>
    <xf numFmtId="0" fontId="58" fillId="5" borderId="9" xfId="1" applyFont="1" applyFill="1" applyBorder="1" applyAlignment="1" applyProtection="1">
      <alignment horizontal="center" vertical="center"/>
    </xf>
    <xf numFmtId="14" fontId="5" fillId="10" borderId="9" xfId="1" applyNumberFormat="1" applyFont="1" applyFill="1" applyBorder="1" applyAlignment="1" applyProtection="1">
      <alignment horizontal="center" vertical="center" wrapText="1"/>
    </xf>
    <xf numFmtId="14" fontId="5" fillId="10" borderId="26" xfId="1" applyNumberFormat="1" applyFont="1" applyFill="1" applyBorder="1" applyAlignment="1" applyProtection="1">
      <alignment horizontal="center" vertical="center" wrapText="1"/>
    </xf>
    <xf numFmtId="0" fontId="58" fillId="5" borderId="10" xfId="1" applyFont="1" applyFill="1" applyBorder="1" applyAlignment="1" applyProtection="1">
      <alignment horizontal="center" vertical="center" wrapText="1"/>
    </xf>
    <xf numFmtId="0" fontId="58" fillId="5" borderId="10" xfId="1" applyFont="1" applyFill="1" applyBorder="1" applyAlignment="1" applyProtection="1">
      <alignment horizontal="center" vertical="center"/>
    </xf>
    <xf numFmtId="0" fontId="58" fillId="5" borderId="14" xfId="1" applyFont="1" applyFill="1" applyBorder="1" applyAlignment="1" applyProtection="1">
      <alignment horizontal="center" vertical="center" wrapText="1"/>
    </xf>
    <xf numFmtId="0" fontId="58" fillId="5" borderId="11" xfId="1" applyFont="1" applyFill="1" applyBorder="1" applyAlignment="1" applyProtection="1">
      <alignment horizontal="center" vertical="center" wrapText="1"/>
    </xf>
    <xf numFmtId="0" fontId="58" fillId="5" borderId="25" xfId="1" applyFont="1" applyFill="1" applyBorder="1" applyAlignment="1" applyProtection="1">
      <alignment horizontal="center" vertical="center" wrapText="1"/>
    </xf>
    <xf numFmtId="0" fontId="58" fillId="5" borderId="11" xfId="1" applyFont="1" applyFill="1" applyBorder="1" applyAlignment="1" applyProtection="1">
      <alignment horizontal="center" vertical="center"/>
    </xf>
    <xf numFmtId="0" fontId="40" fillId="6" borderId="0" xfId="1" applyFont="1" applyFill="1" applyAlignment="1" applyProtection="1">
      <alignment horizontal="right" vertical="center"/>
    </xf>
    <xf numFmtId="0" fontId="64" fillId="5" borderId="0" xfId="1" applyFont="1" applyFill="1" applyAlignment="1" applyProtection="1">
      <alignment horizontal="center" vertical="center" wrapText="1"/>
    </xf>
    <xf numFmtId="0" fontId="6" fillId="12" borderId="37" xfId="1" applyFont="1" applyFill="1" applyBorder="1" applyAlignment="1" applyProtection="1">
      <alignment horizontal="left" vertical="center" wrapText="1"/>
    </xf>
    <xf numFmtId="0" fontId="6" fillId="12" borderId="28" xfId="1" applyFont="1" applyFill="1" applyBorder="1" applyAlignment="1" applyProtection="1">
      <alignment horizontal="left" vertical="center" wrapText="1"/>
    </xf>
    <xf numFmtId="0" fontId="1" fillId="14" borderId="32" xfId="0" applyFont="1" applyFill="1" applyBorder="1" applyAlignment="1">
      <alignment horizontal="center" vertical="center"/>
    </xf>
    <xf numFmtId="0" fontId="1" fillId="14" borderId="34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left" vertical="center"/>
    </xf>
    <xf numFmtId="0" fontId="1" fillId="14" borderId="28" xfId="0" applyFont="1" applyFill="1" applyBorder="1" applyAlignment="1">
      <alignment horizontal="center" vertical="center"/>
    </xf>
    <xf numFmtId="3" fontId="1" fillId="14" borderId="28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0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69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69" fillId="0" borderId="8" xfId="0" applyNumberFormat="1" applyFont="1" applyBorder="1" applyAlignment="1">
      <alignment horizontal="center" vertical="center" wrapText="1"/>
    </xf>
    <xf numFmtId="3" fontId="70" fillId="10" borderId="8" xfId="0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69" fillId="0" borderId="10" xfId="0" applyFont="1" applyBorder="1" applyAlignment="1">
      <alignment horizontal="center" vertical="center" wrapText="1"/>
    </xf>
    <xf numFmtId="3" fontId="70" fillId="10" borderId="8" xfId="0" applyNumberFormat="1" applyFont="1" applyFill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/>
    </xf>
    <xf numFmtId="0" fontId="70" fillId="10" borderId="8" xfId="0" applyFont="1" applyFill="1" applyBorder="1" applyAlignment="1">
      <alignment horizontal="center" vertical="center" wrapText="1"/>
    </xf>
    <xf numFmtId="0" fontId="67" fillId="1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8" fillId="6" borderId="0" xfId="0" applyFont="1" applyFill="1" applyAlignment="1">
      <alignment horizontal="center" vertical="center" wrapText="1"/>
    </xf>
    <xf numFmtId="0" fontId="69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/>
    </xf>
    <xf numFmtId="0" fontId="30" fillId="18" borderId="28" xfId="0" applyFont="1" applyFill="1" applyBorder="1" applyAlignment="1">
      <alignment horizontal="right" vertical="center"/>
    </xf>
    <xf numFmtId="0" fontId="72" fillId="13" borderId="28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72" fillId="13" borderId="28" xfId="0" applyFont="1" applyFill="1" applyBorder="1" applyAlignment="1">
      <alignment horizontal="center" vertical="center" wrapText="1"/>
    </xf>
    <xf numFmtId="0" fontId="29" fillId="10" borderId="28" xfId="0" applyFont="1" applyFill="1" applyBorder="1" applyAlignment="1">
      <alignment horizontal="left" vertical="center"/>
    </xf>
    <xf numFmtId="0" fontId="29" fillId="10" borderId="28" xfId="0" applyFont="1" applyFill="1" applyBorder="1" applyAlignment="1">
      <alignment horizontal="left" vertical="center" wrapText="1"/>
    </xf>
    <xf numFmtId="0" fontId="89" fillId="22" borderId="27" xfId="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78" fillId="19" borderId="28" xfId="0" applyFont="1" applyFill="1" applyBorder="1" applyAlignment="1">
      <alignment horizontal="left" vertical="center" wrapText="1"/>
    </xf>
    <xf numFmtId="0" fontId="78" fillId="10" borderId="28" xfId="0" applyFont="1" applyFill="1" applyBorder="1" applyAlignment="1">
      <alignment horizontal="center" vertical="center" wrapText="1"/>
    </xf>
    <xf numFmtId="0" fontId="31" fillId="6" borderId="28" xfId="0" applyFont="1" applyFill="1" applyBorder="1" applyAlignment="1">
      <alignment horizontal="center" vertical="center" wrapText="1"/>
    </xf>
    <xf numFmtId="0" fontId="77" fillId="6" borderId="28" xfId="0" applyFont="1" applyFill="1" applyBorder="1" applyAlignment="1">
      <alignment horizontal="center" vertical="center" wrapText="1"/>
    </xf>
    <xf numFmtId="0" fontId="78" fillId="19" borderId="34" xfId="0" applyFont="1" applyFill="1" applyBorder="1" applyAlignment="1">
      <alignment horizontal="left" vertical="center" wrapText="1"/>
    </xf>
    <xf numFmtId="0" fontId="79" fillId="20" borderId="28" xfId="0" applyFont="1" applyFill="1" applyBorder="1" applyAlignment="1">
      <alignment horizontal="center" vertical="center" wrapText="1"/>
    </xf>
    <xf numFmtId="0" fontId="34" fillId="13" borderId="28" xfId="0" applyFont="1" applyFill="1" applyBorder="1" applyAlignment="1">
      <alignment horizontal="left" vertical="center" wrapText="1"/>
    </xf>
    <xf numFmtId="0" fontId="78" fillId="16" borderId="28" xfId="0" applyFont="1" applyFill="1" applyBorder="1" applyAlignment="1">
      <alignment horizontal="left" vertical="center" wrapText="1"/>
    </xf>
    <xf numFmtId="0" fontId="78" fillId="16" borderId="32" xfId="0" applyFont="1" applyFill="1" applyBorder="1" applyAlignment="1">
      <alignment horizontal="left" vertical="center" wrapText="1"/>
    </xf>
    <xf numFmtId="0" fontId="83" fillId="28" borderId="28" xfId="0" applyFont="1" applyFill="1" applyBorder="1" applyAlignment="1">
      <alignment horizontal="center" vertical="center"/>
    </xf>
    <xf numFmtId="0" fontId="83" fillId="0" borderId="28" xfId="0" applyFont="1" applyBorder="1" applyAlignment="1">
      <alignment horizontal="center" vertical="center"/>
    </xf>
    <xf numFmtId="0" fontId="112" fillId="0" borderId="28" xfId="0" applyFont="1" applyBorder="1" applyAlignment="1">
      <alignment horizontal="center" vertical="center"/>
    </xf>
    <xf numFmtId="0" fontId="109" fillId="0" borderId="27" xfId="0" applyFont="1" applyBorder="1" applyAlignment="1" applyProtection="1">
      <alignment horizontal="center" vertical="center"/>
      <protection hidden="1"/>
    </xf>
    <xf numFmtId="0" fontId="83" fillId="0" borderId="28" xfId="0" applyFont="1" applyBorder="1" applyAlignment="1">
      <alignment horizontal="right" vertical="center"/>
    </xf>
    <xf numFmtId="0" fontId="83" fillId="28" borderId="37" xfId="0" applyFont="1" applyFill="1" applyBorder="1" applyAlignment="1">
      <alignment horizontal="center" vertical="center"/>
    </xf>
    <xf numFmtId="0" fontId="83" fillId="28" borderId="56" xfId="0" applyFont="1" applyFill="1" applyBorder="1" applyAlignment="1">
      <alignment horizontal="center" vertical="center"/>
    </xf>
    <xf numFmtId="0" fontId="83" fillId="28" borderId="38" xfId="0" applyFont="1" applyFill="1" applyBorder="1" applyAlignment="1">
      <alignment horizontal="center" vertical="center"/>
    </xf>
    <xf numFmtId="0" fontId="109" fillId="28" borderId="28" xfId="0" applyFont="1" applyFill="1" applyBorder="1" applyAlignment="1">
      <alignment horizontal="center" vertical="center"/>
    </xf>
    <xf numFmtId="0" fontId="109" fillId="0" borderId="28" xfId="0" applyFont="1" applyBorder="1" applyAlignment="1">
      <alignment horizontal="center" vertical="center"/>
    </xf>
    <xf numFmtId="0" fontId="109" fillId="0" borderId="56" xfId="0" applyFont="1" applyBorder="1" applyAlignment="1" applyProtection="1">
      <alignment horizontal="center" vertical="center"/>
      <protection hidden="1"/>
    </xf>
    <xf numFmtId="0" fontId="31" fillId="0" borderId="28" xfId="0" applyFont="1" applyBorder="1" applyAlignment="1">
      <alignment horizontal="center" vertical="center"/>
    </xf>
    <xf numFmtId="0" fontId="31" fillId="0" borderId="28" xfId="0" applyFont="1" applyBorder="1" applyAlignment="1">
      <alignment horizontal="right" vertical="center"/>
    </xf>
    <xf numFmtId="0" fontId="81" fillId="0" borderId="28" xfId="0" applyFont="1" applyBorder="1" applyAlignment="1">
      <alignment horizontal="center" vertical="center"/>
    </xf>
    <xf numFmtId="0" fontId="81" fillId="0" borderId="28" xfId="0" applyFont="1" applyBorder="1" applyAlignment="1">
      <alignment horizontal="right" vertical="center"/>
    </xf>
    <xf numFmtId="0" fontId="83" fillId="0" borderId="37" xfId="0" applyFont="1" applyBorder="1" applyAlignment="1">
      <alignment horizontal="center" vertical="center"/>
    </xf>
    <xf numFmtId="0" fontId="83" fillId="0" borderId="38" xfId="0" applyFont="1" applyBorder="1" applyAlignment="1">
      <alignment horizontal="center" vertical="center"/>
    </xf>
    <xf numFmtId="0" fontId="83" fillId="0" borderId="56" xfId="0" applyFont="1" applyBorder="1" applyAlignment="1">
      <alignment horizontal="center" vertical="center"/>
    </xf>
    <xf numFmtId="0" fontId="118" fillId="28" borderId="28" xfId="0" applyFont="1" applyFill="1" applyBorder="1" applyAlignment="1">
      <alignment horizontal="center" vertical="center"/>
    </xf>
    <xf numFmtId="0" fontId="117" fillId="0" borderId="37" xfId="0" applyFont="1" applyBorder="1" applyAlignment="1">
      <alignment horizontal="center" vertical="center"/>
    </xf>
    <xf numFmtId="0" fontId="117" fillId="0" borderId="56" xfId="0" applyFont="1" applyBorder="1" applyAlignment="1">
      <alignment horizontal="center" vertical="center"/>
    </xf>
    <xf numFmtId="0" fontId="117" fillId="0" borderId="38" xfId="0" applyFont="1" applyBorder="1" applyAlignment="1">
      <alignment horizontal="center" vertical="center"/>
    </xf>
    <xf numFmtId="0" fontId="109" fillId="0" borderId="37" xfId="0" applyFont="1" applyBorder="1" applyAlignment="1">
      <alignment horizontal="center" vertical="center"/>
    </xf>
    <xf numFmtId="0" fontId="109" fillId="0" borderId="38" xfId="0" applyFont="1" applyBorder="1" applyAlignment="1">
      <alignment horizontal="center" vertical="center"/>
    </xf>
    <xf numFmtId="0" fontId="94" fillId="0" borderId="28" xfId="0" applyFont="1" applyBorder="1" applyAlignment="1">
      <alignment horizontal="center" vertical="center"/>
    </xf>
    <xf numFmtId="0" fontId="94" fillId="0" borderId="28" xfId="0" applyFont="1" applyBorder="1" applyAlignment="1">
      <alignment horizontal="right" vertical="center"/>
    </xf>
    <xf numFmtId="0" fontId="87" fillId="0" borderId="28" xfId="0" applyFont="1" applyBorder="1" applyAlignment="1">
      <alignment horizontal="center" vertical="center"/>
    </xf>
    <xf numFmtId="0" fontId="87" fillId="0" borderId="28" xfId="0" applyFont="1" applyBorder="1" applyAlignment="1">
      <alignment horizontal="right" vertical="center"/>
    </xf>
    <xf numFmtId="0" fontId="108" fillId="0" borderId="37" xfId="0" applyFont="1" applyBorder="1" applyAlignment="1">
      <alignment horizontal="center" vertical="center"/>
    </xf>
    <xf numFmtId="0" fontId="108" fillId="0" borderId="38" xfId="0" applyFont="1" applyBorder="1" applyAlignment="1">
      <alignment horizontal="center" vertical="center"/>
    </xf>
    <xf numFmtId="0" fontId="87" fillId="28" borderId="28" xfId="0" applyFont="1" applyFill="1" applyBorder="1" applyAlignment="1">
      <alignment horizontal="center" vertical="center"/>
    </xf>
    <xf numFmtId="0" fontId="121" fillId="6" borderId="28" xfId="0" applyFont="1" applyFill="1" applyBorder="1" applyAlignment="1">
      <alignment horizontal="center" vertical="center" wrapText="1"/>
    </xf>
    <xf numFmtId="0" fontId="124" fillId="6" borderId="37" xfId="0" applyFont="1" applyFill="1" applyBorder="1" applyAlignment="1">
      <alignment horizontal="right" vertical="center" wrapText="1"/>
    </xf>
    <xf numFmtId="0" fontId="124" fillId="6" borderId="56" xfId="0" applyFont="1" applyFill="1" applyBorder="1" applyAlignment="1">
      <alignment horizontal="right" vertical="center" wrapText="1"/>
    </xf>
    <xf numFmtId="0" fontId="124" fillId="6" borderId="38" xfId="0" applyFont="1" applyFill="1" applyBorder="1" applyAlignment="1">
      <alignment horizontal="right" vertical="center" wrapText="1"/>
    </xf>
    <xf numFmtId="0" fontId="87" fillId="0" borderId="0" xfId="0" applyFont="1" applyAlignment="1">
      <alignment horizontal="left" vertical="center" wrapText="1"/>
    </xf>
    <xf numFmtId="0" fontId="108" fillId="33" borderId="27" xfId="0" applyFont="1" applyFill="1" applyBorder="1" applyAlignment="1">
      <alignment horizontal="center" vertical="center"/>
    </xf>
    <xf numFmtId="0" fontId="109" fillId="28" borderId="37" xfId="0" applyFont="1" applyFill="1" applyBorder="1" applyAlignment="1">
      <alignment horizontal="center" vertical="center"/>
    </xf>
    <xf numFmtId="0" fontId="109" fillId="28" borderId="56" xfId="0" applyFont="1" applyFill="1" applyBorder="1" applyAlignment="1">
      <alignment horizontal="center" vertical="center"/>
    </xf>
    <xf numFmtId="0" fontId="109" fillId="28" borderId="38" xfId="0" applyFont="1" applyFill="1" applyBorder="1" applyAlignment="1">
      <alignment horizontal="center" vertical="center"/>
    </xf>
    <xf numFmtId="0" fontId="122" fillId="25" borderId="37" xfId="0" applyFont="1" applyFill="1" applyBorder="1" applyAlignment="1">
      <alignment horizontal="center" vertical="center"/>
    </xf>
    <xf numFmtId="0" fontId="122" fillId="25" borderId="56" xfId="0" applyFont="1" applyFill="1" applyBorder="1" applyAlignment="1">
      <alignment horizontal="center" vertical="center"/>
    </xf>
    <xf numFmtId="0" fontId="122" fillId="25" borderId="38" xfId="0" applyFont="1" applyFill="1" applyBorder="1" applyAlignment="1">
      <alignment horizontal="center" vertical="center"/>
    </xf>
    <xf numFmtId="0" fontId="87" fillId="0" borderId="37" xfId="0" applyFont="1" applyBorder="1" applyAlignment="1">
      <alignment horizontal="center" vertical="center"/>
    </xf>
    <xf numFmtId="0" fontId="87" fillId="0" borderId="56" xfId="0" applyFont="1" applyBorder="1" applyAlignment="1">
      <alignment horizontal="center" vertical="center"/>
    </xf>
    <xf numFmtId="3" fontId="87" fillId="25" borderId="37" xfId="0" applyNumberFormat="1" applyFont="1" applyFill="1" applyBorder="1" applyAlignment="1">
      <alignment horizontal="right" vertical="center"/>
    </xf>
    <xf numFmtId="3" fontId="87" fillId="25" borderId="56" xfId="0" applyNumberFormat="1" applyFont="1" applyFill="1" applyBorder="1" applyAlignment="1">
      <alignment horizontal="right" vertical="center"/>
    </xf>
    <xf numFmtId="0" fontId="123" fillId="24" borderId="0" xfId="0" applyFont="1" applyFill="1" applyAlignment="1">
      <alignment horizontal="center" vertical="center"/>
    </xf>
    <xf numFmtId="0" fontId="123" fillId="24" borderId="27" xfId="0" applyFont="1" applyFill="1" applyBorder="1" applyAlignment="1">
      <alignment horizontal="center" vertical="center"/>
    </xf>
    <xf numFmtId="0" fontId="87" fillId="0" borderId="38" xfId="0" applyFont="1" applyBorder="1" applyAlignment="1">
      <alignment horizontal="center" vertical="center"/>
    </xf>
    <xf numFmtId="3" fontId="87" fillId="25" borderId="37" xfId="0" applyNumberFormat="1" applyFont="1" applyFill="1" applyBorder="1" applyAlignment="1">
      <alignment horizontal="center" vertical="center"/>
    </xf>
    <xf numFmtId="3" fontId="87" fillId="25" borderId="56" xfId="0" applyNumberFormat="1" applyFont="1" applyFill="1" applyBorder="1" applyAlignment="1">
      <alignment horizontal="center" vertical="center"/>
    </xf>
    <xf numFmtId="165" fontId="105" fillId="0" borderId="32" xfId="1" applyNumberFormat="1" applyFont="1" applyBorder="1" applyAlignment="1" applyProtection="1">
      <alignment horizontal="center" vertical="center" wrapText="1"/>
    </xf>
    <xf numFmtId="165" fontId="105" fillId="0" borderId="36" xfId="1" applyNumberFormat="1" applyFont="1" applyBorder="1" applyAlignment="1" applyProtection="1">
      <alignment horizontal="center" vertical="center" wrapText="1"/>
    </xf>
    <xf numFmtId="3" fontId="97" fillId="27" borderId="37" xfId="1" applyNumberFormat="1" applyFont="1" applyFill="1" applyBorder="1" applyAlignment="1" applyProtection="1">
      <alignment horizontal="center" vertical="center" wrapText="1"/>
    </xf>
    <xf numFmtId="3" fontId="97" fillId="27" borderId="56" xfId="1" applyNumberFormat="1" applyFont="1" applyFill="1" applyBorder="1" applyAlignment="1" applyProtection="1">
      <alignment horizontal="center" vertical="center" wrapText="1"/>
    </xf>
    <xf numFmtId="3" fontId="97" fillId="27" borderId="38" xfId="1" applyNumberFormat="1" applyFont="1" applyFill="1" applyBorder="1" applyAlignment="1" applyProtection="1">
      <alignment horizontal="center" vertical="center" wrapText="1"/>
    </xf>
    <xf numFmtId="164" fontId="99" fillId="29" borderId="37" xfId="1" applyNumberFormat="1" applyFont="1" applyFill="1" applyBorder="1" applyAlignment="1" applyProtection="1">
      <alignment horizontal="right" vertical="center" wrapText="1"/>
    </xf>
    <xf numFmtId="164" fontId="99" fillId="29" borderId="56" xfId="1" applyNumberFormat="1" applyFont="1" applyFill="1" applyBorder="1" applyAlignment="1" applyProtection="1">
      <alignment horizontal="right" vertical="center" wrapText="1"/>
    </xf>
    <xf numFmtId="164" fontId="99" fillId="29" borderId="38" xfId="1" applyNumberFormat="1" applyFont="1" applyFill="1" applyBorder="1" applyAlignment="1" applyProtection="1">
      <alignment horizontal="right" vertical="center" wrapText="1"/>
    </xf>
    <xf numFmtId="164" fontId="105" fillId="0" borderId="32" xfId="1" applyNumberFormat="1" applyFont="1" applyBorder="1" applyAlignment="1" applyProtection="1">
      <alignment horizontal="center" vertical="center" wrapText="1"/>
    </xf>
    <xf numFmtId="164" fontId="105" fillId="0" borderId="36" xfId="1" applyNumberFormat="1" applyFont="1" applyBorder="1" applyAlignment="1" applyProtection="1">
      <alignment horizontal="center" vertical="center" wrapText="1"/>
    </xf>
    <xf numFmtId="164" fontId="106" fillId="0" borderId="32" xfId="1" applyNumberFormat="1" applyFont="1" applyBorder="1" applyAlignment="1" applyProtection="1">
      <alignment horizontal="center" vertical="center" wrapText="1"/>
    </xf>
    <xf numFmtId="164" fontId="106" fillId="0" borderId="36" xfId="1" applyNumberFormat="1" applyFont="1" applyBorder="1" applyAlignment="1" applyProtection="1">
      <alignment horizontal="center" vertical="center" wrapText="1"/>
    </xf>
    <xf numFmtId="164" fontId="105" fillId="0" borderId="32" xfId="1" quotePrefix="1" applyNumberFormat="1" applyFont="1" applyBorder="1" applyAlignment="1" applyProtection="1">
      <alignment horizontal="center" vertical="center" wrapText="1"/>
    </xf>
    <xf numFmtId="164" fontId="105" fillId="0" borderId="36" xfId="1" quotePrefix="1" applyNumberFormat="1" applyFont="1" applyBorder="1" applyAlignment="1" applyProtection="1">
      <alignment horizontal="center" vertical="center" wrapText="1"/>
    </xf>
    <xf numFmtId="164" fontId="98" fillId="0" borderId="32" xfId="1" applyNumberFormat="1" applyFont="1" applyBorder="1" applyAlignment="1" applyProtection="1">
      <alignment horizontal="center" vertical="center" wrapText="1"/>
    </xf>
    <xf numFmtId="164" fontId="98" fillId="0" borderId="36" xfId="1" applyNumberFormat="1" applyFont="1" applyBorder="1" applyAlignment="1" applyProtection="1">
      <alignment horizontal="center" vertical="center" wrapText="1"/>
    </xf>
    <xf numFmtId="14" fontId="106" fillId="0" borderId="32" xfId="1" applyNumberFormat="1" applyFont="1" applyBorder="1" applyAlignment="1" applyProtection="1">
      <alignment horizontal="center" vertical="center" wrapText="1"/>
    </xf>
    <xf numFmtId="14" fontId="106" fillId="0" borderId="36" xfId="1" applyNumberFormat="1" applyFont="1" applyBorder="1" applyAlignment="1" applyProtection="1">
      <alignment horizontal="center" vertical="center" wrapText="1"/>
    </xf>
    <xf numFmtId="3" fontId="105" fillId="0" borderId="32" xfId="1" applyNumberFormat="1" applyFont="1" applyBorder="1" applyAlignment="1" applyProtection="1">
      <alignment horizontal="center" vertical="center" wrapText="1"/>
    </xf>
    <xf numFmtId="3" fontId="105" fillId="0" borderId="36" xfId="1" applyNumberFormat="1" applyFont="1" applyBorder="1" applyAlignment="1" applyProtection="1">
      <alignment horizontal="center" vertical="center" wrapText="1"/>
    </xf>
    <xf numFmtId="164" fontId="105" fillId="30" borderId="32" xfId="1" applyNumberFormat="1" applyFont="1" applyFill="1" applyBorder="1" applyAlignment="1" applyProtection="1">
      <alignment horizontal="center" vertical="center" wrapText="1"/>
    </xf>
    <xf numFmtId="164" fontId="105" fillId="30" borderId="36" xfId="1" applyNumberFormat="1" applyFont="1" applyFill="1" applyBorder="1" applyAlignment="1" applyProtection="1">
      <alignment horizontal="center" vertical="center" wrapText="1"/>
    </xf>
    <xf numFmtId="164" fontId="106" fillId="30" borderId="32" xfId="1" applyNumberFormat="1" applyFont="1" applyFill="1" applyBorder="1" applyAlignment="1" applyProtection="1">
      <alignment horizontal="center" vertical="center" wrapText="1"/>
    </xf>
    <xf numFmtId="164" fontId="106" fillId="30" borderId="36" xfId="1" applyNumberFormat="1" applyFont="1" applyFill="1" applyBorder="1" applyAlignment="1" applyProtection="1">
      <alignment horizontal="center" vertical="center" wrapText="1"/>
    </xf>
    <xf numFmtId="164" fontId="105" fillId="30" borderId="32" xfId="1" quotePrefix="1" applyNumberFormat="1" applyFont="1" applyFill="1" applyBorder="1" applyAlignment="1" applyProtection="1">
      <alignment horizontal="center" vertical="center" wrapText="1"/>
    </xf>
    <xf numFmtId="164" fontId="105" fillId="30" borderId="36" xfId="1" quotePrefix="1" applyNumberFormat="1" applyFont="1" applyFill="1" applyBorder="1" applyAlignment="1" applyProtection="1">
      <alignment horizontal="center" vertical="center" wrapText="1"/>
    </xf>
    <xf numFmtId="164" fontId="98" fillId="30" borderId="32" xfId="1" applyNumberFormat="1" applyFont="1" applyFill="1" applyBorder="1" applyAlignment="1" applyProtection="1">
      <alignment horizontal="center" vertical="center" wrapText="1"/>
    </xf>
    <xf numFmtId="164" fontId="98" fillId="30" borderId="36" xfId="1" applyNumberFormat="1" applyFont="1" applyFill="1" applyBorder="1" applyAlignment="1" applyProtection="1">
      <alignment horizontal="center" vertical="center" wrapText="1"/>
    </xf>
    <xf numFmtId="14" fontId="106" fillId="30" borderId="32" xfId="1" applyNumberFormat="1" applyFont="1" applyFill="1" applyBorder="1" applyAlignment="1" applyProtection="1">
      <alignment horizontal="center" vertical="center" wrapText="1"/>
    </xf>
    <xf numFmtId="14" fontId="106" fillId="30" borderId="36" xfId="1" applyNumberFormat="1" applyFont="1" applyFill="1" applyBorder="1" applyAlignment="1" applyProtection="1">
      <alignment horizontal="center" vertical="center" wrapText="1"/>
    </xf>
    <xf numFmtId="3" fontId="105" fillId="30" borderId="32" xfId="1" applyNumberFormat="1" applyFont="1" applyFill="1" applyBorder="1" applyAlignment="1" applyProtection="1">
      <alignment horizontal="center" vertical="center" wrapText="1"/>
    </xf>
    <xf numFmtId="3" fontId="105" fillId="30" borderId="36" xfId="1" applyNumberFormat="1" applyFont="1" applyFill="1" applyBorder="1" applyAlignment="1" applyProtection="1">
      <alignment horizontal="center" vertical="center" wrapText="1"/>
    </xf>
    <xf numFmtId="165" fontId="105" fillId="30" borderId="32" xfId="1" applyNumberFormat="1" applyFont="1" applyFill="1" applyBorder="1" applyAlignment="1" applyProtection="1">
      <alignment horizontal="center" vertical="center" wrapText="1"/>
    </xf>
    <xf numFmtId="165" fontId="105" fillId="30" borderId="36" xfId="1" applyNumberFormat="1" applyFont="1" applyFill="1" applyBorder="1" applyAlignment="1" applyProtection="1">
      <alignment horizontal="center" vertical="center" wrapText="1"/>
    </xf>
    <xf numFmtId="0" fontId="99" fillId="26" borderId="9" xfId="1" applyFont="1" applyFill="1" applyBorder="1" applyAlignment="1" applyProtection="1">
      <alignment horizontal="center" vertical="center" wrapText="1"/>
    </xf>
    <xf numFmtId="0" fontId="99" fillId="26" borderId="10" xfId="1" applyFont="1" applyFill="1" applyBorder="1" applyAlignment="1" applyProtection="1">
      <alignment horizontal="center" vertical="center" wrapText="1"/>
    </xf>
    <xf numFmtId="0" fontId="99" fillId="26" borderId="8" xfId="1" applyFont="1" applyFill="1" applyBorder="1" applyAlignment="1" applyProtection="1">
      <alignment horizontal="center" vertical="center" wrapText="1"/>
    </xf>
    <xf numFmtId="0" fontId="99" fillId="26" borderId="11" xfId="1" applyFont="1" applyFill="1" applyBorder="1" applyAlignment="1" applyProtection="1">
      <alignment horizontal="center" vertical="center" wrapText="1"/>
    </xf>
    <xf numFmtId="0" fontId="101" fillId="25" borderId="0" xfId="1" applyFont="1" applyFill="1" applyAlignment="1" applyProtection="1">
      <alignment horizontal="center" vertical="center" wrapText="1"/>
    </xf>
    <xf numFmtId="0" fontId="101" fillId="25" borderId="0" xfId="1" applyFont="1" applyFill="1" applyProtection="1"/>
    <xf numFmtId="0" fontId="102" fillId="33" borderId="6" xfId="1" applyFont="1" applyFill="1" applyBorder="1" applyAlignment="1" applyProtection="1">
      <alignment horizontal="left" vertical="center" wrapText="1"/>
    </xf>
    <xf numFmtId="0" fontId="102" fillId="6" borderId="6" xfId="1" applyFont="1" applyFill="1" applyBorder="1" applyAlignment="1" applyProtection="1">
      <alignment horizontal="left" vertical="center" wrapText="1"/>
    </xf>
    <xf numFmtId="164" fontId="105" fillId="32" borderId="46" xfId="1" applyNumberFormat="1" applyFont="1" applyFill="1" applyBorder="1" applyAlignment="1" applyProtection="1">
      <alignment horizontal="center" vertical="center" wrapText="1"/>
    </xf>
    <xf numFmtId="164" fontId="105" fillId="32" borderId="36" xfId="1" applyNumberFormat="1" applyFont="1" applyFill="1" applyBorder="1" applyAlignment="1" applyProtection="1">
      <alignment horizontal="center" vertical="center" wrapText="1"/>
    </xf>
    <xf numFmtId="164" fontId="106" fillId="32" borderId="46" xfId="1" applyNumberFormat="1" applyFont="1" applyFill="1" applyBorder="1" applyAlignment="1" applyProtection="1">
      <alignment horizontal="center" vertical="center" wrapText="1"/>
    </xf>
    <xf numFmtId="164" fontId="106" fillId="32" borderId="36" xfId="1" applyNumberFormat="1" applyFont="1" applyFill="1" applyBorder="1" applyAlignment="1" applyProtection="1">
      <alignment horizontal="center" vertical="center" wrapText="1"/>
    </xf>
    <xf numFmtId="14" fontId="106" fillId="32" borderId="46" xfId="1" applyNumberFormat="1" applyFont="1" applyFill="1" applyBorder="1" applyAlignment="1" applyProtection="1">
      <alignment horizontal="center" vertical="center" wrapText="1"/>
    </xf>
    <xf numFmtId="14" fontId="106" fillId="32" borderId="36" xfId="1" applyNumberFormat="1" applyFont="1" applyFill="1" applyBorder="1" applyAlignment="1" applyProtection="1">
      <alignment horizontal="center" vertical="center" wrapText="1"/>
    </xf>
    <xf numFmtId="3" fontId="105" fillId="32" borderId="46" xfId="1" applyNumberFormat="1" applyFont="1" applyFill="1" applyBorder="1" applyAlignment="1" applyProtection="1">
      <alignment horizontal="center" vertical="center" wrapText="1"/>
    </xf>
    <xf numFmtId="3" fontId="105" fillId="32" borderId="36" xfId="1" applyNumberFormat="1" applyFont="1" applyFill="1" applyBorder="1" applyAlignment="1" applyProtection="1">
      <alignment horizontal="center" vertical="center" wrapText="1"/>
    </xf>
    <xf numFmtId="165" fontId="105" fillId="32" borderId="46" xfId="1" applyNumberFormat="1" applyFont="1" applyFill="1" applyBorder="1" applyAlignment="1" applyProtection="1">
      <alignment horizontal="center" vertical="center" wrapText="1"/>
    </xf>
    <xf numFmtId="165" fontId="105" fillId="32" borderId="36" xfId="1" applyNumberFormat="1" applyFont="1" applyFill="1" applyBorder="1" applyAlignment="1" applyProtection="1">
      <alignment horizontal="center" vertical="center" wrapText="1"/>
    </xf>
    <xf numFmtId="164" fontId="105" fillId="7" borderId="46" xfId="1" applyNumberFormat="1" applyFont="1" applyFill="1" applyBorder="1" applyAlignment="1" applyProtection="1">
      <alignment horizontal="center" vertical="center" wrapText="1"/>
    </xf>
    <xf numFmtId="164" fontId="105" fillId="7" borderId="36" xfId="1" applyNumberFormat="1" applyFont="1" applyFill="1" applyBorder="1" applyAlignment="1" applyProtection="1">
      <alignment horizontal="center" vertical="center" wrapText="1"/>
    </xf>
    <xf numFmtId="164" fontId="106" fillId="7" borderId="46" xfId="1" applyNumberFormat="1" applyFont="1" applyFill="1" applyBorder="1" applyAlignment="1" applyProtection="1">
      <alignment horizontal="center" vertical="center" wrapText="1"/>
    </xf>
    <xf numFmtId="164" fontId="106" fillId="7" borderId="36" xfId="1" applyNumberFormat="1" applyFont="1" applyFill="1" applyBorder="1" applyAlignment="1" applyProtection="1">
      <alignment horizontal="center" vertical="center" wrapText="1"/>
    </xf>
    <xf numFmtId="164" fontId="105" fillId="7" borderId="32" xfId="1" applyNumberFormat="1" applyFont="1" applyFill="1" applyBorder="1" applyAlignment="1" applyProtection="1">
      <alignment horizontal="center" vertical="center" wrapText="1"/>
    </xf>
    <xf numFmtId="14" fontId="106" fillId="7" borderId="46" xfId="1" applyNumberFormat="1" applyFont="1" applyFill="1" applyBorder="1" applyAlignment="1" applyProtection="1">
      <alignment horizontal="center" vertical="center" wrapText="1"/>
    </xf>
    <xf numFmtId="14" fontId="106" fillId="7" borderId="36" xfId="1" applyNumberFormat="1" applyFont="1" applyFill="1" applyBorder="1" applyAlignment="1" applyProtection="1">
      <alignment horizontal="center" vertical="center" wrapText="1"/>
    </xf>
    <xf numFmtId="3" fontId="105" fillId="7" borderId="46" xfId="1" applyNumberFormat="1" applyFont="1" applyFill="1" applyBorder="1" applyAlignment="1" applyProtection="1">
      <alignment horizontal="center" vertical="center" wrapText="1"/>
    </xf>
    <xf numFmtId="3" fontId="105" fillId="7" borderId="36" xfId="1" applyNumberFormat="1" applyFont="1" applyFill="1" applyBorder="1" applyAlignment="1" applyProtection="1">
      <alignment horizontal="center" vertical="center" wrapText="1"/>
    </xf>
    <xf numFmtId="165" fontId="105" fillId="7" borderId="46" xfId="1" applyNumberFormat="1" applyFont="1" applyFill="1" applyBorder="1" applyAlignment="1" applyProtection="1">
      <alignment horizontal="center" vertical="center" wrapText="1"/>
    </xf>
    <xf numFmtId="165" fontId="105" fillId="7" borderId="36" xfId="1" applyNumberFormat="1" applyFont="1" applyFill="1" applyBorder="1" applyAlignment="1" applyProtection="1">
      <alignment horizontal="center" vertical="center" wrapText="1"/>
    </xf>
    <xf numFmtId="164" fontId="106" fillId="7" borderId="32" xfId="1" applyNumberFormat="1" applyFont="1" applyFill="1" applyBorder="1" applyAlignment="1" applyProtection="1">
      <alignment horizontal="center" vertical="center" wrapText="1"/>
    </xf>
    <xf numFmtId="164" fontId="105" fillId="7" borderId="32" xfId="1" quotePrefix="1" applyNumberFormat="1" applyFont="1" applyFill="1" applyBorder="1" applyAlignment="1" applyProtection="1">
      <alignment horizontal="center" vertical="center" wrapText="1"/>
    </xf>
    <xf numFmtId="164" fontId="105" fillId="7" borderId="36" xfId="1" quotePrefix="1" applyNumberFormat="1" applyFont="1" applyFill="1" applyBorder="1" applyAlignment="1" applyProtection="1">
      <alignment horizontal="center" vertical="center" wrapText="1"/>
    </xf>
    <xf numFmtId="164" fontId="98" fillId="7" borderId="32" xfId="1" applyNumberFormat="1" applyFont="1" applyFill="1" applyBorder="1" applyAlignment="1" applyProtection="1">
      <alignment horizontal="center" vertical="center" wrapText="1"/>
    </xf>
    <xf numFmtId="164" fontId="98" fillId="7" borderId="36" xfId="1" applyNumberFormat="1" applyFont="1" applyFill="1" applyBorder="1" applyAlignment="1" applyProtection="1">
      <alignment horizontal="center" vertical="center" wrapText="1"/>
    </xf>
    <xf numFmtId="14" fontId="106" fillId="7" borderId="32" xfId="1" applyNumberFormat="1" applyFont="1" applyFill="1" applyBorder="1" applyAlignment="1" applyProtection="1">
      <alignment horizontal="center" vertical="center" wrapText="1"/>
    </xf>
    <xf numFmtId="165" fontId="105" fillId="7" borderId="32" xfId="1" applyNumberFormat="1" applyFont="1" applyFill="1" applyBorder="1" applyAlignment="1" applyProtection="1">
      <alignment horizontal="center" vertical="center" wrapText="1"/>
    </xf>
    <xf numFmtId="164" fontId="98" fillId="30" borderId="34" xfId="1" applyNumberFormat="1" applyFont="1" applyFill="1" applyBorder="1" applyAlignment="1" applyProtection="1">
      <alignment horizontal="center" vertical="center" wrapText="1"/>
    </xf>
    <xf numFmtId="164" fontId="105" fillId="30" borderId="34" xfId="1" applyNumberFormat="1" applyFont="1" applyFill="1" applyBorder="1" applyAlignment="1" applyProtection="1">
      <alignment horizontal="center" vertical="center" wrapText="1"/>
    </xf>
    <xf numFmtId="14" fontId="106" fillId="30" borderId="34" xfId="1" applyNumberFormat="1" applyFont="1" applyFill="1" applyBorder="1" applyAlignment="1" applyProtection="1">
      <alignment horizontal="center" vertical="center" wrapText="1"/>
    </xf>
    <xf numFmtId="3" fontId="105" fillId="30" borderId="34" xfId="1" applyNumberFormat="1" applyFont="1" applyFill="1" applyBorder="1" applyAlignment="1" applyProtection="1">
      <alignment horizontal="center" vertical="center" wrapText="1"/>
    </xf>
    <xf numFmtId="165" fontId="105" fillId="30" borderId="34" xfId="1" applyNumberFormat="1" applyFont="1" applyFill="1" applyBorder="1" applyAlignment="1" applyProtection="1">
      <alignment horizontal="center" vertical="center" wrapText="1"/>
    </xf>
    <xf numFmtId="164" fontId="105" fillId="32" borderId="32" xfId="1" applyNumberFormat="1" applyFont="1" applyFill="1" applyBorder="1" applyAlignment="1" applyProtection="1">
      <alignment horizontal="center" vertical="center" wrapText="1"/>
    </xf>
    <xf numFmtId="3" fontId="105" fillId="7" borderId="32" xfId="1" applyNumberFormat="1" applyFont="1" applyFill="1" applyBorder="1" applyAlignment="1" applyProtection="1">
      <alignment horizontal="center" vertical="center" wrapText="1"/>
    </xf>
    <xf numFmtId="164" fontId="106" fillId="30" borderId="34" xfId="1" applyNumberFormat="1" applyFont="1" applyFill="1" applyBorder="1" applyAlignment="1" applyProtection="1">
      <alignment horizontal="center" vertical="center" wrapText="1"/>
    </xf>
    <xf numFmtId="164" fontId="105" fillId="30" borderId="34" xfId="1" quotePrefix="1" applyNumberFormat="1" applyFont="1" applyFill="1" applyBorder="1" applyAlignment="1" applyProtection="1">
      <alignment horizontal="center" vertical="center" wrapText="1"/>
    </xf>
    <xf numFmtId="0" fontId="83" fillId="22" borderId="37" xfId="0" applyFont="1" applyFill="1" applyBorder="1" applyAlignment="1">
      <alignment horizontal="center" vertical="center"/>
    </xf>
    <xf numFmtId="0" fontId="83" fillId="22" borderId="56" xfId="0" applyFont="1" applyFill="1" applyBorder="1" applyAlignment="1">
      <alignment horizontal="center" vertical="center"/>
    </xf>
    <xf numFmtId="0" fontId="83" fillId="22" borderId="38" xfId="0" applyFont="1" applyFill="1" applyBorder="1" applyAlignment="1">
      <alignment horizontal="center" vertical="center"/>
    </xf>
    <xf numFmtId="0" fontId="83" fillId="22" borderId="28" xfId="0" applyFont="1" applyFill="1" applyBorder="1" applyAlignment="1">
      <alignment horizontal="center" vertical="center"/>
    </xf>
    <xf numFmtId="14" fontId="83" fillId="6" borderId="37" xfId="0" applyNumberFormat="1" applyFont="1" applyFill="1" applyBorder="1" applyAlignment="1">
      <alignment horizontal="center" vertical="center" wrapText="1"/>
    </xf>
    <xf numFmtId="14" fontId="83" fillId="6" borderId="38" xfId="0" applyNumberFormat="1" applyFont="1" applyFill="1" applyBorder="1" applyAlignment="1">
      <alignment horizontal="center" vertical="center" wrapText="1"/>
    </xf>
    <xf numFmtId="164" fontId="83" fillId="7" borderId="55" xfId="0" applyNumberFormat="1" applyFont="1" applyFill="1" applyBorder="1" applyAlignment="1">
      <alignment horizontal="center" vertical="center" wrapText="1"/>
    </xf>
    <xf numFmtId="3" fontId="83" fillId="10" borderId="28" xfId="0" applyNumberFormat="1" applyFont="1" applyFill="1" applyBorder="1" applyAlignment="1">
      <alignment horizontal="center" vertical="center" wrapText="1"/>
    </xf>
    <xf numFmtId="3" fontId="83" fillId="23" borderId="28" xfId="0" applyNumberFormat="1" applyFont="1" applyFill="1" applyBorder="1" applyAlignment="1">
      <alignment horizontal="center" vertical="center" wrapText="1"/>
    </xf>
    <xf numFmtId="0" fontId="83" fillId="23" borderId="28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87" fillId="0" borderId="27" xfId="0" applyFont="1" applyBorder="1" applyAlignment="1">
      <alignment horizontal="center" vertical="center" wrapText="1"/>
    </xf>
    <xf numFmtId="0" fontId="83" fillId="10" borderId="28" xfId="0" applyFont="1" applyFill="1" applyBorder="1" applyAlignment="1">
      <alignment horizontal="center" vertical="center" wrapText="1"/>
    </xf>
    <xf numFmtId="164" fontId="83" fillId="18" borderId="0" xfId="0" applyNumberFormat="1" applyFont="1" applyFill="1" applyAlignment="1">
      <alignment horizontal="center" vertical="center" wrapText="1"/>
    </xf>
    <xf numFmtId="0" fontId="87" fillId="22" borderId="28" xfId="0" applyFont="1" applyFill="1" applyBorder="1" applyAlignment="1">
      <alignment horizontal="center" vertical="center" wrapText="1"/>
    </xf>
    <xf numFmtId="0" fontId="87" fillId="22" borderId="32" xfId="0" applyFont="1" applyFill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87" fillId="22" borderId="37" xfId="0" applyFont="1" applyFill="1" applyBorder="1" applyAlignment="1">
      <alignment horizontal="center" vertical="center" wrapText="1"/>
    </xf>
    <xf numFmtId="0" fontId="87" fillId="22" borderId="38" xfId="0" applyFont="1" applyFill="1" applyBorder="1" applyAlignment="1">
      <alignment horizontal="center" vertical="center" wrapText="1"/>
    </xf>
    <xf numFmtId="0" fontId="87" fillId="0" borderId="27" xfId="0" applyFont="1" applyBorder="1" applyAlignment="1">
      <alignment vertical="center" wrapText="1"/>
    </xf>
  </cellXfs>
  <cellStyles count="3">
    <cellStyle name="Normal" xfId="0" builtinId="0"/>
    <cellStyle name="Normal 2" xfId="2" xr:uid="{00000000-0005-0000-0000-000002000000}"/>
    <cellStyle name="Normal 4" xfId="1" xr:uid="{00000000-0005-0000-0000-000001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28575</xdr:rowOff>
    </xdr:from>
    <xdr:to>
      <xdr:col>6</xdr:col>
      <xdr:colOff>266700</xdr:colOff>
      <xdr:row>6</xdr:row>
      <xdr:rowOff>209550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6ACE59-89DD-462B-8636-7AFBE69F47EE}"/>
            </a:ext>
          </a:extLst>
        </xdr:cNvPr>
        <xdr:cNvSpPr/>
      </xdr:nvSpPr>
      <xdr:spPr>
        <a:xfrm>
          <a:off x="8534400" y="828675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7</xdr:row>
      <xdr:rowOff>9525</xdr:rowOff>
    </xdr:from>
    <xdr:to>
      <xdr:col>6</xdr:col>
      <xdr:colOff>266700</xdr:colOff>
      <xdr:row>7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AA94B7-72A4-4105-A366-08E2577A6B1B}"/>
            </a:ext>
          </a:extLst>
        </xdr:cNvPr>
        <xdr:cNvSpPr/>
      </xdr:nvSpPr>
      <xdr:spPr>
        <a:xfrm>
          <a:off x="8534400" y="102870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8</xdr:row>
      <xdr:rowOff>19050</xdr:rowOff>
    </xdr:from>
    <xdr:to>
      <xdr:col>6</xdr:col>
      <xdr:colOff>266700</xdr:colOff>
      <xdr:row>8</xdr:row>
      <xdr:rowOff>200025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E9A4B3C-A807-4313-93BF-3262C7C687B2}"/>
            </a:ext>
          </a:extLst>
        </xdr:cNvPr>
        <xdr:cNvSpPr/>
      </xdr:nvSpPr>
      <xdr:spPr>
        <a:xfrm>
          <a:off x="8534400" y="125730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9</xdr:row>
      <xdr:rowOff>28575</xdr:rowOff>
    </xdr:from>
    <xdr:to>
      <xdr:col>6</xdr:col>
      <xdr:colOff>266700</xdr:colOff>
      <xdr:row>9</xdr:row>
      <xdr:rowOff>209550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B24F271-4F71-4975-88EB-803D3394F4F9}"/>
            </a:ext>
          </a:extLst>
        </xdr:cNvPr>
        <xdr:cNvSpPr/>
      </xdr:nvSpPr>
      <xdr:spPr>
        <a:xfrm>
          <a:off x="8534400" y="148590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14</xdr:row>
      <xdr:rowOff>28575</xdr:rowOff>
    </xdr:from>
    <xdr:to>
      <xdr:col>6</xdr:col>
      <xdr:colOff>266700</xdr:colOff>
      <xdr:row>14</xdr:row>
      <xdr:rowOff>209550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BFA6F81-CBBD-469C-B309-655EEE73C5CD}"/>
            </a:ext>
          </a:extLst>
        </xdr:cNvPr>
        <xdr:cNvSpPr/>
      </xdr:nvSpPr>
      <xdr:spPr>
        <a:xfrm>
          <a:off x="8524875" y="847725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15</xdr:row>
      <xdr:rowOff>9525</xdr:rowOff>
    </xdr:from>
    <xdr:to>
      <xdr:col>6</xdr:col>
      <xdr:colOff>266700</xdr:colOff>
      <xdr:row>15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D14E7CE-5789-4172-9682-65BD412A9837}"/>
            </a:ext>
          </a:extLst>
        </xdr:cNvPr>
        <xdr:cNvSpPr/>
      </xdr:nvSpPr>
      <xdr:spPr>
        <a:xfrm>
          <a:off x="8524875" y="104775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16</xdr:row>
      <xdr:rowOff>19050</xdr:rowOff>
    </xdr:from>
    <xdr:to>
      <xdr:col>6</xdr:col>
      <xdr:colOff>266700</xdr:colOff>
      <xdr:row>16</xdr:row>
      <xdr:rowOff>200025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D9C078-D83B-47ED-AB3E-3BCE48EFDE92}"/>
            </a:ext>
          </a:extLst>
        </xdr:cNvPr>
        <xdr:cNvSpPr/>
      </xdr:nvSpPr>
      <xdr:spPr>
        <a:xfrm>
          <a:off x="8524875" y="127635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17</xdr:row>
      <xdr:rowOff>28575</xdr:rowOff>
    </xdr:from>
    <xdr:to>
      <xdr:col>6</xdr:col>
      <xdr:colOff>266700</xdr:colOff>
      <xdr:row>17</xdr:row>
      <xdr:rowOff>209550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560BCC0-5F61-4BA4-A5E1-448CF7309B83}"/>
            </a:ext>
          </a:extLst>
        </xdr:cNvPr>
        <xdr:cNvSpPr/>
      </xdr:nvSpPr>
      <xdr:spPr>
        <a:xfrm>
          <a:off x="8524875" y="150495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14</xdr:row>
      <xdr:rowOff>28575</xdr:rowOff>
    </xdr:from>
    <xdr:to>
      <xdr:col>6</xdr:col>
      <xdr:colOff>266700</xdr:colOff>
      <xdr:row>14</xdr:row>
      <xdr:rowOff>209550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F6B1A26-3953-453D-B1CF-6391F29AE1B9}"/>
            </a:ext>
          </a:extLst>
        </xdr:cNvPr>
        <xdr:cNvSpPr/>
      </xdr:nvSpPr>
      <xdr:spPr>
        <a:xfrm>
          <a:off x="7067550" y="1057275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15</xdr:row>
      <xdr:rowOff>9525</xdr:rowOff>
    </xdr:from>
    <xdr:to>
      <xdr:col>6</xdr:col>
      <xdr:colOff>266700</xdr:colOff>
      <xdr:row>15</xdr:row>
      <xdr:rowOff>190500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4E71033-A6CE-431B-8000-F24528180B77}"/>
            </a:ext>
          </a:extLst>
        </xdr:cNvPr>
        <xdr:cNvSpPr/>
      </xdr:nvSpPr>
      <xdr:spPr>
        <a:xfrm>
          <a:off x="7067550" y="125730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16</xdr:row>
      <xdr:rowOff>19050</xdr:rowOff>
    </xdr:from>
    <xdr:to>
      <xdr:col>6</xdr:col>
      <xdr:colOff>266700</xdr:colOff>
      <xdr:row>16</xdr:row>
      <xdr:rowOff>200025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BA87198-33FE-4423-B2A9-5533D52D102C}"/>
            </a:ext>
          </a:extLst>
        </xdr:cNvPr>
        <xdr:cNvSpPr/>
      </xdr:nvSpPr>
      <xdr:spPr>
        <a:xfrm>
          <a:off x="7067550" y="1485900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9525</xdr:colOff>
      <xdr:row>17</xdr:row>
      <xdr:rowOff>28575</xdr:rowOff>
    </xdr:from>
    <xdr:to>
      <xdr:col>6</xdr:col>
      <xdr:colOff>266700</xdr:colOff>
      <xdr:row>17</xdr:row>
      <xdr:rowOff>209550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0E03ECC-9E35-4430-933F-89CA8982A388}"/>
            </a:ext>
          </a:extLst>
        </xdr:cNvPr>
        <xdr:cNvSpPr/>
      </xdr:nvSpPr>
      <xdr:spPr>
        <a:xfrm>
          <a:off x="7067550" y="1933575"/>
          <a:ext cx="257175" cy="18097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Y1155"/>
  <sheetViews>
    <sheetView zoomScale="85" zoomScaleNormal="85" workbookViewId="0">
      <pane xSplit="3" ySplit="3" topLeftCell="N961" activePane="bottomRight" state="frozen"/>
      <selection pane="topRight"/>
      <selection pane="bottomLeft"/>
      <selection pane="bottomRight" activeCell="T1004" sqref="T1004"/>
    </sheetView>
  </sheetViews>
  <sheetFormatPr defaultColWidth="14.33203125" defaultRowHeight="15" customHeight="1"/>
  <cols>
    <col min="1" max="1" width="4.08203125" style="1" customWidth="1"/>
    <col min="2" max="2" width="25.08203125" style="1" customWidth="1"/>
    <col min="3" max="3" width="31.33203125" style="1" customWidth="1"/>
    <col min="4" max="4" width="21.5" style="1" customWidth="1"/>
    <col min="5" max="5" width="21.75" style="1" customWidth="1"/>
    <col min="6" max="6" width="20.08203125" style="1" customWidth="1"/>
    <col min="7" max="7" width="21.5" style="1" customWidth="1"/>
    <col min="8" max="8" width="14.08203125" style="1" customWidth="1"/>
    <col min="9" max="9" width="11.75" style="1" customWidth="1"/>
    <col min="10" max="10" width="15.33203125" style="1" customWidth="1"/>
    <col min="11" max="11" width="13.08203125" style="1" customWidth="1"/>
    <col min="12" max="13" width="11.75" style="1" customWidth="1"/>
    <col min="14" max="14" width="14.83203125" style="1" customWidth="1"/>
    <col min="15" max="16" width="13.25" style="1" customWidth="1"/>
    <col min="17" max="17" width="17.08203125" style="1" customWidth="1"/>
    <col min="18" max="18" width="12.75" style="1" customWidth="1"/>
    <col min="19" max="19" width="17.5" style="1" customWidth="1"/>
    <col min="20" max="20" width="12.75" style="1" customWidth="1"/>
    <col min="21" max="21" width="16.08203125" style="1" customWidth="1"/>
    <col min="22" max="22" width="14.83203125" style="1" customWidth="1"/>
    <col min="23" max="23" width="23.83203125" style="1" customWidth="1"/>
    <col min="24" max="24" width="19.58203125" style="1" customWidth="1"/>
    <col min="25" max="25" width="15.25" style="1" customWidth="1"/>
    <col min="26" max="16384" width="14.33203125" style="1"/>
  </cols>
  <sheetData>
    <row r="1" spans="1:25" ht="32.25" customHeight="1">
      <c r="A1" s="933" t="s">
        <v>0</v>
      </c>
      <c r="B1" s="934"/>
      <c r="C1" s="934"/>
      <c r="D1" s="934"/>
      <c r="E1" s="934"/>
      <c r="F1" s="934"/>
      <c r="G1" s="934"/>
      <c r="H1" s="934"/>
      <c r="I1" s="934"/>
      <c r="J1" s="934"/>
      <c r="K1" s="934"/>
      <c r="L1" s="934"/>
      <c r="M1" s="934"/>
      <c r="N1" s="934"/>
      <c r="O1" s="934"/>
      <c r="P1" s="934"/>
      <c r="Q1" s="934"/>
      <c r="R1" s="934"/>
      <c r="S1" s="934"/>
      <c r="T1" s="934"/>
      <c r="U1" s="934"/>
      <c r="V1" s="934"/>
      <c r="W1" s="934"/>
      <c r="X1" s="934"/>
      <c r="Y1" s="2"/>
    </row>
    <row r="2" spans="1:25" ht="14.5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5" t="s">
        <v>14</v>
      </c>
      <c r="O2" s="5" t="s">
        <v>15</v>
      </c>
      <c r="P2" s="5" t="s">
        <v>16</v>
      </c>
      <c r="Q2" s="7" t="s">
        <v>17</v>
      </c>
      <c r="R2" s="8" t="s">
        <v>18</v>
      </c>
      <c r="S2" s="8" t="s">
        <v>19</v>
      </c>
      <c r="T2" s="8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2"/>
    </row>
    <row r="3" spans="1:25" ht="14.25" customHeight="1">
      <c r="A3" s="807" t="s">
        <v>25</v>
      </c>
      <c r="B3" s="817"/>
      <c r="C3" s="817"/>
      <c r="D3" s="817"/>
      <c r="E3" s="817"/>
      <c r="F3" s="817"/>
      <c r="G3" s="817"/>
      <c r="H3" s="817"/>
      <c r="I3" s="817"/>
      <c r="J3" s="817"/>
      <c r="K3" s="817"/>
      <c r="L3" s="817"/>
      <c r="M3" s="817"/>
      <c r="N3" s="817"/>
      <c r="O3" s="817"/>
      <c r="P3" s="817"/>
      <c r="Q3" s="817"/>
      <c r="R3" s="817"/>
      <c r="S3" s="817"/>
      <c r="T3" s="817"/>
      <c r="U3" s="817"/>
      <c r="V3" s="817"/>
      <c r="W3" s="817"/>
      <c r="X3" s="818"/>
      <c r="Y3" s="2"/>
    </row>
    <row r="4" spans="1:25" ht="27" customHeight="1">
      <c r="A4" s="9">
        <v>1</v>
      </c>
      <c r="B4" s="9" t="s">
        <v>26</v>
      </c>
      <c r="C4" s="10" t="s">
        <v>27</v>
      </c>
      <c r="D4" s="10" t="s">
        <v>25</v>
      </c>
      <c r="E4" s="10" t="s">
        <v>28</v>
      </c>
      <c r="F4" s="9" t="s">
        <v>29</v>
      </c>
      <c r="G4" s="9" t="s">
        <v>30</v>
      </c>
      <c r="H4" s="10" t="s">
        <v>31</v>
      </c>
      <c r="I4" s="10" t="s">
        <v>32</v>
      </c>
      <c r="J4" s="9" t="s">
        <v>33</v>
      </c>
      <c r="K4" s="9" t="s">
        <v>34</v>
      </c>
      <c r="L4" s="9" t="s">
        <v>35</v>
      </c>
      <c r="M4" s="11">
        <v>44266</v>
      </c>
      <c r="N4" s="12">
        <v>44297</v>
      </c>
      <c r="O4" s="12">
        <v>44327</v>
      </c>
      <c r="P4" s="12">
        <v>44327</v>
      </c>
      <c r="Q4" s="9" t="s">
        <v>36</v>
      </c>
      <c r="R4" s="9" t="s">
        <v>37</v>
      </c>
      <c r="S4" s="9">
        <v>101222</v>
      </c>
      <c r="T4" s="787" t="s">
        <v>38</v>
      </c>
      <c r="U4" s="14">
        <v>1321000</v>
      </c>
      <c r="V4" s="14">
        <v>150000</v>
      </c>
      <c r="W4" s="787" t="s">
        <v>39</v>
      </c>
      <c r="X4" s="787" t="s">
        <v>40</v>
      </c>
      <c r="Y4" s="2"/>
    </row>
    <row r="5" spans="1:25" ht="26">
      <c r="A5" s="9">
        <v>2</v>
      </c>
      <c r="B5" s="9" t="s">
        <v>26</v>
      </c>
      <c r="C5" s="10" t="s">
        <v>41</v>
      </c>
      <c r="D5" s="10" t="s">
        <v>25</v>
      </c>
      <c r="E5" s="10" t="s">
        <v>28</v>
      </c>
      <c r="F5" s="9" t="s">
        <v>42</v>
      </c>
      <c r="G5" s="9" t="s">
        <v>30</v>
      </c>
      <c r="H5" s="10" t="s">
        <v>43</v>
      </c>
      <c r="I5" s="10" t="s">
        <v>44</v>
      </c>
      <c r="J5" s="9" t="s">
        <v>33</v>
      </c>
      <c r="K5" s="9" t="s">
        <v>34</v>
      </c>
      <c r="L5" s="9" t="s">
        <v>35</v>
      </c>
      <c r="M5" s="11">
        <v>44266</v>
      </c>
      <c r="N5" s="12">
        <v>44297</v>
      </c>
      <c r="O5" s="12">
        <v>44327</v>
      </c>
      <c r="P5" s="12">
        <v>44327</v>
      </c>
      <c r="Q5" s="9" t="s">
        <v>36</v>
      </c>
      <c r="R5" s="9" t="s">
        <v>37</v>
      </c>
      <c r="S5" s="9">
        <v>101211</v>
      </c>
      <c r="T5" s="789"/>
      <c r="U5" s="14">
        <v>1950000</v>
      </c>
      <c r="V5" s="14">
        <v>150000</v>
      </c>
      <c r="W5" s="900"/>
      <c r="X5" s="900"/>
      <c r="Y5" s="2"/>
    </row>
    <row r="6" spans="1:25" ht="26">
      <c r="A6" s="787">
        <v>3</v>
      </c>
      <c r="B6" s="787" t="s">
        <v>45</v>
      </c>
      <c r="C6" s="787" t="s">
        <v>46</v>
      </c>
      <c r="D6" s="787" t="s">
        <v>25</v>
      </c>
      <c r="E6" s="787" t="s">
        <v>47</v>
      </c>
      <c r="F6" s="787" t="s">
        <v>48</v>
      </c>
      <c r="G6" s="787" t="s">
        <v>49</v>
      </c>
      <c r="H6" s="790" t="s">
        <v>50</v>
      </c>
      <c r="I6" s="790" t="s">
        <v>51</v>
      </c>
      <c r="J6" s="787" t="s">
        <v>52</v>
      </c>
      <c r="K6" s="787" t="s">
        <v>53</v>
      </c>
      <c r="L6" s="796" t="s">
        <v>54</v>
      </c>
      <c r="M6" s="878">
        <v>44480</v>
      </c>
      <c r="N6" s="796">
        <v>44480</v>
      </c>
      <c r="O6" s="796">
        <v>44480</v>
      </c>
      <c r="P6" s="796">
        <v>44511</v>
      </c>
      <c r="Q6" s="787" t="s">
        <v>55</v>
      </c>
      <c r="R6" s="796" t="s">
        <v>56</v>
      </c>
      <c r="S6" s="787" t="s">
        <v>57</v>
      </c>
      <c r="T6" s="787" t="s">
        <v>40</v>
      </c>
      <c r="U6" s="815">
        <v>919000</v>
      </c>
      <c r="V6" s="14">
        <v>50000</v>
      </c>
      <c r="W6" s="14" t="s">
        <v>58</v>
      </c>
      <c r="X6" s="12">
        <v>44867</v>
      </c>
      <c r="Y6" s="2"/>
    </row>
    <row r="7" spans="1:25" ht="14.5">
      <c r="A7" s="789"/>
      <c r="B7" s="789"/>
      <c r="C7" s="789"/>
      <c r="D7" s="789"/>
      <c r="E7" s="789"/>
      <c r="F7" s="789"/>
      <c r="G7" s="789"/>
      <c r="H7" s="789"/>
      <c r="I7" s="789"/>
      <c r="J7" s="789"/>
      <c r="K7" s="789"/>
      <c r="L7" s="789"/>
      <c r="M7" s="789"/>
      <c r="N7" s="789"/>
      <c r="O7" s="789"/>
      <c r="P7" s="789"/>
      <c r="Q7" s="789"/>
      <c r="R7" s="789"/>
      <c r="S7" s="789"/>
      <c r="T7" s="789"/>
      <c r="U7" s="816"/>
      <c r="V7" s="14">
        <v>150000</v>
      </c>
      <c r="W7" s="14" t="s">
        <v>59</v>
      </c>
      <c r="X7" s="12">
        <v>44867</v>
      </c>
      <c r="Y7" s="2"/>
    </row>
    <row r="8" spans="1:25" ht="26">
      <c r="A8" s="787">
        <v>4</v>
      </c>
      <c r="B8" s="787" t="s">
        <v>45</v>
      </c>
      <c r="C8" s="787" t="s">
        <v>60</v>
      </c>
      <c r="D8" s="787" t="s">
        <v>25</v>
      </c>
      <c r="E8" s="787" t="s">
        <v>61</v>
      </c>
      <c r="F8" s="787" t="s">
        <v>62</v>
      </c>
      <c r="G8" s="787" t="s">
        <v>63</v>
      </c>
      <c r="H8" s="790" t="s">
        <v>64</v>
      </c>
      <c r="I8" s="790" t="s">
        <v>65</v>
      </c>
      <c r="J8" s="787" t="s">
        <v>66</v>
      </c>
      <c r="K8" s="787" t="s">
        <v>53</v>
      </c>
      <c r="L8" s="796">
        <v>44297</v>
      </c>
      <c r="M8" s="878">
        <v>44511</v>
      </c>
      <c r="N8" s="796">
        <v>44511</v>
      </c>
      <c r="O8" s="796">
        <v>44511</v>
      </c>
      <c r="P8" s="796">
        <v>44541</v>
      </c>
      <c r="Q8" s="787" t="s">
        <v>55</v>
      </c>
      <c r="R8" s="796">
        <v>44511</v>
      </c>
      <c r="S8" s="787" t="s">
        <v>67</v>
      </c>
      <c r="T8" s="787" t="s">
        <v>40</v>
      </c>
      <c r="U8" s="815">
        <v>475000</v>
      </c>
      <c r="V8" s="14">
        <v>50000</v>
      </c>
      <c r="W8" s="14" t="s">
        <v>58</v>
      </c>
      <c r="X8" s="9" t="s">
        <v>40</v>
      </c>
      <c r="Y8" s="2"/>
    </row>
    <row r="9" spans="1:25" ht="14.5">
      <c r="A9" s="789"/>
      <c r="B9" s="789"/>
      <c r="C9" s="789"/>
      <c r="D9" s="789"/>
      <c r="E9" s="789"/>
      <c r="F9" s="789"/>
      <c r="G9" s="789"/>
      <c r="H9" s="789"/>
      <c r="I9" s="789"/>
      <c r="J9" s="789"/>
      <c r="K9" s="789"/>
      <c r="L9" s="789"/>
      <c r="M9" s="789"/>
      <c r="N9" s="789"/>
      <c r="O9" s="789"/>
      <c r="P9" s="789"/>
      <c r="Q9" s="789"/>
      <c r="R9" s="789"/>
      <c r="S9" s="789"/>
      <c r="T9" s="789"/>
      <c r="U9" s="815"/>
      <c r="V9" s="14">
        <v>100000</v>
      </c>
      <c r="W9" s="14" t="s">
        <v>59</v>
      </c>
      <c r="X9" s="9" t="s">
        <v>40</v>
      </c>
      <c r="Y9" s="2"/>
    </row>
    <row r="10" spans="1:25" ht="25.5" customHeight="1">
      <c r="A10" s="787">
        <v>5</v>
      </c>
      <c r="B10" s="787" t="s">
        <v>45</v>
      </c>
      <c r="C10" s="787" t="s">
        <v>68</v>
      </c>
      <c r="D10" s="787" t="s">
        <v>25</v>
      </c>
      <c r="E10" s="787" t="s">
        <v>69</v>
      </c>
      <c r="F10" s="787" t="s">
        <v>70</v>
      </c>
      <c r="G10" s="787" t="s">
        <v>71</v>
      </c>
      <c r="H10" s="790" t="s">
        <v>72</v>
      </c>
      <c r="I10" s="790" t="s">
        <v>73</v>
      </c>
      <c r="J10" s="787" t="s">
        <v>74</v>
      </c>
      <c r="K10" s="787" t="s">
        <v>53</v>
      </c>
      <c r="L10" s="796">
        <v>44358</v>
      </c>
      <c r="M10" s="878" t="s">
        <v>75</v>
      </c>
      <c r="N10" s="796" t="s">
        <v>76</v>
      </c>
      <c r="O10" s="787" t="s">
        <v>76</v>
      </c>
      <c r="P10" s="787" t="s">
        <v>77</v>
      </c>
      <c r="Q10" s="787" t="s">
        <v>78</v>
      </c>
      <c r="R10" s="787" t="s">
        <v>79</v>
      </c>
      <c r="S10" s="787">
        <v>10063</v>
      </c>
      <c r="T10" s="787" t="s">
        <v>40</v>
      </c>
      <c r="U10" s="815">
        <v>339000</v>
      </c>
      <c r="V10" s="14">
        <v>50000</v>
      </c>
      <c r="W10" s="14" t="s">
        <v>58</v>
      </c>
      <c r="X10" s="12">
        <v>44867</v>
      </c>
      <c r="Y10" s="2"/>
    </row>
    <row r="11" spans="1:25" ht="24.75" customHeight="1">
      <c r="A11" s="789"/>
      <c r="B11" s="789"/>
      <c r="C11" s="789"/>
      <c r="D11" s="789"/>
      <c r="E11" s="789"/>
      <c r="F11" s="789"/>
      <c r="G11" s="789"/>
      <c r="H11" s="789"/>
      <c r="I11" s="789"/>
      <c r="J11" s="789"/>
      <c r="K11" s="789"/>
      <c r="L11" s="789"/>
      <c r="M11" s="789"/>
      <c r="N11" s="789"/>
      <c r="O11" s="789"/>
      <c r="P11" s="789"/>
      <c r="Q11" s="789"/>
      <c r="R11" s="789"/>
      <c r="S11" s="789"/>
      <c r="T11" s="789"/>
      <c r="U11" s="815"/>
      <c r="V11" s="14">
        <v>50000</v>
      </c>
      <c r="W11" s="14" t="s">
        <v>59</v>
      </c>
      <c r="X11" s="12">
        <v>44867</v>
      </c>
      <c r="Y11" s="2"/>
    </row>
    <row r="12" spans="1:25" ht="25.5" customHeight="1">
      <c r="A12" s="787">
        <v>6</v>
      </c>
      <c r="B12" s="787" t="s">
        <v>45</v>
      </c>
      <c r="C12" s="787" t="s">
        <v>80</v>
      </c>
      <c r="D12" s="787" t="s">
        <v>25</v>
      </c>
      <c r="E12" s="787" t="s">
        <v>61</v>
      </c>
      <c r="F12" s="787" t="s">
        <v>81</v>
      </c>
      <c r="G12" s="787" t="s">
        <v>71</v>
      </c>
      <c r="H12" s="790" t="s">
        <v>82</v>
      </c>
      <c r="I12" s="790" t="s">
        <v>83</v>
      </c>
      <c r="J12" s="787" t="s">
        <v>66</v>
      </c>
      <c r="K12" s="787" t="s">
        <v>53</v>
      </c>
      <c r="L12" s="796" t="s">
        <v>75</v>
      </c>
      <c r="M12" s="878" t="s">
        <v>84</v>
      </c>
      <c r="N12" s="796" t="s">
        <v>85</v>
      </c>
      <c r="O12" s="787" t="s">
        <v>86</v>
      </c>
      <c r="P12" s="787" t="s">
        <v>87</v>
      </c>
      <c r="Q12" s="787" t="s">
        <v>55</v>
      </c>
      <c r="R12" s="787" t="s">
        <v>85</v>
      </c>
      <c r="S12" s="787" t="s">
        <v>88</v>
      </c>
      <c r="T12" s="787" t="s">
        <v>40</v>
      </c>
      <c r="U12" s="815">
        <v>387000</v>
      </c>
      <c r="V12" s="14" t="s">
        <v>40</v>
      </c>
      <c r="W12" s="14" t="s">
        <v>58</v>
      </c>
      <c r="X12" s="9" t="s">
        <v>40</v>
      </c>
      <c r="Y12" s="2"/>
    </row>
    <row r="13" spans="1:25" ht="24.75" customHeight="1">
      <c r="A13" s="789"/>
      <c r="B13" s="789"/>
      <c r="C13" s="789"/>
      <c r="D13" s="789"/>
      <c r="E13" s="789"/>
      <c r="F13" s="789"/>
      <c r="G13" s="789"/>
      <c r="H13" s="789"/>
      <c r="I13" s="789"/>
      <c r="J13" s="789"/>
      <c r="K13" s="789"/>
      <c r="L13" s="789"/>
      <c r="M13" s="789"/>
      <c r="N13" s="789"/>
      <c r="O13" s="789"/>
      <c r="P13" s="789"/>
      <c r="Q13" s="789"/>
      <c r="R13" s="789"/>
      <c r="S13" s="789"/>
      <c r="T13" s="789"/>
      <c r="U13" s="815"/>
      <c r="V13" s="14" t="s">
        <v>40</v>
      </c>
      <c r="W13" s="14" t="s">
        <v>59</v>
      </c>
      <c r="X13" s="9" t="s">
        <v>40</v>
      </c>
      <c r="Y13" s="2"/>
    </row>
    <row r="14" spans="1:25" ht="21" customHeight="1">
      <c r="A14" s="787">
        <v>7</v>
      </c>
      <c r="B14" s="787" t="s">
        <v>45</v>
      </c>
      <c r="C14" s="787" t="s">
        <v>89</v>
      </c>
      <c r="D14" s="787" t="s">
        <v>25</v>
      </c>
      <c r="E14" s="787" t="s">
        <v>90</v>
      </c>
      <c r="F14" s="787" t="s">
        <v>91</v>
      </c>
      <c r="G14" s="787" t="s">
        <v>71</v>
      </c>
      <c r="H14" s="790" t="s">
        <v>92</v>
      </c>
      <c r="I14" s="790" t="s">
        <v>93</v>
      </c>
      <c r="J14" s="787" t="s">
        <v>94</v>
      </c>
      <c r="K14" s="787" t="s">
        <v>53</v>
      </c>
      <c r="L14" s="796" t="s">
        <v>85</v>
      </c>
      <c r="M14" s="878" t="s">
        <v>87</v>
      </c>
      <c r="N14" s="796" t="s">
        <v>56</v>
      </c>
      <c r="O14" s="796" t="s">
        <v>56</v>
      </c>
      <c r="P14" s="796" t="s">
        <v>79</v>
      </c>
      <c r="Q14" s="787" t="s">
        <v>78</v>
      </c>
      <c r="R14" s="787" t="s">
        <v>86</v>
      </c>
      <c r="S14" s="787" t="s">
        <v>95</v>
      </c>
      <c r="T14" s="787" t="s">
        <v>40</v>
      </c>
      <c r="U14" s="815">
        <v>693050</v>
      </c>
      <c r="V14" s="14">
        <v>50000</v>
      </c>
      <c r="W14" s="14" t="s">
        <v>58</v>
      </c>
      <c r="X14" s="9" t="s">
        <v>40</v>
      </c>
      <c r="Y14" s="2"/>
    </row>
    <row r="15" spans="1:25" ht="14.5">
      <c r="A15" s="789"/>
      <c r="B15" s="789"/>
      <c r="C15" s="789"/>
      <c r="D15" s="789"/>
      <c r="E15" s="789"/>
      <c r="F15" s="789"/>
      <c r="G15" s="789"/>
      <c r="H15" s="789"/>
      <c r="I15" s="789"/>
      <c r="J15" s="789"/>
      <c r="K15" s="789"/>
      <c r="L15" s="789"/>
      <c r="M15" s="789"/>
      <c r="N15" s="789"/>
      <c r="O15" s="789"/>
      <c r="P15" s="789"/>
      <c r="Q15" s="789"/>
      <c r="R15" s="789"/>
      <c r="S15" s="789"/>
      <c r="T15" s="789"/>
      <c r="U15" s="815"/>
      <c r="V15" s="14">
        <v>50000</v>
      </c>
      <c r="W15" s="14" t="s">
        <v>59</v>
      </c>
      <c r="X15" s="9" t="s">
        <v>40</v>
      </c>
      <c r="Y15" s="2"/>
    </row>
    <row r="16" spans="1:25" ht="25.5" customHeight="1">
      <c r="A16" s="787">
        <v>8</v>
      </c>
      <c r="B16" s="787" t="s">
        <v>45</v>
      </c>
      <c r="C16" s="787" t="s">
        <v>96</v>
      </c>
      <c r="D16" s="787" t="s">
        <v>25</v>
      </c>
      <c r="E16" s="787" t="s">
        <v>61</v>
      </c>
      <c r="F16" s="787" t="s">
        <v>97</v>
      </c>
      <c r="G16" s="787" t="s">
        <v>63</v>
      </c>
      <c r="H16" s="790" t="s">
        <v>98</v>
      </c>
      <c r="I16" s="790" t="s">
        <v>83</v>
      </c>
      <c r="J16" s="787" t="s">
        <v>66</v>
      </c>
      <c r="K16" s="787" t="s">
        <v>99</v>
      </c>
      <c r="L16" s="796" t="s">
        <v>100</v>
      </c>
      <c r="M16" s="878" t="s">
        <v>79</v>
      </c>
      <c r="N16" s="796" t="s">
        <v>79</v>
      </c>
      <c r="O16" s="787" t="s">
        <v>79</v>
      </c>
      <c r="P16" s="787" t="s">
        <v>101</v>
      </c>
      <c r="Q16" s="787" t="s">
        <v>102</v>
      </c>
      <c r="R16" s="787" t="s">
        <v>56</v>
      </c>
      <c r="S16" s="787" t="s">
        <v>103</v>
      </c>
      <c r="T16" s="787" t="s">
        <v>40</v>
      </c>
      <c r="U16" s="815">
        <v>579000</v>
      </c>
      <c r="V16" s="14">
        <v>50000</v>
      </c>
      <c r="W16" s="14" t="s">
        <v>58</v>
      </c>
      <c r="X16" s="9" t="s">
        <v>40</v>
      </c>
      <c r="Y16" s="2"/>
    </row>
    <row r="17" spans="1:25" ht="24.75" customHeight="1">
      <c r="A17" s="789"/>
      <c r="B17" s="789"/>
      <c r="C17" s="789"/>
      <c r="D17" s="789"/>
      <c r="E17" s="789"/>
      <c r="F17" s="789"/>
      <c r="G17" s="789"/>
      <c r="H17" s="789"/>
      <c r="I17" s="789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815"/>
      <c r="V17" s="14">
        <v>100000</v>
      </c>
      <c r="W17" s="14" t="s">
        <v>59</v>
      </c>
      <c r="X17" s="9" t="s">
        <v>40</v>
      </c>
      <c r="Y17" s="2"/>
    </row>
    <row r="18" spans="1:25" ht="26">
      <c r="A18" s="787">
        <v>9</v>
      </c>
      <c r="B18" s="787" t="s">
        <v>104</v>
      </c>
      <c r="C18" s="787" t="s">
        <v>105</v>
      </c>
      <c r="D18" s="787" t="s">
        <v>25</v>
      </c>
      <c r="E18" s="787" t="s">
        <v>106</v>
      </c>
      <c r="F18" s="787" t="s">
        <v>107</v>
      </c>
      <c r="G18" s="787" t="s">
        <v>63</v>
      </c>
      <c r="H18" s="790" t="s">
        <v>108</v>
      </c>
      <c r="I18" s="790" t="s">
        <v>109</v>
      </c>
      <c r="J18" s="787" t="s">
        <v>110</v>
      </c>
      <c r="K18" s="787" t="s">
        <v>53</v>
      </c>
      <c r="L18" s="796" t="s">
        <v>111</v>
      </c>
      <c r="M18" s="878" t="s">
        <v>79</v>
      </c>
      <c r="N18" s="796" t="s">
        <v>79</v>
      </c>
      <c r="O18" s="796" t="s">
        <v>101</v>
      </c>
      <c r="P18" s="796" t="s">
        <v>112</v>
      </c>
      <c r="Q18" s="787" t="s">
        <v>78</v>
      </c>
      <c r="R18" s="787" t="s">
        <v>56</v>
      </c>
      <c r="S18" s="787" t="s">
        <v>113</v>
      </c>
      <c r="T18" s="787" t="s">
        <v>114</v>
      </c>
      <c r="U18" s="815">
        <v>581000</v>
      </c>
      <c r="V18" s="14">
        <v>50000</v>
      </c>
      <c r="W18" s="14" t="s">
        <v>58</v>
      </c>
      <c r="X18" s="787" t="s">
        <v>115</v>
      </c>
      <c r="Y18" s="2"/>
    </row>
    <row r="19" spans="1:25" ht="14.5">
      <c r="A19" s="789"/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815"/>
      <c r="V19" s="14">
        <v>100000</v>
      </c>
      <c r="W19" s="14" t="s">
        <v>59</v>
      </c>
      <c r="X19" s="900"/>
      <c r="Y19" s="2"/>
    </row>
    <row r="20" spans="1:25" ht="26">
      <c r="A20" s="787">
        <v>10</v>
      </c>
      <c r="B20" s="787" t="s">
        <v>45</v>
      </c>
      <c r="C20" s="787" t="s">
        <v>116</v>
      </c>
      <c r="D20" s="787" t="s">
        <v>25</v>
      </c>
      <c r="E20" s="787" t="s">
        <v>106</v>
      </c>
      <c r="F20" s="787" t="s">
        <v>117</v>
      </c>
      <c r="G20" s="787" t="s">
        <v>71</v>
      </c>
      <c r="H20" s="790" t="s">
        <v>118</v>
      </c>
      <c r="I20" s="790" t="s">
        <v>119</v>
      </c>
      <c r="J20" s="787" t="s">
        <v>110</v>
      </c>
      <c r="K20" s="787" t="s">
        <v>53</v>
      </c>
      <c r="L20" s="796" t="s">
        <v>111</v>
      </c>
      <c r="M20" s="878" t="s">
        <v>79</v>
      </c>
      <c r="N20" s="796" t="s">
        <v>79</v>
      </c>
      <c r="O20" s="796" t="s">
        <v>101</v>
      </c>
      <c r="P20" s="796" t="s">
        <v>112</v>
      </c>
      <c r="Q20" s="787" t="s">
        <v>102</v>
      </c>
      <c r="R20" s="787" t="s">
        <v>37</v>
      </c>
      <c r="S20" s="787" t="s">
        <v>120</v>
      </c>
      <c r="T20" s="787" t="s">
        <v>40</v>
      </c>
      <c r="U20" s="815">
        <v>379000</v>
      </c>
      <c r="V20" s="14">
        <v>50000</v>
      </c>
      <c r="W20" s="14" t="s">
        <v>58</v>
      </c>
      <c r="X20" s="9" t="s">
        <v>40</v>
      </c>
      <c r="Y20" s="2"/>
    </row>
    <row r="21" spans="1:25" ht="15.75" customHeight="1">
      <c r="A21" s="789"/>
      <c r="B21" s="789"/>
      <c r="C21" s="789"/>
      <c r="D21" s="789"/>
      <c r="E21" s="789"/>
      <c r="F21" s="789"/>
      <c r="G21" s="789"/>
      <c r="H21" s="789"/>
      <c r="I21" s="789"/>
      <c r="J21" s="789"/>
      <c r="K21" s="789"/>
      <c r="L21" s="789"/>
      <c r="M21" s="789"/>
      <c r="N21" s="789"/>
      <c r="O21" s="789"/>
      <c r="P21" s="789"/>
      <c r="Q21" s="789"/>
      <c r="R21" s="789"/>
      <c r="S21" s="789"/>
      <c r="T21" s="789"/>
      <c r="U21" s="815"/>
      <c r="V21" s="14">
        <v>50000</v>
      </c>
      <c r="W21" s="14" t="s">
        <v>59</v>
      </c>
      <c r="X21" s="9" t="s">
        <v>40</v>
      </c>
      <c r="Y21" s="2"/>
    </row>
    <row r="22" spans="1:25" ht="22.5" customHeight="1">
      <c r="A22" s="787">
        <v>11</v>
      </c>
      <c r="B22" s="787" t="s">
        <v>45</v>
      </c>
      <c r="C22" s="787" t="s">
        <v>121</v>
      </c>
      <c r="D22" s="787" t="s">
        <v>25</v>
      </c>
      <c r="E22" s="787" t="s">
        <v>122</v>
      </c>
      <c r="F22" s="787" t="s">
        <v>123</v>
      </c>
      <c r="G22" s="787" t="s">
        <v>71</v>
      </c>
      <c r="H22" s="790" t="s">
        <v>124</v>
      </c>
      <c r="I22" s="790" t="s">
        <v>125</v>
      </c>
      <c r="J22" s="787" t="s">
        <v>74</v>
      </c>
      <c r="K22" s="787" t="s">
        <v>53</v>
      </c>
      <c r="L22" s="796" t="s">
        <v>126</v>
      </c>
      <c r="M22" s="878" t="s">
        <v>127</v>
      </c>
      <c r="N22" s="796">
        <v>44208</v>
      </c>
      <c r="O22" s="796">
        <v>44239</v>
      </c>
      <c r="P22" s="796">
        <v>44239</v>
      </c>
      <c r="Q22" s="787" t="s">
        <v>102</v>
      </c>
      <c r="R22" s="787" t="s">
        <v>37</v>
      </c>
      <c r="S22" s="787" t="s">
        <v>120</v>
      </c>
      <c r="T22" s="787" t="s">
        <v>40</v>
      </c>
      <c r="U22" s="815">
        <v>255000</v>
      </c>
      <c r="V22" s="14">
        <v>50000</v>
      </c>
      <c r="W22" s="14" t="s">
        <v>58</v>
      </c>
      <c r="X22" s="9" t="s">
        <v>40</v>
      </c>
      <c r="Y22" s="2"/>
    </row>
    <row r="23" spans="1:25" ht="22.5" customHeight="1">
      <c r="A23" s="789"/>
      <c r="B23" s="789"/>
      <c r="C23" s="789"/>
      <c r="D23" s="789"/>
      <c r="E23" s="789"/>
      <c r="F23" s="789"/>
      <c r="G23" s="789"/>
      <c r="H23" s="789"/>
      <c r="I23" s="789"/>
      <c r="J23" s="789"/>
      <c r="K23" s="789"/>
      <c r="L23" s="789"/>
      <c r="M23" s="789"/>
      <c r="N23" s="789"/>
      <c r="O23" s="789"/>
      <c r="P23" s="789"/>
      <c r="Q23" s="789"/>
      <c r="R23" s="789"/>
      <c r="S23" s="789"/>
      <c r="T23" s="789"/>
      <c r="U23" s="816"/>
      <c r="V23" s="14">
        <v>50000</v>
      </c>
      <c r="W23" s="14" t="s">
        <v>59</v>
      </c>
      <c r="X23" s="9" t="s">
        <v>40</v>
      </c>
      <c r="Y23" s="2"/>
    </row>
    <row r="24" spans="1:25" ht="15" customHeight="1">
      <c r="A24" s="807" t="s">
        <v>128</v>
      </c>
      <c r="B24" s="817"/>
      <c r="C24" s="817"/>
      <c r="D24" s="817"/>
      <c r="E24" s="817"/>
      <c r="F24" s="817"/>
      <c r="G24" s="817"/>
      <c r="H24" s="817"/>
      <c r="I24" s="817"/>
      <c r="J24" s="817"/>
      <c r="K24" s="817"/>
      <c r="L24" s="817"/>
      <c r="M24" s="817"/>
      <c r="N24" s="817"/>
      <c r="O24" s="817"/>
      <c r="P24" s="817"/>
      <c r="Q24" s="817"/>
      <c r="R24" s="817"/>
      <c r="S24" s="817"/>
      <c r="T24" s="817"/>
      <c r="U24" s="817"/>
      <c r="V24" s="817"/>
      <c r="W24" s="817"/>
      <c r="X24" s="818"/>
      <c r="Y24" s="2"/>
    </row>
    <row r="25" spans="1:25" ht="15.75" customHeight="1">
      <c r="A25" s="9">
        <v>12</v>
      </c>
      <c r="B25" s="9" t="s">
        <v>129</v>
      </c>
      <c r="C25" s="9" t="s">
        <v>130</v>
      </c>
      <c r="D25" s="9" t="s">
        <v>128</v>
      </c>
      <c r="E25" s="9" t="s">
        <v>131</v>
      </c>
      <c r="F25" s="9" t="s">
        <v>132</v>
      </c>
      <c r="G25" s="9" t="s">
        <v>30</v>
      </c>
      <c r="H25" s="10" t="s">
        <v>133</v>
      </c>
      <c r="I25" s="9" t="s">
        <v>40</v>
      </c>
      <c r="J25" s="9" t="s">
        <v>134</v>
      </c>
      <c r="K25" s="9" t="s">
        <v>40</v>
      </c>
      <c r="L25" s="9" t="s">
        <v>40</v>
      </c>
      <c r="M25" s="21" t="s">
        <v>40</v>
      </c>
      <c r="N25" s="12" t="s">
        <v>40</v>
      </c>
      <c r="O25" s="9" t="s">
        <v>40</v>
      </c>
      <c r="P25" s="9" t="s">
        <v>40</v>
      </c>
      <c r="Q25" s="9" t="s">
        <v>40</v>
      </c>
      <c r="R25" s="9" t="s">
        <v>135</v>
      </c>
      <c r="S25" s="9" t="s">
        <v>136</v>
      </c>
      <c r="T25" s="9" t="s">
        <v>40</v>
      </c>
      <c r="U25" s="14">
        <v>1710125</v>
      </c>
      <c r="V25" s="14" t="s">
        <v>40</v>
      </c>
      <c r="W25" s="14" t="s">
        <v>40</v>
      </c>
      <c r="X25" s="9" t="s">
        <v>40</v>
      </c>
      <c r="Y25" s="2"/>
    </row>
    <row r="26" spans="1:25" ht="15.75" customHeight="1">
      <c r="A26" s="9">
        <v>13</v>
      </c>
      <c r="B26" s="9" t="s">
        <v>137</v>
      </c>
      <c r="C26" s="9" t="s">
        <v>138</v>
      </c>
      <c r="D26" s="9" t="s">
        <v>128</v>
      </c>
      <c r="E26" s="9" t="s">
        <v>139</v>
      </c>
      <c r="F26" s="9" t="s">
        <v>140</v>
      </c>
      <c r="G26" s="9" t="s">
        <v>30</v>
      </c>
      <c r="H26" s="10" t="s">
        <v>141</v>
      </c>
      <c r="I26" s="9" t="s">
        <v>40</v>
      </c>
      <c r="J26" s="9" t="s">
        <v>142</v>
      </c>
      <c r="K26" s="9" t="s">
        <v>143</v>
      </c>
      <c r="L26" s="9" t="s">
        <v>56</v>
      </c>
      <c r="M26" s="11">
        <v>44328</v>
      </c>
      <c r="N26" s="12" t="s">
        <v>40</v>
      </c>
      <c r="O26" s="9" t="s">
        <v>40</v>
      </c>
      <c r="P26" s="9" t="s">
        <v>40</v>
      </c>
      <c r="Q26" s="9" t="s">
        <v>144</v>
      </c>
      <c r="R26" s="9" t="s">
        <v>79</v>
      </c>
      <c r="S26" s="9">
        <v>101227</v>
      </c>
      <c r="T26" s="9" t="s">
        <v>127</v>
      </c>
      <c r="U26" s="14">
        <v>2650043</v>
      </c>
      <c r="V26" s="14">
        <v>5372928</v>
      </c>
      <c r="W26" s="14" t="s">
        <v>145</v>
      </c>
      <c r="X26" s="12">
        <v>44267</v>
      </c>
      <c r="Y26" s="2"/>
    </row>
    <row r="27" spans="1:25" ht="25.5" customHeight="1">
      <c r="A27" s="787">
        <v>14</v>
      </c>
      <c r="B27" s="787" t="s">
        <v>45</v>
      </c>
      <c r="C27" s="787" t="s">
        <v>146</v>
      </c>
      <c r="D27" s="787" t="s">
        <v>128</v>
      </c>
      <c r="E27" s="787" t="s">
        <v>131</v>
      </c>
      <c r="F27" s="787" t="s">
        <v>147</v>
      </c>
      <c r="G27" s="787" t="s">
        <v>30</v>
      </c>
      <c r="H27" s="790" t="s">
        <v>148</v>
      </c>
      <c r="I27" s="787" t="s">
        <v>40</v>
      </c>
      <c r="J27" s="787" t="s">
        <v>149</v>
      </c>
      <c r="K27" s="787" t="s">
        <v>36</v>
      </c>
      <c r="L27" s="787" t="s">
        <v>101</v>
      </c>
      <c r="M27" s="878">
        <v>44239</v>
      </c>
      <c r="N27" s="796" t="s">
        <v>40</v>
      </c>
      <c r="O27" s="787" t="s">
        <v>150</v>
      </c>
      <c r="P27" s="787" t="s">
        <v>40</v>
      </c>
      <c r="Q27" s="787" t="s">
        <v>151</v>
      </c>
      <c r="R27" s="796">
        <v>44359</v>
      </c>
      <c r="S27" s="787">
        <v>101264</v>
      </c>
      <c r="T27" s="787" t="s">
        <v>40</v>
      </c>
      <c r="U27" s="815">
        <v>2339850</v>
      </c>
      <c r="V27" s="14">
        <v>172900</v>
      </c>
      <c r="W27" s="14" t="s">
        <v>58</v>
      </c>
      <c r="X27" s="12">
        <v>44867</v>
      </c>
      <c r="Y27" s="2"/>
    </row>
    <row r="28" spans="1:25" ht="25.5" customHeight="1">
      <c r="A28" s="789"/>
      <c r="B28" s="789"/>
      <c r="C28" s="789"/>
      <c r="D28" s="789"/>
      <c r="E28" s="789"/>
      <c r="F28" s="789"/>
      <c r="G28" s="789"/>
      <c r="H28" s="789"/>
      <c r="I28" s="789"/>
      <c r="J28" s="789"/>
      <c r="K28" s="789"/>
      <c r="L28" s="789"/>
      <c r="M28" s="789"/>
      <c r="N28" s="789"/>
      <c r="O28" s="789"/>
      <c r="P28" s="789"/>
      <c r="Q28" s="789"/>
      <c r="R28" s="789"/>
      <c r="S28" s="789"/>
      <c r="T28" s="789"/>
      <c r="U28" s="816"/>
      <c r="V28" s="14">
        <v>500000</v>
      </c>
      <c r="W28" s="14" t="s">
        <v>59</v>
      </c>
      <c r="X28" s="12">
        <v>44867</v>
      </c>
      <c r="Y28" s="2"/>
    </row>
    <row r="29" spans="1:25" ht="15.75" customHeight="1">
      <c r="A29" s="9">
        <v>15</v>
      </c>
      <c r="B29" s="9" t="s">
        <v>152</v>
      </c>
      <c r="C29" s="9" t="s">
        <v>153</v>
      </c>
      <c r="D29" s="9" t="s">
        <v>128</v>
      </c>
      <c r="E29" s="9" t="s">
        <v>154</v>
      </c>
      <c r="F29" s="9" t="s">
        <v>155</v>
      </c>
      <c r="G29" s="9" t="s">
        <v>156</v>
      </c>
      <c r="H29" s="10" t="s">
        <v>157</v>
      </c>
      <c r="I29" s="9" t="s">
        <v>40</v>
      </c>
      <c r="J29" s="9" t="s">
        <v>158</v>
      </c>
      <c r="K29" s="9" t="s">
        <v>159</v>
      </c>
      <c r="L29" s="9" t="s">
        <v>112</v>
      </c>
      <c r="M29" s="21" t="s">
        <v>160</v>
      </c>
      <c r="N29" s="12" t="s">
        <v>40</v>
      </c>
      <c r="O29" s="9" t="s">
        <v>161</v>
      </c>
      <c r="P29" s="9" t="s">
        <v>40</v>
      </c>
      <c r="Q29" s="9" t="s">
        <v>162</v>
      </c>
      <c r="R29" s="12">
        <v>44481</v>
      </c>
      <c r="S29" s="9">
        <v>101266</v>
      </c>
      <c r="T29" s="9" t="s">
        <v>40</v>
      </c>
      <c r="U29" s="14">
        <v>7585590</v>
      </c>
      <c r="V29" s="14">
        <v>750000</v>
      </c>
      <c r="W29" s="14" t="s">
        <v>59</v>
      </c>
      <c r="X29" s="9" t="s">
        <v>40</v>
      </c>
      <c r="Y29" s="2"/>
    </row>
    <row r="30" spans="1:25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N30" s="24"/>
      <c r="O30" s="22"/>
      <c r="P30" s="24"/>
      <c r="Q30" s="22"/>
      <c r="R30" s="22"/>
      <c r="S30" s="22"/>
      <c r="T30" s="25" t="s">
        <v>163</v>
      </c>
      <c r="U30" s="26">
        <f>SUM(U4:U29)</f>
        <v>22163658</v>
      </c>
      <c r="V30" s="27">
        <f>V7+V9+V11+V29+V17+V15+V19+V21+V28</f>
        <v>1850000</v>
      </c>
      <c r="W30" s="28" t="s">
        <v>164</v>
      </c>
      <c r="X30" s="22"/>
      <c r="Y30" s="2"/>
    </row>
    <row r="31" spans="1:25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  <c r="N31" s="24"/>
      <c r="O31" s="22"/>
      <c r="P31" s="24"/>
      <c r="Q31" s="22"/>
      <c r="R31" s="22"/>
      <c r="S31" s="22"/>
      <c r="T31" s="25" t="s">
        <v>165</v>
      </c>
      <c r="U31" s="26">
        <f>U30*10/100</f>
        <v>2216365.7999999998</v>
      </c>
      <c r="V31" s="29"/>
      <c r="W31" s="29"/>
      <c r="X31" s="22"/>
      <c r="Y31" s="2"/>
    </row>
    <row r="32" spans="1:25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3"/>
      <c r="N32" s="24"/>
      <c r="O32" s="22"/>
      <c r="P32" s="24"/>
      <c r="Q32" s="22"/>
      <c r="R32" s="22"/>
      <c r="S32" s="22"/>
      <c r="T32" s="25"/>
      <c r="U32" s="26"/>
      <c r="V32" s="27"/>
      <c r="W32" s="27"/>
      <c r="X32" s="22"/>
      <c r="Y32" s="2"/>
    </row>
    <row r="33" spans="1:25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3"/>
      <c r="N33" s="24"/>
      <c r="O33" s="22"/>
      <c r="P33" s="24"/>
      <c r="Q33" s="22"/>
      <c r="R33" s="22"/>
      <c r="S33" s="22"/>
      <c r="T33" s="22"/>
      <c r="U33" s="29"/>
      <c r="V33" s="29"/>
      <c r="W33" s="29"/>
      <c r="X33" s="22"/>
      <c r="Y33" s="2"/>
    </row>
    <row r="34" spans="1:25" ht="15.75" customHeight="1">
      <c r="A34" s="931" t="s">
        <v>166</v>
      </c>
      <c r="B34" s="932"/>
      <c r="C34" s="932"/>
      <c r="D34" s="932"/>
      <c r="E34" s="932"/>
      <c r="F34" s="932"/>
      <c r="G34" s="932"/>
      <c r="H34" s="932"/>
      <c r="I34" s="932"/>
      <c r="J34" s="932"/>
      <c r="K34" s="932"/>
      <c r="L34" s="932"/>
      <c r="M34" s="932"/>
      <c r="N34" s="932"/>
      <c r="O34" s="932"/>
      <c r="P34" s="932"/>
      <c r="Q34" s="932"/>
      <c r="R34" s="932"/>
      <c r="S34" s="932"/>
      <c r="T34" s="932"/>
      <c r="U34" s="932"/>
      <c r="V34" s="932"/>
      <c r="W34" s="932"/>
      <c r="X34" s="932"/>
      <c r="Y34" s="2"/>
    </row>
    <row r="35" spans="1:25" ht="15.75" customHeight="1">
      <c r="A35" s="3" t="s">
        <v>1</v>
      </c>
      <c r="B35" s="4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167</v>
      </c>
      <c r="I35" s="5" t="s">
        <v>9</v>
      </c>
      <c r="J35" s="5" t="s">
        <v>10</v>
      </c>
      <c r="K35" s="5" t="s">
        <v>11</v>
      </c>
      <c r="L35" s="5" t="s">
        <v>12</v>
      </c>
      <c r="M35" s="6" t="s">
        <v>13</v>
      </c>
      <c r="N35" s="5" t="s">
        <v>14</v>
      </c>
      <c r="O35" s="5" t="s">
        <v>15</v>
      </c>
      <c r="P35" s="5" t="s">
        <v>16</v>
      </c>
      <c r="Q35" s="7" t="s">
        <v>17</v>
      </c>
      <c r="R35" s="8" t="s">
        <v>18</v>
      </c>
      <c r="S35" s="8" t="s">
        <v>19</v>
      </c>
      <c r="T35" s="8" t="s">
        <v>20</v>
      </c>
      <c r="U35" s="5" t="s">
        <v>21</v>
      </c>
      <c r="V35" s="5" t="s">
        <v>22</v>
      </c>
      <c r="W35" s="5" t="s">
        <v>23</v>
      </c>
      <c r="X35" s="5" t="s">
        <v>24</v>
      </c>
      <c r="Y35" s="2"/>
    </row>
    <row r="36" spans="1:25" ht="14.25" customHeight="1">
      <c r="A36" s="807" t="s">
        <v>25</v>
      </c>
      <c r="B36" s="817"/>
      <c r="C36" s="817"/>
      <c r="D36" s="817"/>
      <c r="E36" s="817"/>
      <c r="F36" s="817"/>
      <c r="G36" s="817"/>
      <c r="H36" s="817"/>
      <c r="I36" s="817"/>
      <c r="J36" s="817"/>
      <c r="K36" s="817"/>
      <c r="L36" s="817"/>
      <c r="M36" s="817"/>
      <c r="N36" s="817"/>
      <c r="O36" s="817"/>
      <c r="P36" s="817"/>
      <c r="Q36" s="817"/>
      <c r="R36" s="817"/>
      <c r="S36" s="817"/>
      <c r="T36" s="817"/>
      <c r="U36" s="817"/>
      <c r="V36" s="817"/>
      <c r="W36" s="817"/>
      <c r="X36" s="818"/>
      <c r="Y36" s="2"/>
    </row>
    <row r="37" spans="1:25" ht="15.75" customHeight="1">
      <c r="A37" s="787">
        <v>1</v>
      </c>
      <c r="B37" s="787" t="s">
        <v>45</v>
      </c>
      <c r="C37" s="787" t="s">
        <v>168</v>
      </c>
      <c r="D37" s="787" t="s">
        <v>25</v>
      </c>
      <c r="E37" s="787" t="s">
        <v>122</v>
      </c>
      <c r="F37" s="787" t="s">
        <v>169</v>
      </c>
      <c r="G37" s="787" t="s">
        <v>71</v>
      </c>
      <c r="H37" s="790" t="s">
        <v>170</v>
      </c>
      <c r="I37" s="790" t="s">
        <v>171</v>
      </c>
      <c r="J37" s="787" t="s">
        <v>172</v>
      </c>
      <c r="K37" s="787" t="s">
        <v>53</v>
      </c>
      <c r="L37" s="787" t="s">
        <v>173</v>
      </c>
      <c r="M37" s="890" t="s">
        <v>174</v>
      </c>
      <c r="N37" s="796" t="s">
        <v>175</v>
      </c>
      <c r="O37" s="787" t="s">
        <v>176</v>
      </c>
      <c r="P37" s="787" t="s">
        <v>177</v>
      </c>
      <c r="Q37" s="787" t="s">
        <v>178</v>
      </c>
      <c r="R37" s="787" t="s">
        <v>179</v>
      </c>
      <c r="S37" s="787" t="s">
        <v>180</v>
      </c>
      <c r="T37" s="787" t="s">
        <v>40</v>
      </c>
      <c r="U37" s="815">
        <v>1374500</v>
      </c>
      <c r="V37" s="14">
        <v>50000</v>
      </c>
      <c r="W37" s="14" t="s">
        <v>58</v>
      </c>
      <c r="X37" s="9" t="s">
        <v>40</v>
      </c>
      <c r="Y37" s="2"/>
    </row>
    <row r="38" spans="1:25" ht="15.75" customHeight="1">
      <c r="A38" s="789"/>
      <c r="B38" s="789"/>
      <c r="C38" s="789"/>
      <c r="D38" s="789"/>
      <c r="E38" s="789"/>
      <c r="F38" s="789"/>
      <c r="G38" s="789"/>
      <c r="H38" s="789"/>
      <c r="I38" s="789"/>
      <c r="J38" s="789"/>
      <c r="K38" s="789"/>
      <c r="L38" s="789"/>
      <c r="M38" s="789"/>
      <c r="N38" s="789"/>
      <c r="O38" s="789"/>
      <c r="P38" s="789"/>
      <c r="Q38" s="789"/>
      <c r="R38" s="789"/>
      <c r="S38" s="789"/>
      <c r="T38" s="789"/>
      <c r="U38" s="815"/>
      <c r="V38" s="14">
        <v>50000</v>
      </c>
      <c r="W38" s="14" t="s">
        <v>59</v>
      </c>
      <c r="X38" s="9" t="s">
        <v>40</v>
      </c>
      <c r="Y38" s="2"/>
    </row>
    <row r="39" spans="1:25" ht="26.25" customHeight="1">
      <c r="A39" s="787">
        <v>2</v>
      </c>
      <c r="B39" s="787" t="s">
        <v>45</v>
      </c>
      <c r="C39" s="787" t="s">
        <v>181</v>
      </c>
      <c r="D39" s="787" t="s">
        <v>25</v>
      </c>
      <c r="E39" s="787" t="s">
        <v>182</v>
      </c>
      <c r="F39" s="787" t="s">
        <v>183</v>
      </c>
      <c r="G39" s="787" t="s">
        <v>71</v>
      </c>
      <c r="H39" s="790" t="s">
        <v>184</v>
      </c>
      <c r="I39" s="790" t="s">
        <v>185</v>
      </c>
      <c r="J39" s="787" t="s">
        <v>186</v>
      </c>
      <c r="K39" s="787" t="s">
        <v>99</v>
      </c>
      <c r="L39" s="787" t="s">
        <v>75</v>
      </c>
      <c r="M39" s="878">
        <v>44208</v>
      </c>
      <c r="N39" s="796">
        <v>44208</v>
      </c>
      <c r="O39" s="796">
        <v>44239</v>
      </c>
      <c r="P39" s="796">
        <v>44267</v>
      </c>
      <c r="Q39" s="787" t="s">
        <v>102</v>
      </c>
      <c r="R39" s="787" t="s">
        <v>187</v>
      </c>
      <c r="S39" s="787" t="s">
        <v>188</v>
      </c>
      <c r="T39" s="787" t="s">
        <v>40</v>
      </c>
      <c r="U39" s="815">
        <v>339000</v>
      </c>
      <c r="V39" s="14">
        <v>50000</v>
      </c>
      <c r="W39" s="14" t="s">
        <v>58</v>
      </c>
      <c r="X39" s="9" t="s">
        <v>40</v>
      </c>
      <c r="Y39" s="2"/>
    </row>
    <row r="40" spans="1:25" ht="26.25" customHeight="1">
      <c r="A40" s="789"/>
      <c r="B40" s="789"/>
      <c r="C40" s="789"/>
      <c r="D40" s="789"/>
      <c r="E40" s="789"/>
      <c r="F40" s="789"/>
      <c r="G40" s="789"/>
      <c r="H40" s="789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815"/>
      <c r="V40" s="14">
        <v>50000</v>
      </c>
      <c r="W40" s="14" t="s">
        <v>59</v>
      </c>
      <c r="X40" s="9" t="s">
        <v>40</v>
      </c>
      <c r="Y40" s="2"/>
    </row>
    <row r="41" spans="1:25" ht="26.25" customHeight="1">
      <c r="A41" s="787">
        <v>3</v>
      </c>
      <c r="B41" s="787" t="s">
        <v>104</v>
      </c>
      <c r="C41" s="787" t="s">
        <v>189</v>
      </c>
      <c r="D41" s="787" t="s">
        <v>25</v>
      </c>
      <c r="E41" s="787" t="s">
        <v>190</v>
      </c>
      <c r="F41" s="787" t="s">
        <v>191</v>
      </c>
      <c r="G41" s="787" t="s">
        <v>71</v>
      </c>
      <c r="H41" s="790" t="s">
        <v>192</v>
      </c>
      <c r="I41" s="790" t="s">
        <v>193</v>
      </c>
      <c r="J41" s="787" t="s">
        <v>186</v>
      </c>
      <c r="K41" s="787" t="s">
        <v>194</v>
      </c>
      <c r="L41" s="796">
        <v>44511</v>
      </c>
      <c r="M41" s="878">
        <v>44208</v>
      </c>
      <c r="N41" s="796">
        <v>44208</v>
      </c>
      <c r="O41" s="796">
        <v>44239</v>
      </c>
      <c r="P41" s="796">
        <v>44239</v>
      </c>
      <c r="Q41" s="787" t="s">
        <v>102</v>
      </c>
      <c r="R41" s="787" t="s">
        <v>187</v>
      </c>
      <c r="S41" s="787" t="s">
        <v>195</v>
      </c>
      <c r="T41" s="787" t="s">
        <v>40</v>
      </c>
      <c r="U41" s="815">
        <v>419000</v>
      </c>
      <c r="V41" s="14">
        <v>50000</v>
      </c>
      <c r="W41" s="14" t="s">
        <v>58</v>
      </c>
      <c r="X41" s="9" t="s">
        <v>40</v>
      </c>
      <c r="Y41" s="2"/>
    </row>
    <row r="42" spans="1:25" ht="26.25" customHeight="1">
      <c r="A42" s="789"/>
      <c r="B42" s="789"/>
      <c r="C42" s="789"/>
      <c r="D42" s="789"/>
      <c r="E42" s="789"/>
      <c r="F42" s="789"/>
      <c r="G42" s="789"/>
      <c r="H42" s="789"/>
      <c r="I42" s="789"/>
      <c r="J42" s="789"/>
      <c r="K42" s="789"/>
      <c r="L42" s="789"/>
      <c r="M42" s="789"/>
      <c r="N42" s="789"/>
      <c r="O42" s="789"/>
      <c r="P42" s="789"/>
      <c r="Q42" s="789"/>
      <c r="R42" s="789"/>
      <c r="S42" s="789"/>
      <c r="T42" s="789"/>
      <c r="U42" s="815"/>
      <c r="V42" s="14">
        <v>50000</v>
      </c>
      <c r="W42" s="14" t="s">
        <v>59</v>
      </c>
      <c r="X42" s="9" t="s">
        <v>40</v>
      </c>
      <c r="Y42" s="2"/>
    </row>
    <row r="43" spans="1:25" ht="26.25" customHeight="1">
      <c r="A43" s="787">
        <v>4</v>
      </c>
      <c r="B43" s="787" t="s">
        <v>45</v>
      </c>
      <c r="C43" s="787" t="s">
        <v>196</v>
      </c>
      <c r="D43" s="787" t="s">
        <v>25</v>
      </c>
      <c r="E43" s="787" t="s">
        <v>69</v>
      </c>
      <c r="F43" s="787" t="s">
        <v>197</v>
      </c>
      <c r="G43" s="787" t="s">
        <v>71</v>
      </c>
      <c r="H43" s="790" t="s">
        <v>198</v>
      </c>
      <c r="I43" s="790" t="s">
        <v>199</v>
      </c>
      <c r="J43" s="787" t="s">
        <v>200</v>
      </c>
      <c r="K43" s="787" t="s">
        <v>201</v>
      </c>
      <c r="L43" s="796">
        <v>44267</v>
      </c>
      <c r="M43" s="878">
        <v>44239</v>
      </c>
      <c r="N43" s="796">
        <v>44267</v>
      </c>
      <c r="O43" s="796">
        <v>44267</v>
      </c>
      <c r="P43" s="796">
        <v>44298</v>
      </c>
      <c r="Q43" s="787" t="s">
        <v>102</v>
      </c>
      <c r="R43" s="787" t="s">
        <v>187</v>
      </c>
      <c r="S43" s="787" t="s">
        <v>202</v>
      </c>
      <c r="T43" s="787" t="s">
        <v>40</v>
      </c>
      <c r="U43" s="815">
        <v>339000</v>
      </c>
      <c r="V43" s="14">
        <v>50000</v>
      </c>
      <c r="W43" s="14" t="s">
        <v>58</v>
      </c>
      <c r="X43" s="9" t="s">
        <v>40</v>
      </c>
      <c r="Y43" s="2"/>
    </row>
    <row r="44" spans="1:25" ht="26.25" customHeight="1">
      <c r="A44" s="789"/>
      <c r="B44" s="789"/>
      <c r="C44" s="789"/>
      <c r="D44" s="789"/>
      <c r="E44" s="789"/>
      <c r="F44" s="789"/>
      <c r="G44" s="789"/>
      <c r="H44" s="789"/>
      <c r="I44" s="789"/>
      <c r="J44" s="789"/>
      <c r="K44" s="789"/>
      <c r="L44" s="789"/>
      <c r="M44" s="789"/>
      <c r="N44" s="789"/>
      <c r="O44" s="789"/>
      <c r="P44" s="789"/>
      <c r="Q44" s="789"/>
      <c r="R44" s="789"/>
      <c r="S44" s="789"/>
      <c r="T44" s="789"/>
      <c r="U44" s="815"/>
      <c r="V44" s="14">
        <v>50000</v>
      </c>
      <c r="W44" s="14" t="s">
        <v>59</v>
      </c>
      <c r="X44" s="9" t="s">
        <v>40</v>
      </c>
      <c r="Y44" s="2"/>
    </row>
    <row r="45" spans="1:25" ht="21" customHeight="1">
      <c r="A45" s="787">
        <v>5</v>
      </c>
      <c r="B45" s="787" t="s">
        <v>45</v>
      </c>
      <c r="C45" s="790" t="s">
        <v>203</v>
      </c>
      <c r="D45" s="787" t="s">
        <v>25</v>
      </c>
      <c r="E45" s="787" t="s">
        <v>204</v>
      </c>
      <c r="F45" s="787" t="s">
        <v>205</v>
      </c>
      <c r="G45" s="787" t="s">
        <v>71</v>
      </c>
      <c r="H45" s="790" t="s">
        <v>206</v>
      </c>
      <c r="I45" s="790" t="s">
        <v>207</v>
      </c>
      <c r="J45" s="787" t="s">
        <v>208</v>
      </c>
      <c r="K45" s="787" t="s">
        <v>194</v>
      </c>
      <c r="L45" s="787" t="s">
        <v>87</v>
      </c>
      <c r="M45" s="878">
        <v>44298</v>
      </c>
      <c r="N45" s="796">
        <v>44359</v>
      </c>
      <c r="O45" s="796">
        <v>44359</v>
      </c>
      <c r="P45" s="796">
        <v>44389</v>
      </c>
      <c r="Q45" s="787" t="s">
        <v>102</v>
      </c>
      <c r="R45" s="796">
        <v>44632</v>
      </c>
      <c r="S45" s="787" t="s">
        <v>209</v>
      </c>
      <c r="T45" s="787" t="s">
        <v>40</v>
      </c>
      <c r="U45" s="815">
        <v>339000</v>
      </c>
      <c r="V45" s="14">
        <v>50000</v>
      </c>
      <c r="W45" s="14" t="s">
        <v>58</v>
      </c>
      <c r="X45" s="9" t="s">
        <v>40</v>
      </c>
      <c r="Y45" s="2"/>
    </row>
    <row r="46" spans="1:25" ht="21" customHeight="1">
      <c r="A46" s="789"/>
      <c r="B46" s="789"/>
      <c r="C46" s="789"/>
      <c r="D46" s="789"/>
      <c r="E46" s="789"/>
      <c r="F46" s="789"/>
      <c r="G46" s="789"/>
      <c r="H46" s="789"/>
      <c r="I46" s="789"/>
      <c r="J46" s="789"/>
      <c r="K46" s="789"/>
      <c r="L46" s="789"/>
      <c r="M46" s="789"/>
      <c r="N46" s="789"/>
      <c r="O46" s="789"/>
      <c r="P46" s="789"/>
      <c r="Q46" s="789"/>
      <c r="R46" s="789"/>
      <c r="S46" s="789"/>
      <c r="T46" s="789"/>
      <c r="U46" s="816"/>
      <c r="V46" s="14">
        <v>50000</v>
      </c>
      <c r="W46" s="14" t="s">
        <v>59</v>
      </c>
      <c r="X46" s="9" t="s">
        <v>40</v>
      </c>
      <c r="Y46" s="2"/>
    </row>
    <row r="47" spans="1:25" ht="26.25" customHeight="1">
      <c r="A47" s="787">
        <v>6</v>
      </c>
      <c r="B47" s="787" t="s">
        <v>45</v>
      </c>
      <c r="C47" s="787" t="s">
        <v>210</v>
      </c>
      <c r="D47" s="787" t="s">
        <v>25</v>
      </c>
      <c r="E47" s="787" t="s">
        <v>211</v>
      </c>
      <c r="F47" s="787" t="s">
        <v>212</v>
      </c>
      <c r="G47" s="787" t="s">
        <v>71</v>
      </c>
      <c r="H47" s="790" t="s">
        <v>213</v>
      </c>
      <c r="I47" s="790" t="s">
        <v>214</v>
      </c>
      <c r="J47" s="787" t="s">
        <v>215</v>
      </c>
      <c r="K47" s="787" t="s">
        <v>99</v>
      </c>
      <c r="L47" s="787" t="s">
        <v>86</v>
      </c>
      <c r="M47" s="878">
        <v>44298</v>
      </c>
      <c r="N47" s="796">
        <v>44359</v>
      </c>
      <c r="O47" s="796">
        <v>44359</v>
      </c>
      <c r="P47" s="796">
        <v>44359</v>
      </c>
      <c r="Q47" s="787" t="s">
        <v>102</v>
      </c>
      <c r="R47" s="787" t="s">
        <v>187</v>
      </c>
      <c r="S47" s="787" t="s">
        <v>216</v>
      </c>
      <c r="T47" s="787" t="s">
        <v>40</v>
      </c>
      <c r="U47" s="815">
        <v>339000</v>
      </c>
      <c r="V47" s="14">
        <v>50000</v>
      </c>
      <c r="W47" s="14" t="s">
        <v>58</v>
      </c>
      <c r="X47" s="9" t="s">
        <v>40</v>
      </c>
      <c r="Y47" s="2"/>
    </row>
    <row r="48" spans="1:25" ht="26.25" customHeight="1">
      <c r="A48" s="789"/>
      <c r="B48" s="789"/>
      <c r="C48" s="789"/>
      <c r="D48" s="789"/>
      <c r="E48" s="789"/>
      <c r="F48" s="789"/>
      <c r="G48" s="789"/>
      <c r="H48" s="789"/>
      <c r="I48" s="789"/>
      <c r="J48" s="789"/>
      <c r="K48" s="789"/>
      <c r="L48" s="789"/>
      <c r="M48" s="789"/>
      <c r="N48" s="789"/>
      <c r="O48" s="789"/>
      <c r="P48" s="789"/>
      <c r="Q48" s="789"/>
      <c r="R48" s="789"/>
      <c r="S48" s="789"/>
      <c r="T48" s="789"/>
      <c r="U48" s="815"/>
      <c r="V48" s="14">
        <v>50000</v>
      </c>
      <c r="W48" s="14" t="s">
        <v>59</v>
      </c>
      <c r="X48" s="9" t="s">
        <v>40</v>
      </c>
      <c r="Y48" s="2"/>
    </row>
    <row r="49" spans="1:25" ht="26.25" customHeight="1">
      <c r="A49" s="787">
        <v>7</v>
      </c>
      <c r="B49" s="787" t="s">
        <v>45</v>
      </c>
      <c r="C49" s="787" t="s">
        <v>217</v>
      </c>
      <c r="D49" s="787" t="s">
        <v>25</v>
      </c>
      <c r="E49" s="787" t="s">
        <v>218</v>
      </c>
      <c r="F49" s="787" t="s">
        <v>219</v>
      </c>
      <c r="G49" s="787" t="s">
        <v>71</v>
      </c>
      <c r="H49" s="790" t="s">
        <v>220</v>
      </c>
      <c r="I49" s="790" t="s">
        <v>221</v>
      </c>
      <c r="J49" s="787" t="s">
        <v>222</v>
      </c>
      <c r="K49" s="787" t="s">
        <v>223</v>
      </c>
      <c r="L49" s="796">
        <v>44359</v>
      </c>
      <c r="M49" s="878">
        <v>44451</v>
      </c>
      <c r="N49" s="796">
        <v>44481</v>
      </c>
      <c r="O49" s="796">
        <v>44512</v>
      </c>
      <c r="P49" s="796">
        <v>44512</v>
      </c>
      <c r="Q49" s="787" t="s">
        <v>78</v>
      </c>
      <c r="R49" s="787" t="s">
        <v>187</v>
      </c>
      <c r="S49" s="787" t="s">
        <v>224</v>
      </c>
      <c r="T49" s="787" t="s">
        <v>40</v>
      </c>
      <c r="U49" s="815">
        <v>389000</v>
      </c>
      <c r="V49" s="14">
        <v>50000</v>
      </c>
      <c r="W49" s="14" t="s">
        <v>58</v>
      </c>
      <c r="X49" s="9" t="s">
        <v>40</v>
      </c>
      <c r="Y49" s="2"/>
    </row>
    <row r="50" spans="1:25" ht="26.25" customHeight="1">
      <c r="A50" s="789"/>
      <c r="B50" s="789"/>
      <c r="C50" s="789"/>
      <c r="D50" s="789"/>
      <c r="E50" s="789"/>
      <c r="F50" s="789"/>
      <c r="G50" s="789"/>
      <c r="H50" s="789"/>
      <c r="I50" s="789"/>
      <c r="J50" s="789"/>
      <c r="K50" s="789"/>
      <c r="L50" s="789"/>
      <c r="M50" s="789"/>
      <c r="N50" s="789"/>
      <c r="O50" s="789"/>
      <c r="P50" s="789"/>
      <c r="Q50" s="789"/>
      <c r="R50" s="789"/>
      <c r="S50" s="789"/>
      <c r="T50" s="789"/>
      <c r="U50" s="815"/>
      <c r="V50" s="14">
        <v>50000</v>
      </c>
      <c r="W50" s="14" t="s">
        <v>59</v>
      </c>
      <c r="X50" s="9" t="s">
        <v>40</v>
      </c>
      <c r="Y50" s="2"/>
    </row>
    <row r="51" spans="1:25" ht="26.25" customHeight="1">
      <c r="A51" s="787">
        <v>8</v>
      </c>
      <c r="B51" s="787" t="s">
        <v>45</v>
      </c>
      <c r="C51" s="787" t="s">
        <v>225</v>
      </c>
      <c r="D51" s="787" t="s">
        <v>25</v>
      </c>
      <c r="E51" s="787" t="s">
        <v>69</v>
      </c>
      <c r="F51" s="787" t="s">
        <v>226</v>
      </c>
      <c r="G51" s="787" t="s">
        <v>71</v>
      </c>
      <c r="H51" s="790" t="s">
        <v>227</v>
      </c>
      <c r="I51" s="790" t="s">
        <v>228</v>
      </c>
      <c r="J51" s="787" t="s">
        <v>172</v>
      </c>
      <c r="K51" s="787" t="s">
        <v>201</v>
      </c>
      <c r="L51" s="796">
        <v>44239</v>
      </c>
      <c r="M51" s="878">
        <v>44451</v>
      </c>
      <c r="N51" s="796">
        <v>44481</v>
      </c>
      <c r="O51" s="796">
        <v>44481</v>
      </c>
      <c r="P51" s="796">
        <v>44512</v>
      </c>
      <c r="Q51" s="787" t="s">
        <v>102</v>
      </c>
      <c r="R51" s="787" t="s">
        <v>187</v>
      </c>
      <c r="S51" s="787" t="s">
        <v>229</v>
      </c>
      <c r="T51" s="787" t="s">
        <v>40</v>
      </c>
      <c r="U51" s="815">
        <v>325000</v>
      </c>
      <c r="V51" s="14">
        <v>50000</v>
      </c>
      <c r="W51" s="14" t="s">
        <v>58</v>
      </c>
      <c r="X51" s="9" t="s">
        <v>40</v>
      </c>
      <c r="Y51" s="2"/>
    </row>
    <row r="52" spans="1:25" ht="26.25" customHeight="1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  <c r="L52" s="789"/>
      <c r="M52" s="789"/>
      <c r="N52" s="789"/>
      <c r="O52" s="789"/>
      <c r="P52" s="789"/>
      <c r="Q52" s="789"/>
      <c r="R52" s="789"/>
      <c r="S52" s="789"/>
      <c r="T52" s="789"/>
      <c r="U52" s="815"/>
      <c r="V52" s="14">
        <v>50000</v>
      </c>
      <c r="W52" s="14" t="s">
        <v>59</v>
      </c>
      <c r="X52" s="9" t="s">
        <v>40</v>
      </c>
      <c r="Y52" s="2"/>
    </row>
    <row r="53" spans="1:25" ht="26.25" customHeight="1">
      <c r="A53" s="787">
        <v>9</v>
      </c>
      <c r="B53" s="787" t="s">
        <v>104</v>
      </c>
      <c r="C53" s="787" t="s">
        <v>230</v>
      </c>
      <c r="D53" s="787" t="s">
        <v>25</v>
      </c>
      <c r="E53" s="787" t="s">
        <v>231</v>
      </c>
      <c r="F53" s="787" t="s">
        <v>232</v>
      </c>
      <c r="G53" s="787" t="s">
        <v>233</v>
      </c>
      <c r="H53" s="790" t="s">
        <v>234</v>
      </c>
      <c r="I53" s="790" t="s">
        <v>235</v>
      </c>
      <c r="J53" s="787" t="s">
        <v>236</v>
      </c>
      <c r="K53" s="787" t="s">
        <v>237</v>
      </c>
      <c r="L53" s="796">
        <v>44481</v>
      </c>
      <c r="M53" s="878">
        <v>44512</v>
      </c>
      <c r="N53" s="796" t="s">
        <v>238</v>
      </c>
      <c r="O53" s="787" t="s">
        <v>160</v>
      </c>
      <c r="P53" s="787" t="s">
        <v>160</v>
      </c>
      <c r="Q53" s="787" t="s">
        <v>239</v>
      </c>
      <c r="R53" s="787" t="s">
        <v>240</v>
      </c>
      <c r="S53" s="787" t="s">
        <v>241</v>
      </c>
      <c r="T53" s="787" t="s">
        <v>114</v>
      </c>
      <c r="U53" s="815">
        <v>32298630</v>
      </c>
      <c r="V53" s="14">
        <v>500000</v>
      </c>
      <c r="W53" s="14" t="s">
        <v>58</v>
      </c>
      <c r="X53" s="787" t="s">
        <v>115</v>
      </c>
      <c r="Y53" s="2"/>
    </row>
    <row r="54" spans="1:25" ht="26.25" customHeight="1">
      <c r="A54" s="789"/>
      <c r="B54" s="789"/>
      <c r="C54" s="789"/>
      <c r="D54" s="789"/>
      <c r="E54" s="789"/>
      <c r="F54" s="789"/>
      <c r="G54" s="789"/>
      <c r="H54" s="789"/>
      <c r="I54" s="789"/>
      <c r="J54" s="789"/>
      <c r="K54" s="789"/>
      <c r="L54" s="789"/>
      <c r="M54" s="789"/>
      <c r="N54" s="789"/>
      <c r="O54" s="789"/>
      <c r="P54" s="789"/>
      <c r="Q54" s="789"/>
      <c r="R54" s="789"/>
      <c r="S54" s="789"/>
      <c r="T54" s="789"/>
      <c r="U54" s="815"/>
      <c r="V54" s="14">
        <v>6000000</v>
      </c>
      <c r="W54" s="14" t="s">
        <v>59</v>
      </c>
      <c r="X54" s="900"/>
      <c r="Y54" s="2"/>
    </row>
    <row r="55" spans="1:25" ht="26.25" customHeight="1">
      <c r="A55" s="787">
        <v>10</v>
      </c>
      <c r="B55" s="787" t="s">
        <v>45</v>
      </c>
      <c r="C55" s="787" t="s">
        <v>242</v>
      </c>
      <c r="D55" s="787" t="s">
        <v>25</v>
      </c>
      <c r="E55" s="787" t="s">
        <v>122</v>
      </c>
      <c r="F55" s="787" t="s">
        <v>243</v>
      </c>
      <c r="G55" s="787" t="s">
        <v>71</v>
      </c>
      <c r="H55" s="790" t="s">
        <v>244</v>
      </c>
      <c r="I55" s="790" t="s">
        <v>245</v>
      </c>
      <c r="J55" s="787" t="s">
        <v>246</v>
      </c>
      <c r="K55" s="787" t="s">
        <v>201</v>
      </c>
      <c r="L55" s="787" t="s">
        <v>87</v>
      </c>
      <c r="M55" s="890" t="s">
        <v>247</v>
      </c>
      <c r="N55" s="796" t="s">
        <v>248</v>
      </c>
      <c r="O55" s="787" t="s">
        <v>248</v>
      </c>
      <c r="P55" s="787" t="s">
        <v>187</v>
      </c>
      <c r="Q55" s="787" t="s">
        <v>102</v>
      </c>
      <c r="R55" s="787" t="s">
        <v>249</v>
      </c>
      <c r="S55" s="787" t="s">
        <v>250</v>
      </c>
      <c r="T55" s="787" t="s">
        <v>40</v>
      </c>
      <c r="U55" s="815">
        <v>331000</v>
      </c>
      <c r="V55" s="14">
        <v>50000</v>
      </c>
      <c r="W55" s="14" t="s">
        <v>58</v>
      </c>
      <c r="X55" s="9" t="s">
        <v>40</v>
      </c>
      <c r="Y55" s="2"/>
    </row>
    <row r="56" spans="1:25" ht="26.25" customHeight="1">
      <c r="A56" s="789"/>
      <c r="B56" s="789"/>
      <c r="C56" s="789"/>
      <c r="D56" s="789"/>
      <c r="E56" s="789"/>
      <c r="F56" s="789"/>
      <c r="G56" s="789"/>
      <c r="H56" s="789"/>
      <c r="I56" s="789"/>
      <c r="J56" s="789"/>
      <c r="K56" s="789"/>
      <c r="L56" s="789"/>
      <c r="M56" s="789"/>
      <c r="N56" s="789"/>
      <c r="O56" s="789"/>
      <c r="P56" s="789"/>
      <c r="Q56" s="789"/>
      <c r="R56" s="789"/>
      <c r="S56" s="789"/>
      <c r="T56" s="789"/>
      <c r="U56" s="815"/>
      <c r="V56" s="14">
        <v>50000</v>
      </c>
      <c r="W56" s="14" t="s">
        <v>59</v>
      </c>
      <c r="X56" s="9" t="s">
        <v>40</v>
      </c>
      <c r="Y56" s="2"/>
    </row>
    <row r="57" spans="1:25" ht="26.25" customHeight="1">
      <c r="A57" s="787">
        <v>11</v>
      </c>
      <c r="B57" s="787" t="s">
        <v>45</v>
      </c>
      <c r="C57" s="787" t="s">
        <v>251</v>
      </c>
      <c r="D57" s="787" t="s">
        <v>25</v>
      </c>
      <c r="E57" s="787" t="s">
        <v>122</v>
      </c>
      <c r="F57" s="787" t="s">
        <v>252</v>
      </c>
      <c r="G57" s="787" t="s">
        <v>71</v>
      </c>
      <c r="H57" s="790" t="s">
        <v>253</v>
      </c>
      <c r="I57" s="790" t="s">
        <v>254</v>
      </c>
      <c r="J57" s="787" t="s">
        <v>255</v>
      </c>
      <c r="K57" s="787" t="s">
        <v>201</v>
      </c>
      <c r="L57" s="787" t="s">
        <v>86</v>
      </c>
      <c r="M57" s="890" t="s">
        <v>247</v>
      </c>
      <c r="N57" s="796" t="s">
        <v>248</v>
      </c>
      <c r="O57" s="787" t="s">
        <v>248</v>
      </c>
      <c r="P57" s="787" t="s">
        <v>187</v>
      </c>
      <c r="Q57" s="787" t="s">
        <v>102</v>
      </c>
      <c r="R57" s="787" t="s">
        <v>249</v>
      </c>
      <c r="S57" s="787" t="s">
        <v>256</v>
      </c>
      <c r="T57" s="787" t="s">
        <v>40</v>
      </c>
      <c r="U57" s="815">
        <v>333000</v>
      </c>
      <c r="V57" s="14">
        <v>50000</v>
      </c>
      <c r="W57" s="14" t="s">
        <v>58</v>
      </c>
      <c r="X57" s="9" t="s">
        <v>40</v>
      </c>
      <c r="Y57" s="2"/>
    </row>
    <row r="58" spans="1:25" ht="26.25" customHeight="1">
      <c r="A58" s="789"/>
      <c r="B58" s="789"/>
      <c r="C58" s="789"/>
      <c r="D58" s="789"/>
      <c r="E58" s="789"/>
      <c r="F58" s="789"/>
      <c r="G58" s="789"/>
      <c r="H58" s="789"/>
      <c r="I58" s="789"/>
      <c r="J58" s="789"/>
      <c r="K58" s="789"/>
      <c r="L58" s="789"/>
      <c r="M58" s="789"/>
      <c r="N58" s="789"/>
      <c r="O58" s="789"/>
      <c r="P58" s="789"/>
      <c r="Q58" s="789"/>
      <c r="R58" s="789"/>
      <c r="S58" s="789"/>
      <c r="T58" s="789"/>
      <c r="U58" s="815"/>
      <c r="V58" s="14">
        <v>50000</v>
      </c>
      <c r="W58" s="14" t="s">
        <v>59</v>
      </c>
      <c r="X58" s="9" t="s">
        <v>40</v>
      </c>
      <c r="Y58" s="2"/>
    </row>
    <row r="59" spans="1:25" ht="26.25" customHeight="1">
      <c r="A59" s="787">
        <v>12</v>
      </c>
      <c r="B59" s="787" t="s">
        <v>45</v>
      </c>
      <c r="C59" s="787" t="s">
        <v>257</v>
      </c>
      <c r="D59" s="787" t="s">
        <v>25</v>
      </c>
      <c r="E59" s="787" t="s">
        <v>258</v>
      </c>
      <c r="F59" s="787" t="s">
        <v>259</v>
      </c>
      <c r="G59" s="787" t="s">
        <v>30</v>
      </c>
      <c r="H59" s="790" t="s">
        <v>260</v>
      </c>
      <c r="I59" s="790" t="s">
        <v>261</v>
      </c>
      <c r="J59" s="787" t="s">
        <v>66</v>
      </c>
      <c r="K59" s="787" t="s">
        <v>262</v>
      </c>
      <c r="L59" s="787" t="s">
        <v>173</v>
      </c>
      <c r="M59" s="890" t="s">
        <v>263</v>
      </c>
      <c r="N59" s="796" t="s">
        <v>248</v>
      </c>
      <c r="O59" s="787" t="s">
        <v>187</v>
      </c>
      <c r="P59" s="787" t="s">
        <v>264</v>
      </c>
      <c r="Q59" s="787" t="s">
        <v>151</v>
      </c>
      <c r="R59" s="787" t="s">
        <v>249</v>
      </c>
      <c r="S59" s="787" t="s">
        <v>265</v>
      </c>
      <c r="T59" s="787" t="s">
        <v>40</v>
      </c>
      <c r="U59" s="815">
        <v>5902700</v>
      </c>
      <c r="V59" s="14">
        <v>2728000</v>
      </c>
      <c r="W59" s="14" t="s">
        <v>58</v>
      </c>
      <c r="X59" s="9" t="s">
        <v>40</v>
      </c>
      <c r="Y59" s="2"/>
    </row>
    <row r="60" spans="1:25" ht="26.25" customHeight="1">
      <c r="A60" s="789"/>
      <c r="B60" s="789"/>
      <c r="C60" s="789"/>
      <c r="D60" s="789"/>
      <c r="E60" s="789"/>
      <c r="F60" s="789"/>
      <c r="G60" s="789"/>
      <c r="H60" s="789"/>
      <c r="I60" s="789"/>
      <c r="J60" s="789"/>
      <c r="K60" s="789"/>
      <c r="L60" s="789"/>
      <c r="M60" s="789"/>
      <c r="N60" s="789"/>
      <c r="O60" s="789"/>
      <c r="P60" s="789"/>
      <c r="Q60" s="789"/>
      <c r="R60" s="789"/>
      <c r="S60" s="789"/>
      <c r="T60" s="789"/>
      <c r="U60" s="816"/>
      <c r="V60" s="14">
        <v>1456000</v>
      </c>
      <c r="W60" s="14" t="s">
        <v>59</v>
      </c>
      <c r="X60" s="9" t="s">
        <v>40</v>
      </c>
      <c r="Y60" s="2"/>
    </row>
    <row r="61" spans="1:25" ht="15.75" customHeight="1">
      <c r="A61" s="807" t="s">
        <v>128</v>
      </c>
      <c r="B61" s="817"/>
      <c r="C61" s="817"/>
      <c r="D61" s="817"/>
      <c r="E61" s="817"/>
      <c r="F61" s="817"/>
      <c r="G61" s="817"/>
      <c r="H61" s="817"/>
      <c r="I61" s="817"/>
      <c r="J61" s="817"/>
      <c r="K61" s="817"/>
      <c r="L61" s="817"/>
      <c r="M61" s="817"/>
      <c r="N61" s="817"/>
      <c r="O61" s="817"/>
      <c r="P61" s="817"/>
      <c r="Q61" s="817"/>
      <c r="R61" s="817"/>
      <c r="S61" s="817"/>
      <c r="T61" s="817"/>
      <c r="U61" s="817"/>
      <c r="V61" s="817"/>
      <c r="W61" s="817"/>
      <c r="X61" s="818"/>
      <c r="Y61" s="2"/>
    </row>
    <row r="62" spans="1:25" ht="26.25" customHeight="1">
      <c r="A62" s="787">
        <v>13</v>
      </c>
      <c r="B62" s="787" t="s">
        <v>266</v>
      </c>
      <c r="C62" s="787" t="s">
        <v>267</v>
      </c>
      <c r="D62" s="787" t="s">
        <v>128</v>
      </c>
      <c r="E62" s="787" t="s">
        <v>268</v>
      </c>
      <c r="F62" s="787" t="s">
        <v>269</v>
      </c>
      <c r="G62" s="787" t="s">
        <v>270</v>
      </c>
      <c r="H62" s="790" t="s">
        <v>271</v>
      </c>
      <c r="I62" s="787" t="s">
        <v>40</v>
      </c>
      <c r="J62" s="787" t="s">
        <v>272</v>
      </c>
      <c r="K62" s="787" t="s">
        <v>40</v>
      </c>
      <c r="L62" s="787" t="s">
        <v>175</v>
      </c>
      <c r="M62" s="890" t="s">
        <v>177</v>
      </c>
      <c r="N62" s="796" t="s">
        <v>273</v>
      </c>
      <c r="O62" s="787" t="s">
        <v>40</v>
      </c>
      <c r="P62" s="787" t="s">
        <v>40</v>
      </c>
      <c r="Q62" s="787" t="s">
        <v>274</v>
      </c>
      <c r="R62" s="787" t="s">
        <v>187</v>
      </c>
      <c r="S62" s="787" t="s">
        <v>275</v>
      </c>
      <c r="T62" s="787" t="s">
        <v>40</v>
      </c>
      <c r="U62" s="815">
        <v>2163550</v>
      </c>
      <c r="V62" s="14">
        <v>710000</v>
      </c>
      <c r="W62" s="14" t="s">
        <v>276</v>
      </c>
      <c r="X62" s="9" t="s">
        <v>40</v>
      </c>
      <c r="Y62" s="2"/>
    </row>
    <row r="63" spans="1:25" ht="26.25" customHeight="1">
      <c r="A63" s="789"/>
      <c r="B63" s="789"/>
      <c r="C63" s="789"/>
      <c r="D63" s="789"/>
      <c r="E63" s="789"/>
      <c r="F63" s="789"/>
      <c r="G63" s="789"/>
      <c r="H63" s="789"/>
      <c r="I63" s="789"/>
      <c r="J63" s="789"/>
      <c r="K63" s="789"/>
      <c r="L63" s="789"/>
      <c r="M63" s="789"/>
      <c r="N63" s="789"/>
      <c r="O63" s="789"/>
      <c r="P63" s="789"/>
      <c r="Q63" s="789"/>
      <c r="R63" s="789"/>
      <c r="S63" s="789"/>
      <c r="T63" s="789"/>
      <c r="U63" s="815"/>
      <c r="V63" s="14">
        <v>2130000</v>
      </c>
      <c r="W63" s="14" t="s">
        <v>39</v>
      </c>
      <c r="X63" s="9" t="s">
        <v>40</v>
      </c>
      <c r="Y63" s="2"/>
    </row>
    <row r="64" spans="1:25" ht="24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3"/>
      <c r="N64" s="22"/>
      <c r="O64" s="22"/>
      <c r="P64" s="22"/>
      <c r="Q64" s="22"/>
      <c r="R64" s="22"/>
      <c r="S64" s="22"/>
      <c r="T64" s="25" t="s">
        <v>163</v>
      </c>
      <c r="U64" s="26">
        <f>SUM(U37:U63)</f>
        <v>44892380</v>
      </c>
      <c r="V64" s="29">
        <f>V38+V40+V42+V44+V46+V48+V50+V52+V54+V56+V58+V60</f>
        <v>7956000</v>
      </c>
      <c r="W64" s="29"/>
      <c r="X64" s="22"/>
      <c r="Y64" s="2"/>
    </row>
    <row r="65" spans="1:25" ht="24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3"/>
      <c r="N65" s="22"/>
      <c r="O65" s="22"/>
      <c r="P65" s="22"/>
      <c r="Q65" s="22"/>
      <c r="R65" s="22"/>
      <c r="S65" s="22"/>
      <c r="T65" s="25" t="s">
        <v>277</v>
      </c>
      <c r="U65" s="30">
        <v>30000000</v>
      </c>
      <c r="V65" s="31" t="s">
        <v>278</v>
      </c>
      <c r="W65" s="29"/>
      <c r="X65" s="22"/>
      <c r="Y65" s="2"/>
    </row>
    <row r="66" spans="1:25" ht="24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3"/>
      <c r="N66" s="22"/>
      <c r="O66" s="22"/>
      <c r="P66" s="22"/>
      <c r="Q66" s="22"/>
      <c r="R66" s="22"/>
      <c r="S66" s="22"/>
      <c r="T66" s="25" t="s">
        <v>279</v>
      </c>
      <c r="U66" s="26">
        <f>U64-U65</f>
        <v>14892380</v>
      </c>
      <c r="V66" s="29"/>
      <c r="W66" s="29"/>
      <c r="X66" s="22"/>
      <c r="Y66" s="2"/>
    </row>
    <row r="67" spans="1:25" ht="19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3"/>
      <c r="N67" s="22"/>
      <c r="O67" s="22"/>
      <c r="P67" s="22"/>
      <c r="Q67" s="22"/>
      <c r="R67" s="22"/>
      <c r="S67" s="22"/>
      <c r="T67" s="25" t="s">
        <v>280</v>
      </c>
      <c r="U67" s="26">
        <f>U64*10/100</f>
        <v>4489238</v>
      </c>
      <c r="V67" s="29"/>
      <c r="W67" s="29"/>
      <c r="X67" s="22"/>
      <c r="Y67" s="2"/>
    </row>
    <row r="68" spans="1:25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3"/>
      <c r="N68" s="22"/>
      <c r="O68" s="22"/>
      <c r="P68" s="22"/>
      <c r="Q68" s="22"/>
      <c r="R68" s="22"/>
      <c r="S68" s="22"/>
      <c r="T68" s="25" t="s">
        <v>281</v>
      </c>
      <c r="U68" s="30">
        <f>U66*5/100</f>
        <v>744619</v>
      </c>
      <c r="V68" s="31" t="s">
        <v>282</v>
      </c>
      <c r="W68" s="29"/>
      <c r="X68" s="22"/>
      <c r="Y68" s="2"/>
    </row>
    <row r="69" spans="1:25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3"/>
      <c r="N69" s="22"/>
      <c r="O69" s="22"/>
      <c r="P69" s="22"/>
      <c r="Q69" s="22"/>
      <c r="R69" s="22"/>
      <c r="S69" s="22"/>
      <c r="T69" s="25"/>
      <c r="U69" s="26">
        <f>U67+U68</f>
        <v>5233857</v>
      </c>
      <c r="V69" s="29"/>
      <c r="W69" s="27">
        <f>U69+U31</f>
        <v>7450222.7999999998</v>
      </c>
      <c r="X69" s="22" t="s">
        <v>283</v>
      </c>
      <c r="Y69" s="2"/>
    </row>
    <row r="70" spans="1:25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3"/>
      <c r="N70" s="22"/>
      <c r="O70" s="22"/>
      <c r="P70" s="22"/>
      <c r="Q70" s="22"/>
      <c r="R70" s="22"/>
      <c r="S70" s="22"/>
      <c r="T70" s="25"/>
      <c r="U70" s="26"/>
      <c r="V70" s="27"/>
      <c r="W70" s="27"/>
      <c r="X70" s="22"/>
      <c r="Y70" s="2"/>
    </row>
    <row r="71" spans="1:25" ht="15.75" customHeight="1">
      <c r="A71" s="931" t="s">
        <v>284</v>
      </c>
      <c r="B71" s="932"/>
      <c r="C71" s="932"/>
      <c r="D71" s="932"/>
      <c r="E71" s="932"/>
      <c r="F71" s="932"/>
      <c r="G71" s="932"/>
      <c r="H71" s="932"/>
      <c r="I71" s="932"/>
      <c r="J71" s="932"/>
      <c r="K71" s="932"/>
      <c r="L71" s="932"/>
      <c r="M71" s="932"/>
      <c r="N71" s="932"/>
      <c r="O71" s="932"/>
      <c r="P71" s="932"/>
      <c r="Q71" s="932"/>
      <c r="R71" s="932"/>
      <c r="S71" s="932"/>
      <c r="T71" s="932"/>
      <c r="U71" s="932"/>
      <c r="V71" s="932"/>
      <c r="W71" s="932"/>
      <c r="X71" s="932"/>
      <c r="Y71" s="2"/>
    </row>
    <row r="72" spans="1:25" ht="15.75" customHeight="1">
      <c r="A72" s="3" t="s">
        <v>1</v>
      </c>
      <c r="B72" s="4" t="s">
        <v>2</v>
      </c>
      <c r="C72" s="5" t="s">
        <v>3</v>
      </c>
      <c r="D72" s="5" t="s">
        <v>4</v>
      </c>
      <c r="E72" s="5" t="s">
        <v>5</v>
      </c>
      <c r="F72" s="5" t="s">
        <v>6</v>
      </c>
      <c r="G72" s="5" t="s">
        <v>7</v>
      </c>
      <c r="H72" s="5" t="s">
        <v>167</v>
      </c>
      <c r="I72" s="5" t="s">
        <v>9</v>
      </c>
      <c r="J72" s="5" t="s">
        <v>10</v>
      </c>
      <c r="K72" s="5" t="s">
        <v>11</v>
      </c>
      <c r="L72" s="5" t="s">
        <v>12</v>
      </c>
      <c r="M72" s="6" t="s">
        <v>13</v>
      </c>
      <c r="N72" s="5" t="s">
        <v>14</v>
      </c>
      <c r="O72" s="5" t="s">
        <v>15</v>
      </c>
      <c r="P72" s="5" t="s">
        <v>16</v>
      </c>
      <c r="Q72" s="7" t="s">
        <v>17</v>
      </c>
      <c r="R72" s="8" t="s">
        <v>18</v>
      </c>
      <c r="S72" s="8" t="s">
        <v>19</v>
      </c>
      <c r="T72" s="8" t="s">
        <v>20</v>
      </c>
      <c r="U72" s="5" t="s">
        <v>21</v>
      </c>
      <c r="V72" s="5" t="s">
        <v>22</v>
      </c>
      <c r="W72" s="5" t="s">
        <v>23</v>
      </c>
      <c r="X72" s="5" t="s">
        <v>24</v>
      </c>
      <c r="Y72" s="2"/>
    </row>
    <row r="73" spans="1:25" ht="14.25" customHeight="1">
      <c r="A73" s="807" t="s">
        <v>25</v>
      </c>
      <c r="B73" s="817"/>
      <c r="C73" s="817"/>
      <c r="D73" s="817"/>
      <c r="E73" s="817"/>
      <c r="F73" s="817"/>
      <c r="G73" s="817"/>
      <c r="H73" s="817"/>
      <c r="I73" s="817"/>
      <c r="J73" s="817"/>
      <c r="K73" s="817"/>
      <c r="L73" s="817"/>
      <c r="M73" s="817"/>
      <c r="N73" s="817"/>
      <c r="O73" s="817"/>
      <c r="P73" s="817"/>
      <c r="Q73" s="817"/>
      <c r="R73" s="817"/>
      <c r="S73" s="817"/>
      <c r="T73" s="817"/>
      <c r="U73" s="817"/>
      <c r="V73" s="817"/>
      <c r="W73" s="817"/>
      <c r="X73" s="818"/>
      <c r="Y73" s="2"/>
    </row>
    <row r="74" spans="1:25" ht="15.75" customHeight="1">
      <c r="A74" s="787">
        <v>1</v>
      </c>
      <c r="B74" s="787" t="s">
        <v>104</v>
      </c>
      <c r="C74" s="787" t="s">
        <v>285</v>
      </c>
      <c r="D74" s="787" t="s">
        <v>25</v>
      </c>
      <c r="E74" s="787" t="s">
        <v>190</v>
      </c>
      <c r="F74" s="787" t="s">
        <v>286</v>
      </c>
      <c r="G74" s="787" t="s">
        <v>71</v>
      </c>
      <c r="H74" s="790" t="s">
        <v>287</v>
      </c>
      <c r="I74" s="790" t="s">
        <v>288</v>
      </c>
      <c r="J74" s="787" t="s">
        <v>186</v>
      </c>
      <c r="K74" s="787" t="s">
        <v>194</v>
      </c>
      <c r="L74" s="796">
        <v>44239</v>
      </c>
      <c r="M74" s="878" t="s">
        <v>115</v>
      </c>
      <c r="N74" s="796">
        <v>44562</v>
      </c>
      <c r="O74" s="796">
        <v>44593</v>
      </c>
      <c r="P74" s="796">
        <v>44621</v>
      </c>
      <c r="Q74" s="787" t="s">
        <v>55</v>
      </c>
      <c r="R74" s="787" t="s">
        <v>289</v>
      </c>
      <c r="S74" s="787">
        <v>101464</v>
      </c>
      <c r="T74" s="787" t="s">
        <v>40</v>
      </c>
      <c r="U74" s="815">
        <v>283000</v>
      </c>
      <c r="V74" s="14">
        <v>50000</v>
      </c>
      <c r="W74" s="14" t="s">
        <v>290</v>
      </c>
      <c r="X74" s="9" t="s">
        <v>291</v>
      </c>
      <c r="Y74" s="2"/>
    </row>
    <row r="75" spans="1:25" ht="15.75" customHeight="1">
      <c r="A75" s="789"/>
      <c r="B75" s="789"/>
      <c r="C75" s="789"/>
      <c r="D75" s="789"/>
      <c r="E75" s="789"/>
      <c r="F75" s="789"/>
      <c r="G75" s="789"/>
      <c r="H75" s="789"/>
      <c r="I75" s="789"/>
      <c r="J75" s="789"/>
      <c r="K75" s="789"/>
      <c r="L75" s="789"/>
      <c r="M75" s="789"/>
      <c r="N75" s="789"/>
      <c r="O75" s="789"/>
      <c r="P75" s="789"/>
      <c r="Q75" s="789"/>
      <c r="R75" s="789"/>
      <c r="S75" s="789"/>
      <c r="T75" s="789"/>
      <c r="U75" s="815"/>
      <c r="V75" s="14">
        <v>50000</v>
      </c>
      <c r="W75" s="14" t="s">
        <v>59</v>
      </c>
      <c r="X75" s="9" t="s">
        <v>291</v>
      </c>
      <c r="Y75" s="2"/>
    </row>
    <row r="76" spans="1:25" ht="21.75" customHeight="1">
      <c r="A76" s="787">
        <v>2</v>
      </c>
      <c r="B76" s="787" t="s">
        <v>104</v>
      </c>
      <c r="C76" s="787" t="s">
        <v>292</v>
      </c>
      <c r="D76" s="787" t="s">
        <v>25</v>
      </c>
      <c r="E76" s="787" t="s">
        <v>218</v>
      </c>
      <c r="F76" s="787" t="s">
        <v>293</v>
      </c>
      <c r="G76" s="787" t="s">
        <v>71</v>
      </c>
      <c r="H76" s="790" t="s">
        <v>294</v>
      </c>
      <c r="I76" s="790" t="s">
        <v>295</v>
      </c>
      <c r="J76" s="787" t="s">
        <v>296</v>
      </c>
      <c r="K76" s="787" t="s">
        <v>194</v>
      </c>
      <c r="L76" s="796" t="s">
        <v>177</v>
      </c>
      <c r="M76" s="878">
        <v>44317</v>
      </c>
      <c r="N76" s="796">
        <v>44774</v>
      </c>
      <c r="O76" s="796">
        <v>44805</v>
      </c>
      <c r="P76" s="796">
        <v>44835</v>
      </c>
      <c r="Q76" s="787" t="s">
        <v>102</v>
      </c>
      <c r="R76" s="787" t="s">
        <v>297</v>
      </c>
      <c r="S76" s="787">
        <v>10007</v>
      </c>
      <c r="T76" s="787" t="s">
        <v>40</v>
      </c>
      <c r="U76" s="815">
        <v>333000</v>
      </c>
      <c r="V76" s="14">
        <v>50000</v>
      </c>
      <c r="W76" s="14" t="s">
        <v>290</v>
      </c>
      <c r="X76" s="9" t="s">
        <v>291</v>
      </c>
      <c r="Y76" s="2"/>
    </row>
    <row r="77" spans="1:25" ht="21.75" customHeight="1">
      <c r="A77" s="789"/>
      <c r="B77" s="789"/>
      <c r="C77" s="789"/>
      <c r="D77" s="789"/>
      <c r="E77" s="789"/>
      <c r="F77" s="789"/>
      <c r="G77" s="789"/>
      <c r="H77" s="789"/>
      <c r="I77" s="789"/>
      <c r="J77" s="789"/>
      <c r="K77" s="789"/>
      <c r="L77" s="789"/>
      <c r="M77" s="789"/>
      <c r="N77" s="789"/>
      <c r="O77" s="789"/>
      <c r="P77" s="789"/>
      <c r="Q77" s="789"/>
      <c r="R77" s="789"/>
      <c r="S77" s="789"/>
      <c r="T77" s="789"/>
      <c r="U77" s="815"/>
      <c r="V77" s="14">
        <v>50000</v>
      </c>
      <c r="W77" s="14" t="s">
        <v>59</v>
      </c>
      <c r="X77" s="9" t="s">
        <v>291</v>
      </c>
      <c r="Y77" s="2"/>
    </row>
    <row r="78" spans="1:25" ht="15.75" customHeight="1">
      <c r="A78" s="787">
        <v>3</v>
      </c>
      <c r="B78" s="787" t="s">
        <v>45</v>
      </c>
      <c r="C78" s="787" t="s">
        <v>298</v>
      </c>
      <c r="D78" s="787" t="s">
        <v>25</v>
      </c>
      <c r="E78" s="787" t="s">
        <v>299</v>
      </c>
      <c r="F78" s="787" t="s">
        <v>300</v>
      </c>
      <c r="G78" s="787" t="s">
        <v>49</v>
      </c>
      <c r="H78" s="790" t="s">
        <v>301</v>
      </c>
      <c r="I78" s="790" t="s">
        <v>302</v>
      </c>
      <c r="J78" s="787" t="s">
        <v>303</v>
      </c>
      <c r="K78" s="787" t="s">
        <v>304</v>
      </c>
      <c r="L78" s="796" t="s">
        <v>111</v>
      </c>
      <c r="M78" s="878">
        <v>44317</v>
      </c>
      <c r="N78" s="796">
        <v>44835</v>
      </c>
      <c r="O78" s="796">
        <v>44835</v>
      </c>
      <c r="P78" s="796">
        <v>44866</v>
      </c>
      <c r="Q78" s="787" t="s">
        <v>102</v>
      </c>
      <c r="R78" s="787" t="s">
        <v>297</v>
      </c>
      <c r="S78" s="787">
        <v>101554</v>
      </c>
      <c r="T78" s="787" t="s">
        <v>40</v>
      </c>
      <c r="U78" s="815">
        <v>831000</v>
      </c>
      <c r="V78" s="14">
        <v>50000</v>
      </c>
      <c r="W78" s="14" t="s">
        <v>290</v>
      </c>
      <c r="X78" s="9" t="s">
        <v>291</v>
      </c>
      <c r="Y78" s="2"/>
    </row>
    <row r="79" spans="1:25" ht="15.75" customHeight="1">
      <c r="A79" s="789"/>
      <c r="B79" s="960"/>
      <c r="C79" s="789"/>
      <c r="D79" s="789"/>
      <c r="E79" s="789"/>
      <c r="F79" s="789"/>
      <c r="G79" s="789"/>
      <c r="H79" s="789"/>
      <c r="I79" s="789"/>
      <c r="J79" s="789"/>
      <c r="K79" s="789"/>
      <c r="L79" s="789"/>
      <c r="M79" s="789"/>
      <c r="N79" s="789"/>
      <c r="O79" s="789"/>
      <c r="P79" s="789"/>
      <c r="Q79" s="789"/>
      <c r="R79" s="789"/>
      <c r="S79" s="789"/>
      <c r="T79" s="789"/>
      <c r="U79" s="815"/>
      <c r="V79" s="14">
        <v>150000</v>
      </c>
      <c r="W79" s="14" t="s">
        <v>59</v>
      </c>
      <c r="X79" s="12" t="s">
        <v>291</v>
      </c>
      <c r="Y79" s="2"/>
    </row>
    <row r="80" spans="1:25" ht="15.75" customHeight="1">
      <c r="A80" s="787">
        <v>4</v>
      </c>
      <c r="B80" s="787" t="s">
        <v>45</v>
      </c>
      <c r="C80" s="787" t="s">
        <v>305</v>
      </c>
      <c r="D80" s="787" t="s">
        <v>25</v>
      </c>
      <c r="E80" s="787" t="s">
        <v>190</v>
      </c>
      <c r="F80" s="787" t="s">
        <v>306</v>
      </c>
      <c r="G80" s="787" t="s">
        <v>71</v>
      </c>
      <c r="H80" s="790" t="s">
        <v>307</v>
      </c>
      <c r="I80" s="790" t="s">
        <v>308</v>
      </c>
      <c r="J80" s="787" t="s">
        <v>309</v>
      </c>
      <c r="K80" s="787" t="s">
        <v>194</v>
      </c>
      <c r="L80" s="796">
        <v>44593</v>
      </c>
      <c r="M80" s="878">
        <v>44866</v>
      </c>
      <c r="N80" s="796">
        <v>44866</v>
      </c>
      <c r="O80" s="796">
        <v>44896</v>
      </c>
      <c r="P80" s="796" t="s">
        <v>310</v>
      </c>
      <c r="Q80" s="787" t="s">
        <v>102</v>
      </c>
      <c r="R80" s="787" t="s">
        <v>311</v>
      </c>
      <c r="S80" s="787">
        <v>10043</v>
      </c>
      <c r="T80" s="787" t="s">
        <v>40</v>
      </c>
      <c r="U80" s="815">
        <v>400000</v>
      </c>
      <c r="V80" s="14">
        <v>50000</v>
      </c>
      <c r="W80" s="14" t="s">
        <v>290</v>
      </c>
      <c r="X80" s="12">
        <v>44652</v>
      </c>
      <c r="Y80" s="2"/>
    </row>
    <row r="81" spans="1:25" ht="15.75" customHeight="1">
      <c r="A81" s="789"/>
      <c r="B81" s="789"/>
      <c r="C81" s="789"/>
      <c r="D81" s="789"/>
      <c r="E81" s="789"/>
      <c r="F81" s="789"/>
      <c r="G81" s="789"/>
      <c r="H81" s="789"/>
      <c r="I81" s="789"/>
      <c r="J81" s="789"/>
      <c r="K81" s="789"/>
      <c r="L81" s="789"/>
      <c r="M81" s="789"/>
      <c r="N81" s="789"/>
      <c r="O81" s="789"/>
      <c r="P81" s="789"/>
      <c r="Q81" s="789"/>
      <c r="R81" s="789"/>
      <c r="S81" s="789"/>
      <c r="T81" s="789"/>
      <c r="U81" s="815"/>
      <c r="V81" s="14">
        <v>50000</v>
      </c>
      <c r="W81" s="14" t="s">
        <v>59</v>
      </c>
      <c r="X81" s="12">
        <v>44652</v>
      </c>
      <c r="Y81" s="2"/>
    </row>
    <row r="82" spans="1:25" ht="28.5" customHeight="1">
      <c r="A82" s="787">
        <v>5</v>
      </c>
      <c r="B82" s="787" t="s">
        <v>45</v>
      </c>
      <c r="C82" s="787" t="s">
        <v>312</v>
      </c>
      <c r="D82" s="787" t="s">
        <v>25</v>
      </c>
      <c r="E82" s="787" t="s">
        <v>313</v>
      </c>
      <c r="F82" s="787" t="s">
        <v>314</v>
      </c>
      <c r="G82" s="787" t="s">
        <v>71</v>
      </c>
      <c r="H82" s="790" t="s">
        <v>315</v>
      </c>
      <c r="I82" s="790" t="s">
        <v>316</v>
      </c>
      <c r="J82" s="787" t="s">
        <v>317</v>
      </c>
      <c r="K82" s="787" t="s">
        <v>99</v>
      </c>
      <c r="L82" s="787" t="s">
        <v>175</v>
      </c>
      <c r="M82" s="878" t="s">
        <v>318</v>
      </c>
      <c r="N82" s="796" t="s">
        <v>318</v>
      </c>
      <c r="O82" s="796" t="s">
        <v>319</v>
      </c>
      <c r="P82" s="796" t="s">
        <v>320</v>
      </c>
      <c r="Q82" s="787" t="s">
        <v>102</v>
      </c>
      <c r="R82" s="787" t="s">
        <v>321</v>
      </c>
      <c r="S82" s="787">
        <v>101582</v>
      </c>
      <c r="T82" s="796">
        <v>44672</v>
      </c>
      <c r="U82" s="815">
        <v>331000</v>
      </c>
      <c r="V82" s="14">
        <v>50000</v>
      </c>
      <c r="W82" s="14" t="s">
        <v>290</v>
      </c>
      <c r="X82" s="12">
        <v>44673</v>
      </c>
      <c r="Y82" s="2"/>
    </row>
    <row r="83" spans="1:25" ht="15.75" customHeight="1">
      <c r="A83" s="789"/>
      <c r="B83" s="960"/>
      <c r="C83" s="789"/>
      <c r="D83" s="789"/>
      <c r="E83" s="789"/>
      <c r="F83" s="789"/>
      <c r="G83" s="789"/>
      <c r="H83" s="789"/>
      <c r="I83" s="789"/>
      <c r="J83" s="789"/>
      <c r="K83" s="789"/>
      <c r="L83" s="789"/>
      <c r="M83" s="789"/>
      <c r="N83" s="789"/>
      <c r="O83" s="789"/>
      <c r="P83" s="789"/>
      <c r="Q83" s="789"/>
      <c r="R83" s="789"/>
      <c r="S83" s="789"/>
      <c r="T83" s="789"/>
      <c r="U83" s="815"/>
      <c r="V83" s="14">
        <v>50000</v>
      </c>
      <c r="W83" s="14" t="s">
        <v>59</v>
      </c>
      <c r="X83" s="12">
        <v>44673</v>
      </c>
      <c r="Y83" s="2"/>
    </row>
    <row r="84" spans="1:25" ht="15.75" customHeight="1">
      <c r="A84" s="787">
        <v>6</v>
      </c>
      <c r="B84" s="787" t="s">
        <v>45</v>
      </c>
      <c r="C84" s="787" t="s">
        <v>322</v>
      </c>
      <c r="D84" s="787" t="s">
        <v>25</v>
      </c>
      <c r="E84" s="787" t="s">
        <v>313</v>
      </c>
      <c r="F84" s="787" t="s">
        <v>323</v>
      </c>
      <c r="G84" s="787" t="s">
        <v>63</v>
      </c>
      <c r="H84" s="790" t="s">
        <v>324</v>
      </c>
      <c r="I84" s="790" t="s">
        <v>325</v>
      </c>
      <c r="J84" s="787" t="s">
        <v>66</v>
      </c>
      <c r="K84" s="787" t="s">
        <v>304</v>
      </c>
      <c r="L84" s="796">
        <v>44621</v>
      </c>
      <c r="M84" s="878">
        <v>44866</v>
      </c>
      <c r="N84" s="796">
        <v>44866</v>
      </c>
      <c r="O84" s="796">
        <v>44896</v>
      </c>
      <c r="P84" s="796" t="s">
        <v>310</v>
      </c>
      <c r="Q84" s="787" t="s">
        <v>102</v>
      </c>
      <c r="R84" s="787" t="s">
        <v>326</v>
      </c>
      <c r="S84" s="787">
        <v>101555</v>
      </c>
      <c r="T84" s="787" t="s">
        <v>327</v>
      </c>
      <c r="U84" s="815">
        <v>581000</v>
      </c>
      <c r="V84" s="14">
        <v>50000</v>
      </c>
      <c r="W84" s="14" t="s">
        <v>290</v>
      </c>
      <c r="X84" s="12">
        <v>44652</v>
      </c>
      <c r="Y84" s="2"/>
    </row>
    <row r="85" spans="1:25" ht="15.75" customHeight="1">
      <c r="A85" s="789"/>
      <c r="B85" s="789"/>
      <c r="C85" s="789"/>
      <c r="D85" s="789"/>
      <c r="E85" s="789"/>
      <c r="F85" s="789"/>
      <c r="G85" s="789"/>
      <c r="H85" s="789"/>
      <c r="I85" s="789"/>
      <c r="J85" s="789"/>
      <c r="K85" s="789"/>
      <c r="L85" s="789"/>
      <c r="M85" s="789"/>
      <c r="N85" s="789"/>
      <c r="O85" s="789"/>
      <c r="P85" s="789"/>
      <c r="Q85" s="789"/>
      <c r="R85" s="789"/>
      <c r="S85" s="789"/>
      <c r="T85" s="789"/>
      <c r="U85" s="816"/>
      <c r="V85" s="14">
        <v>100000</v>
      </c>
      <c r="W85" s="14" t="s">
        <v>59</v>
      </c>
      <c r="X85" s="12">
        <v>44652</v>
      </c>
      <c r="Y85" s="2"/>
    </row>
    <row r="86" spans="1:25" ht="15.75" customHeight="1">
      <c r="A86" s="9">
        <v>7</v>
      </c>
      <c r="B86" s="9" t="s">
        <v>328</v>
      </c>
      <c r="C86" s="9" t="s">
        <v>329</v>
      </c>
      <c r="D86" s="9" t="s">
        <v>25</v>
      </c>
      <c r="E86" s="9" t="s">
        <v>330</v>
      </c>
      <c r="F86" s="9" t="s">
        <v>331</v>
      </c>
      <c r="G86" s="9" t="s">
        <v>30</v>
      </c>
      <c r="H86" s="10" t="s">
        <v>332</v>
      </c>
      <c r="I86" s="10" t="s">
        <v>333</v>
      </c>
      <c r="J86" s="9" t="s">
        <v>52</v>
      </c>
      <c r="K86" s="9" t="s">
        <v>262</v>
      </c>
      <c r="L86" s="12">
        <v>44896</v>
      </c>
      <c r="M86" s="11" t="s">
        <v>334</v>
      </c>
      <c r="N86" s="12" t="s">
        <v>335</v>
      </c>
      <c r="O86" s="12" t="s">
        <v>297</v>
      </c>
      <c r="P86" s="12" t="s">
        <v>297</v>
      </c>
      <c r="Q86" s="9" t="s">
        <v>239</v>
      </c>
      <c r="R86" s="12">
        <v>44806</v>
      </c>
      <c r="S86" s="9">
        <v>10114</v>
      </c>
      <c r="T86" s="9" t="s">
        <v>40</v>
      </c>
      <c r="U86" s="14">
        <v>1379000</v>
      </c>
      <c r="V86" s="14">
        <v>250000</v>
      </c>
      <c r="W86" s="14" t="s">
        <v>59</v>
      </c>
      <c r="X86" s="9" t="s">
        <v>291</v>
      </c>
      <c r="Y86" s="2"/>
    </row>
    <row r="87" spans="1:25" ht="15.75" customHeight="1">
      <c r="A87" s="787">
        <v>8</v>
      </c>
      <c r="B87" s="787" t="s">
        <v>104</v>
      </c>
      <c r="C87" s="787" t="s">
        <v>336</v>
      </c>
      <c r="D87" s="787" t="s">
        <v>25</v>
      </c>
      <c r="E87" s="787" t="s">
        <v>122</v>
      </c>
      <c r="F87" s="787" t="s">
        <v>337</v>
      </c>
      <c r="G87" s="787" t="s">
        <v>63</v>
      </c>
      <c r="H87" s="790" t="s">
        <v>338</v>
      </c>
      <c r="I87" s="790" t="s">
        <v>339</v>
      </c>
      <c r="J87" s="787" t="s">
        <v>74</v>
      </c>
      <c r="K87" s="787" t="s">
        <v>304</v>
      </c>
      <c r="L87" s="796" t="s">
        <v>340</v>
      </c>
      <c r="M87" s="878" t="s">
        <v>341</v>
      </c>
      <c r="N87" s="796" t="s">
        <v>341</v>
      </c>
      <c r="O87" s="796" t="s">
        <v>342</v>
      </c>
      <c r="P87" s="796" t="s">
        <v>343</v>
      </c>
      <c r="Q87" s="787" t="s">
        <v>78</v>
      </c>
      <c r="R87" s="787" t="s">
        <v>311</v>
      </c>
      <c r="S87" s="787">
        <v>10125</v>
      </c>
      <c r="T87" s="796">
        <v>44662</v>
      </c>
      <c r="U87" s="815">
        <v>2281000</v>
      </c>
      <c r="V87" s="14">
        <v>50000</v>
      </c>
      <c r="W87" s="14" t="s">
        <v>290</v>
      </c>
      <c r="X87" s="12">
        <v>44665</v>
      </c>
      <c r="Y87" s="2"/>
    </row>
    <row r="88" spans="1:25" ht="15.75" customHeight="1">
      <c r="A88" s="789"/>
      <c r="B88" s="789"/>
      <c r="C88" s="789"/>
      <c r="D88" s="789"/>
      <c r="E88" s="789"/>
      <c r="F88" s="789"/>
      <c r="G88" s="789"/>
      <c r="H88" s="789"/>
      <c r="I88" s="789"/>
      <c r="J88" s="789"/>
      <c r="K88" s="789"/>
      <c r="L88" s="789"/>
      <c r="M88" s="789"/>
      <c r="N88" s="789"/>
      <c r="O88" s="789"/>
      <c r="P88" s="789"/>
      <c r="Q88" s="789"/>
      <c r="R88" s="789"/>
      <c r="S88" s="789"/>
      <c r="T88" s="789"/>
      <c r="U88" s="815"/>
      <c r="V88" s="14">
        <v>500000</v>
      </c>
      <c r="W88" s="14" t="s">
        <v>59</v>
      </c>
      <c r="X88" s="12">
        <v>44665</v>
      </c>
      <c r="Y88" s="2"/>
    </row>
    <row r="89" spans="1:25" ht="15.75" customHeight="1">
      <c r="A89" s="787">
        <v>9</v>
      </c>
      <c r="B89" s="787" t="s">
        <v>104</v>
      </c>
      <c r="C89" s="787" t="s">
        <v>344</v>
      </c>
      <c r="D89" s="787" t="s">
        <v>25</v>
      </c>
      <c r="E89" s="787" t="s">
        <v>218</v>
      </c>
      <c r="F89" s="787" t="s">
        <v>345</v>
      </c>
      <c r="G89" s="787" t="s">
        <v>71</v>
      </c>
      <c r="H89" s="790" t="s">
        <v>346</v>
      </c>
      <c r="I89" s="790" t="s">
        <v>347</v>
      </c>
      <c r="J89" s="787" t="s">
        <v>296</v>
      </c>
      <c r="K89" s="787" t="s">
        <v>194</v>
      </c>
      <c r="L89" s="796">
        <v>44713</v>
      </c>
      <c r="M89" s="878" t="s">
        <v>341</v>
      </c>
      <c r="N89" s="796" t="s">
        <v>341</v>
      </c>
      <c r="O89" s="796" t="s">
        <v>342</v>
      </c>
      <c r="P89" s="796" t="s">
        <v>343</v>
      </c>
      <c r="Q89" s="787" t="s">
        <v>78</v>
      </c>
      <c r="R89" s="787" t="s">
        <v>311</v>
      </c>
      <c r="S89" s="787">
        <v>10130</v>
      </c>
      <c r="T89" s="796">
        <v>44662</v>
      </c>
      <c r="U89" s="815">
        <v>1356000</v>
      </c>
      <c r="V89" s="14">
        <v>50000</v>
      </c>
      <c r="W89" s="14" t="s">
        <v>290</v>
      </c>
      <c r="X89" s="12">
        <v>44665</v>
      </c>
      <c r="Y89" s="2"/>
    </row>
    <row r="90" spans="1:25" ht="15.75" customHeight="1">
      <c r="A90" s="789"/>
      <c r="B90" s="789"/>
      <c r="C90" s="789"/>
      <c r="D90" s="789"/>
      <c r="E90" s="789"/>
      <c r="F90" s="789"/>
      <c r="G90" s="789"/>
      <c r="H90" s="789"/>
      <c r="I90" s="789"/>
      <c r="J90" s="789"/>
      <c r="K90" s="789"/>
      <c r="L90" s="789"/>
      <c r="M90" s="789"/>
      <c r="N90" s="789"/>
      <c r="O90" s="789"/>
      <c r="P90" s="789"/>
      <c r="Q90" s="789"/>
      <c r="R90" s="789"/>
      <c r="S90" s="789"/>
      <c r="T90" s="789"/>
      <c r="U90" s="815"/>
      <c r="V90" s="14">
        <v>50000</v>
      </c>
      <c r="W90" s="14" t="s">
        <v>59</v>
      </c>
      <c r="X90" s="12">
        <v>44665</v>
      </c>
      <c r="Y90" s="2"/>
    </row>
    <row r="91" spans="1:25" ht="15.75" customHeight="1">
      <c r="A91" s="787">
        <v>10</v>
      </c>
      <c r="B91" s="787" t="s">
        <v>45</v>
      </c>
      <c r="C91" s="787" t="s">
        <v>348</v>
      </c>
      <c r="D91" s="787" t="s">
        <v>25</v>
      </c>
      <c r="E91" s="787" t="s">
        <v>190</v>
      </c>
      <c r="F91" s="787" t="s">
        <v>349</v>
      </c>
      <c r="G91" s="787" t="s">
        <v>71</v>
      </c>
      <c r="H91" s="790" t="s">
        <v>350</v>
      </c>
      <c r="I91" s="790" t="s">
        <v>351</v>
      </c>
      <c r="J91" s="787" t="s">
        <v>309</v>
      </c>
      <c r="K91" s="787" t="s">
        <v>194</v>
      </c>
      <c r="L91" s="796" t="s">
        <v>289</v>
      </c>
      <c r="M91" s="878" t="s">
        <v>341</v>
      </c>
      <c r="N91" s="796" t="s">
        <v>297</v>
      </c>
      <c r="O91" s="796" t="s">
        <v>352</v>
      </c>
      <c r="P91" s="796" t="s">
        <v>343</v>
      </c>
      <c r="Q91" s="787" t="s">
        <v>102</v>
      </c>
      <c r="R91" s="787" t="s">
        <v>311</v>
      </c>
      <c r="S91" s="787">
        <v>10133</v>
      </c>
      <c r="T91" s="787" t="s">
        <v>40</v>
      </c>
      <c r="U91" s="815">
        <v>1593000</v>
      </c>
      <c r="V91" s="14">
        <v>50000</v>
      </c>
      <c r="W91" s="14" t="s">
        <v>290</v>
      </c>
      <c r="X91" s="12">
        <v>44652</v>
      </c>
      <c r="Y91" s="2"/>
    </row>
    <row r="92" spans="1:25" ht="15.75" customHeight="1">
      <c r="A92" s="789"/>
      <c r="B92" s="789"/>
      <c r="C92" s="789"/>
      <c r="D92" s="789"/>
      <c r="E92" s="789"/>
      <c r="F92" s="789"/>
      <c r="G92" s="789"/>
      <c r="H92" s="789"/>
      <c r="I92" s="789"/>
      <c r="J92" s="789"/>
      <c r="K92" s="789"/>
      <c r="L92" s="789"/>
      <c r="M92" s="789"/>
      <c r="N92" s="789"/>
      <c r="O92" s="789"/>
      <c r="P92" s="789"/>
      <c r="Q92" s="789"/>
      <c r="R92" s="789"/>
      <c r="S92" s="789"/>
      <c r="T92" s="789"/>
      <c r="U92" s="816"/>
      <c r="V92" s="14">
        <v>50000</v>
      </c>
      <c r="W92" s="14" t="s">
        <v>59</v>
      </c>
      <c r="X92" s="12">
        <v>44652</v>
      </c>
      <c r="Y92" s="2"/>
    </row>
    <row r="93" spans="1:25" ht="15.75" customHeight="1">
      <c r="A93" s="9">
        <v>11</v>
      </c>
      <c r="B93" s="9" t="s">
        <v>328</v>
      </c>
      <c r="C93" s="9" t="s">
        <v>353</v>
      </c>
      <c r="D93" s="9" t="s">
        <v>25</v>
      </c>
      <c r="E93" s="9" t="s">
        <v>354</v>
      </c>
      <c r="F93" s="9" t="s">
        <v>355</v>
      </c>
      <c r="G93" s="9" t="s">
        <v>233</v>
      </c>
      <c r="H93" s="10" t="s">
        <v>356</v>
      </c>
      <c r="I93" s="10" t="s">
        <v>357</v>
      </c>
      <c r="J93" s="9" t="s">
        <v>66</v>
      </c>
      <c r="K93" s="9" t="s">
        <v>358</v>
      </c>
      <c r="L93" s="9" t="s">
        <v>318</v>
      </c>
      <c r="M93" s="11" t="s">
        <v>359</v>
      </c>
      <c r="N93" s="12" t="s">
        <v>289</v>
      </c>
      <c r="O93" s="12" t="s">
        <v>289</v>
      </c>
      <c r="P93" s="12" t="s">
        <v>334</v>
      </c>
      <c r="Q93" s="9" t="s">
        <v>239</v>
      </c>
      <c r="R93" s="9" t="s">
        <v>341</v>
      </c>
      <c r="S93" s="9">
        <v>10141</v>
      </c>
      <c r="T93" s="9" t="s">
        <v>327</v>
      </c>
      <c r="U93" s="14">
        <v>910000</v>
      </c>
      <c r="V93" s="14">
        <v>650000</v>
      </c>
      <c r="W93" s="14" t="s">
        <v>59</v>
      </c>
      <c r="X93" s="9" t="s">
        <v>291</v>
      </c>
      <c r="Y93" s="2"/>
    </row>
    <row r="94" spans="1:25" ht="15.75" customHeight="1">
      <c r="A94" s="787">
        <v>12</v>
      </c>
      <c r="B94" s="787" t="s">
        <v>45</v>
      </c>
      <c r="C94" s="787" t="s">
        <v>360</v>
      </c>
      <c r="D94" s="787" t="s">
        <v>25</v>
      </c>
      <c r="E94" s="787" t="s">
        <v>361</v>
      </c>
      <c r="F94" s="787" t="s">
        <v>362</v>
      </c>
      <c r="G94" s="787" t="s">
        <v>71</v>
      </c>
      <c r="H94" s="790" t="s">
        <v>363</v>
      </c>
      <c r="I94" s="790" t="s">
        <v>364</v>
      </c>
      <c r="J94" s="787" t="s">
        <v>365</v>
      </c>
      <c r="K94" s="787" t="s">
        <v>194</v>
      </c>
      <c r="L94" s="796" t="s">
        <v>297</v>
      </c>
      <c r="M94" s="878">
        <v>44622</v>
      </c>
      <c r="N94" s="796">
        <v>44775</v>
      </c>
      <c r="O94" s="796">
        <v>44775</v>
      </c>
      <c r="P94" s="796">
        <v>44806</v>
      </c>
      <c r="Q94" s="787" t="s">
        <v>102</v>
      </c>
      <c r="R94" s="787" t="s">
        <v>311</v>
      </c>
      <c r="S94" s="787">
        <v>10149</v>
      </c>
      <c r="T94" s="796">
        <v>44650</v>
      </c>
      <c r="U94" s="815">
        <v>4750000</v>
      </c>
      <c r="V94" s="19">
        <v>1050000</v>
      </c>
      <c r="W94" s="19" t="s">
        <v>290</v>
      </c>
      <c r="X94" s="17">
        <v>44659</v>
      </c>
      <c r="Y94" s="2"/>
    </row>
    <row r="95" spans="1:25" ht="15.75" customHeight="1">
      <c r="A95" s="789"/>
      <c r="B95" s="789"/>
      <c r="C95" s="789"/>
      <c r="D95" s="789"/>
      <c r="E95" s="789"/>
      <c r="F95" s="789"/>
      <c r="G95" s="789"/>
      <c r="H95" s="789"/>
      <c r="I95" s="789"/>
      <c r="J95" s="789"/>
      <c r="K95" s="789"/>
      <c r="L95" s="789"/>
      <c r="M95" s="789"/>
      <c r="N95" s="789"/>
      <c r="O95" s="789"/>
      <c r="P95" s="789"/>
      <c r="Q95" s="789"/>
      <c r="R95" s="789"/>
      <c r="S95" s="789"/>
      <c r="T95" s="789"/>
      <c r="U95" s="815"/>
      <c r="V95" s="14">
        <v>500000</v>
      </c>
      <c r="W95" s="14" t="s">
        <v>59</v>
      </c>
      <c r="X95" s="17">
        <v>44659</v>
      </c>
      <c r="Y95" s="32"/>
    </row>
    <row r="96" spans="1:25" ht="21.75" customHeight="1">
      <c r="A96" s="787">
        <v>13</v>
      </c>
      <c r="B96" s="787" t="s">
        <v>45</v>
      </c>
      <c r="C96" s="787" t="s">
        <v>366</v>
      </c>
      <c r="D96" s="787" t="s">
        <v>25</v>
      </c>
      <c r="E96" s="787" t="s">
        <v>61</v>
      </c>
      <c r="F96" s="787" t="s">
        <v>367</v>
      </c>
      <c r="G96" s="787" t="s">
        <v>63</v>
      </c>
      <c r="H96" s="790" t="s">
        <v>368</v>
      </c>
      <c r="I96" s="790" t="s">
        <v>369</v>
      </c>
      <c r="J96" s="787" t="s">
        <v>66</v>
      </c>
      <c r="K96" s="787" t="s">
        <v>304</v>
      </c>
      <c r="L96" s="787" t="s">
        <v>340</v>
      </c>
      <c r="M96" s="878" t="s">
        <v>341</v>
      </c>
      <c r="N96" s="796" t="s">
        <v>321</v>
      </c>
      <c r="O96" s="796" t="s">
        <v>370</v>
      </c>
      <c r="P96" s="796" t="s">
        <v>343</v>
      </c>
      <c r="Q96" s="787" t="s">
        <v>55</v>
      </c>
      <c r="R96" s="787" t="s">
        <v>311</v>
      </c>
      <c r="S96" s="787">
        <v>10150</v>
      </c>
      <c r="T96" s="796">
        <v>44650</v>
      </c>
      <c r="U96" s="815">
        <v>481000</v>
      </c>
      <c r="V96" s="14">
        <v>50000</v>
      </c>
      <c r="W96" s="14" t="s">
        <v>290</v>
      </c>
      <c r="X96" s="12">
        <v>44659</v>
      </c>
      <c r="Y96" s="2"/>
    </row>
    <row r="97" spans="1:25" ht="21.75" customHeight="1">
      <c r="A97" s="789"/>
      <c r="B97" s="789"/>
      <c r="C97" s="789"/>
      <c r="D97" s="789"/>
      <c r="E97" s="789"/>
      <c r="F97" s="789"/>
      <c r="G97" s="789"/>
      <c r="H97" s="789"/>
      <c r="I97" s="789"/>
      <c r="J97" s="789"/>
      <c r="K97" s="789"/>
      <c r="L97" s="789"/>
      <c r="M97" s="789"/>
      <c r="N97" s="789"/>
      <c r="O97" s="789"/>
      <c r="P97" s="789"/>
      <c r="Q97" s="789"/>
      <c r="R97" s="789"/>
      <c r="S97" s="789"/>
      <c r="T97" s="789"/>
      <c r="U97" s="815"/>
      <c r="V97" s="14">
        <v>100000</v>
      </c>
      <c r="W97" s="14" t="s">
        <v>59</v>
      </c>
      <c r="X97" s="12">
        <v>44659</v>
      </c>
      <c r="Y97" s="2"/>
    </row>
    <row r="98" spans="1:25" ht="15.75" customHeight="1">
      <c r="A98" s="787">
        <v>14</v>
      </c>
      <c r="B98" s="787" t="s">
        <v>45</v>
      </c>
      <c r="C98" s="787" t="s">
        <v>371</v>
      </c>
      <c r="D98" s="787" t="s">
        <v>25</v>
      </c>
      <c r="E98" s="787" t="s">
        <v>258</v>
      </c>
      <c r="F98" s="787" t="s">
        <v>372</v>
      </c>
      <c r="G98" s="787" t="s">
        <v>30</v>
      </c>
      <c r="H98" s="790" t="s">
        <v>373</v>
      </c>
      <c r="I98" s="790" t="s">
        <v>374</v>
      </c>
      <c r="J98" s="787" t="s">
        <v>375</v>
      </c>
      <c r="K98" s="787" t="s">
        <v>376</v>
      </c>
      <c r="L98" s="796">
        <v>44481</v>
      </c>
      <c r="M98" s="878" t="s">
        <v>320</v>
      </c>
      <c r="N98" s="796" t="s">
        <v>320</v>
      </c>
      <c r="O98" s="796" t="s">
        <v>320</v>
      </c>
      <c r="P98" s="796" t="s">
        <v>359</v>
      </c>
      <c r="Q98" s="787" t="s">
        <v>151</v>
      </c>
      <c r="R98" s="796">
        <v>44806</v>
      </c>
      <c r="S98" s="787">
        <v>100619</v>
      </c>
      <c r="T98" s="787" t="s">
        <v>40</v>
      </c>
      <c r="U98" s="815">
        <v>4543385</v>
      </c>
      <c r="V98" s="14">
        <v>2163300</v>
      </c>
      <c r="W98" s="14" t="s">
        <v>290</v>
      </c>
      <c r="X98" s="9" t="s">
        <v>291</v>
      </c>
      <c r="Y98" s="2"/>
    </row>
    <row r="99" spans="1:25" ht="15.75" customHeight="1">
      <c r="A99" s="789"/>
      <c r="B99" s="789"/>
      <c r="C99" s="789"/>
      <c r="D99" s="789"/>
      <c r="E99" s="789"/>
      <c r="F99" s="789"/>
      <c r="G99" s="789"/>
      <c r="H99" s="789"/>
      <c r="I99" s="789"/>
      <c r="J99" s="789"/>
      <c r="K99" s="789"/>
      <c r="L99" s="789"/>
      <c r="M99" s="789"/>
      <c r="N99" s="789"/>
      <c r="O99" s="789"/>
      <c r="P99" s="789"/>
      <c r="Q99" s="789"/>
      <c r="R99" s="789"/>
      <c r="S99" s="789"/>
      <c r="T99" s="789"/>
      <c r="U99" s="815"/>
      <c r="V99" s="14">
        <v>2000000</v>
      </c>
      <c r="W99" s="14" t="s">
        <v>59</v>
      </c>
      <c r="X99" s="9" t="s">
        <v>291</v>
      </c>
      <c r="Y99" s="2"/>
    </row>
    <row r="100" spans="1:25" ht="15.75" customHeight="1">
      <c r="A100" s="807" t="s">
        <v>128</v>
      </c>
      <c r="B100" s="817"/>
      <c r="C100" s="817"/>
      <c r="D100" s="817"/>
      <c r="E100" s="817"/>
      <c r="F100" s="817"/>
      <c r="G100" s="817"/>
      <c r="H100" s="817"/>
      <c r="I100" s="817"/>
      <c r="J100" s="817"/>
      <c r="K100" s="817"/>
      <c r="L100" s="817"/>
      <c r="M100" s="817"/>
      <c r="N100" s="817"/>
      <c r="O100" s="817"/>
      <c r="P100" s="817"/>
      <c r="Q100" s="817"/>
      <c r="R100" s="817"/>
      <c r="S100" s="817"/>
      <c r="T100" s="817"/>
      <c r="U100" s="817"/>
      <c r="V100" s="817"/>
      <c r="W100" s="817"/>
      <c r="X100" s="818"/>
      <c r="Y100" s="2"/>
    </row>
    <row r="101" spans="1:25" ht="15.75" customHeight="1">
      <c r="A101" s="787">
        <v>15</v>
      </c>
      <c r="B101" s="787" t="s">
        <v>45</v>
      </c>
      <c r="C101" s="787" t="s">
        <v>377</v>
      </c>
      <c r="D101" s="787" t="s">
        <v>128</v>
      </c>
      <c r="E101" s="787" t="s">
        <v>378</v>
      </c>
      <c r="F101" s="787" t="s">
        <v>379</v>
      </c>
      <c r="G101" s="787" t="s">
        <v>71</v>
      </c>
      <c r="H101" s="790" t="s">
        <v>380</v>
      </c>
      <c r="I101" s="790" t="s">
        <v>381</v>
      </c>
      <c r="J101" s="787" t="s">
        <v>382</v>
      </c>
      <c r="K101" s="787" t="s">
        <v>383</v>
      </c>
      <c r="L101" s="796" t="s">
        <v>359</v>
      </c>
      <c r="M101" s="878" t="s">
        <v>384</v>
      </c>
      <c r="N101" s="796" t="s">
        <v>385</v>
      </c>
      <c r="O101" s="879" t="s">
        <v>386</v>
      </c>
      <c r="P101" s="881"/>
      <c r="Q101" s="787" t="s">
        <v>102</v>
      </c>
      <c r="R101" s="787" t="s">
        <v>321</v>
      </c>
      <c r="S101" s="787">
        <v>10086</v>
      </c>
      <c r="T101" s="796">
        <v>44672</v>
      </c>
      <c r="U101" s="815">
        <v>2603550</v>
      </c>
      <c r="V101" s="14">
        <v>840000</v>
      </c>
      <c r="W101" s="14" t="s">
        <v>290</v>
      </c>
      <c r="X101" s="12">
        <v>44673</v>
      </c>
      <c r="Y101" s="2"/>
    </row>
    <row r="102" spans="1:25" ht="15.75" customHeight="1">
      <c r="A102" s="789"/>
      <c r="B102" s="789"/>
      <c r="C102" s="789"/>
      <c r="D102" s="789"/>
      <c r="E102" s="789"/>
      <c r="F102" s="789"/>
      <c r="G102" s="789"/>
      <c r="H102" s="789"/>
      <c r="I102" s="789"/>
      <c r="J102" s="789"/>
      <c r="K102" s="789"/>
      <c r="L102" s="789"/>
      <c r="M102" s="789"/>
      <c r="N102" s="789"/>
      <c r="O102" s="882"/>
      <c r="P102" s="818"/>
      <c r="Q102" s="789"/>
      <c r="R102" s="789"/>
      <c r="S102" s="789"/>
      <c r="T102" s="789"/>
      <c r="U102" s="815"/>
      <c r="V102" s="14">
        <v>500000</v>
      </c>
      <c r="W102" s="14" t="s">
        <v>59</v>
      </c>
      <c r="X102" s="12">
        <v>44673</v>
      </c>
      <c r="Y102" s="2"/>
    </row>
    <row r="103" spans="1:25" ht="15.75" customHeight="1">
      <c r="A103" s="787">
        <v>16</v>
      </c>
      <c r="B103" s="787" t="s">
        <v>45</v>
      </c>
      <c r="C103" s="787" t="s">
        <v>387</v>
      </c>
      <c r="D103" s="787" t="s">
        <v>128</v>
      </c>
      <c r="E103" s="787" t="s">
        <v>378</v>
      </c>
      <c r="F103" s="787" t="s">
        <v>388</v>
      </c>
      <c r="G103" s="787" t="s">
        <v>71</v>
      </c>
      <c r="H103" s="790" t="s">
        <v>389</v>
      </c>
      <c r="I103" s="790" t="s">
        <v>390</v>
      </c>
      <c r="J103" s="787" t="s">
        <v>391</v>
      </c>
      <c r="K103" s="787" t="s">
        <v>383</v>
      </c>
      <c r="L103" s="796" t="s">
        <v>340</v>
      </c>
      <c r="M103" s="878" t="s">
        <v>334</v>
      </c>
      <c r="N103" s="796" t="s">
        <v>385</v>
      </c>
      <c r="O103" s="879" t="s">
        <v>386</v>
      </c>
      <c r="P103" s="881"/>
      <c r="Q103" s="787" t="s">
        <v>102</v>
      </c>
      <c r="R103" s="787" t="s">
        <v>392</v>
      </c>
      <c r="S103" s="787">
        <v>10088</v>
      </c>
      <c r="T103" s="796">
        <v>44672</v>
      </c>
      <c r="U103" s="815">
        <v>1657040</v>
      </c>
      <c r="V103" s="14">
        <v>640000</v>
      </c>
      <c r="W103" s="14" t="s">
        <v>290</v>
      </c>
      <c r="X103" s="12">
        <v>44673</v>
      </c>
      <c r="Y103" s="2"/>
    </row>
    <row r="104" spans="1:25" ht="15.75" customHeight="1">
      <c r="A104" s="789"/>
      <c r="B104" s="789"/>
      <c r="C104" s="789"/>
      <c r="D104" s="789"/>
      <c r="E104" s="789"/>
      <c r="F104" s="789"/>
      <c r="G104" s="789"/>
      <c r="H104" s="789"/>
      <c r="I104" s="789"/>
      <c r="J104" s="789"/>
      <c r="K104" s="789"/>
      <c r="L104" s="789"/>
      <c r="M104" s="789"/>
      <c r="N104" s="789"/>
      <c r="O104" s="882"/>
      <c r="P104" s="818"/>
      <c r="Q104" s="789"/>
      <c r="R104" s="789"/>
      <c r="S104" s="789"/>
      <c r="T104" s="789"/>
      <c r="U104" s="815"/>
      <c r="V104" s="14">
        <v>500000</v>
      </c>
      <c r="W104" s="14" t="s">
        <v>59</v>
      </c>
      <c r="X104" s="12">
        <v>44673</v>
      </c>
      <c r="Y104" s="2"/>
    </row>
    <row r="105" spans="1:25" ht="23.25" customHeight="1">
      <c r="A105" s="787">
        <v>17</v>
      </c>
      <c r="B105" s="787" t="s">
        <v>45</v>
      </c>
      <c r="C105" s="787" t="s">
        <v>393</v>
      </c>
      <c r="D105" s="787" t="s">
        <v>128</v>
      </c>
      <c r="E105" s="787" t="s">
        <v>47</v>
      </c>
      <c r="F105" s="787" t="s">
        <v>394</v>
      </c>
      <c r="G105" s="787" t="s">
        <v>71</v>
      </c>
      <c r="H105" s="790" t="s">
        <v>395</v>
      </c>
      <c r="I105" s="790" t="s">
        <v>396</v>
      </c>
      <c r="J105" s="787" t="s">
        <v>397</v>
      </c>
      <c r="K105" s="787" t="s">
        <v>99</v>
      </c>
      <c r="L105" s="796" t="s">
        <v>341</v>
      </c>
      <c r="M105" s="878">
        <v>44897</v>
      </c>
      <c r="N105" s="879" t="s">
        <v>398</v>
      </c>
      <c r="O105" s="880"/>
      <c r="P105" s="881"/>
      <c r="Q105" s="787" t="s">
        <v>102</v>
      </c>
      <c r="R105" s="787" t="s">
        <v>297</v>
      </c>
      <c r="S105" s="787" t="s">
        <v>399</v>
      </c>
      <c r="T105" s="787" t="s">
        <v>40</v>
      </c>
      <c r="U105" s="815">
        <v>3816000</v>
      </c>
      <c r="V105" s="14">
        <v>840000</v>
      </c>
      <c r="W105" s="14" t="s">
        <v>290</v>
      </c>
      <c r="X105" s="12">
        <v>44867</v>
      </c>
      <c r="Y105" s="2"/>
    </row>
    <row r="106" spans="1:25" ht="15.75" customHeight="1">
      <c r="A106" s="789"/>
      <c r="B106" s="789"/>
      <c r="C106" s="789"/>
      <c r="D106" s="789"/>
      <c r="E106" s="789"/>
      <c r="F106" s="789"/>
      <c r="G106" s="789"/>
      <c r="H106" s="789"/>
      <c r="I106" s="789"/>
      <c r="J106" s="789"/>
      <c r="K106" s="789"/>
      <c r="L106" s="789"/>
      <c r="M106" s="789"/>
      <c r="N106" s="882"/>
      <c r="O106" s="817"/>
      <c r="P106" s="818"/>
      <c r="Q106" s="789"/>
      <c r="R106" s="789"/>
      <c r="S106" s="789"/>
      <c r="T106" s="789"/>
      <c r="U106" s="815"/>
      <c r="V106" s="14">
        <v>1500000</v>
      </c>
      <c r="W106" s="14" t="s">
        <v>59</v>
      </c>
      <c r="X106" s="12">
        <v>44867</v>
      </c>
      <c r="Y106" s="2"/>
    </row>
    <row r="107" spans="1:25" ht="15.75" customHeight="1">
      <c r="A107" s="9">
        <v>18</v>
      </c>
      <c r="B107" s="9" t="s">
        <v>266</v>
      </c>
      <c r="C107" s="9" t="s">
        <v>400</v>
      </c>
      <c r="D107" s="9" t="s">
        <v>128</v>
      </c>
      <c r="E107" s="9" t="s">
        <v>401</v>
      </c>
      <c r="F107" s="9" t="s">
        <v>402</v>
      </c>
      <c r="G107" s="9" t="s">
        <v>71</v>
      </c>
      <c r="H107" s="10" t="s">
        <v>403</v>
      </c>
      <c r="I107" s="10" t="s">
        <v>404</v>
      </c>
      <c r="J107" s="9" t="s">
        <v>405</v>
      </c>
      <c r="K107" s="9" t="s">
        <v>223</v>
      </c>
      <c r="L107" s="12" t="s">
        <v>326</v>
      </c>
      <c r="M107" s="11" t="s">
        <v>321</v>
      </c>
      <c r="N107" s="12" t="s">
        <v>359</v>
      </c>
      <c r="O107" s="846" t="s">
        <v>406</v>
      </c>
      <c r="P107" s="896"/>
      <c r="Q107" s="9" t="s">
        <v>274</v>
      </c>
      <c r="R107" s="12">
        <v>44651</v>
      </c>
      <c r="S107" s="9" t="s">
        <v>407</v>
      </c>
      <c r="T107" s="9" t="s">
        <v>40</v>
      </c>
      <c r="U107" s="14">
        <v>1821000</v>
      </c>
      <c r="V107" s="14">
        <v>1750000</v>
      </c>
      <c r="W107" s="14" t="s">
        <v>39</v>
      </c>
      <c r="X107" s="9" t="s">
        <v>291</v>
      </c>
      <c r="Y107" s="2"/>
    </row>
    <row r="108" spans="1:25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35"/>
      <c r="N108" s="24"/>
      <c r="O108" s="24"/>
      <c r="P108" s="24"/>
      <c r="Q108" s="22"/>
      <c r="R108" s="22"/>
      <c r="S108" s="22"/>
      <c r="T108" s="36" t="s">
        <v>408</v>
      </c>
      <c r="U108" s="27">
        <f>SUM(U74:U107)</f>
        <v>29949975</v>
      </c>
      <c r="V108" s="29">
        <f>V79+V75+V77+V83+V99+V81+V85+V106+V93+V90+V88+V92+V102+V104+V86+V97+V95</f>
        <v>7050000</v>
      </c>
      <c r="W108" s="29"/>
      <c r="X108" s="22"/>
      <c r="Y108" s="2"/>
    </row>
    <row r="109" spans="1:25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35"/>
      <c r="N109" s="24"/>
      <c r="O109" s="24"/>
      <c r="P109" s="24"/>
      <c r="Q109" s="22"/>
      <c r="R109" s="22"/>
      <c r="S109" s="22"/>
      <c r="T109" s="22"/>
      <c r="U109" s="29"/>
      <c r="V109" s="29">
        <f>V74+V76+V78+V80+V82+V84+V87+V89+V91+V94+V96+V101+V103+V105+V98</f>
        <v>6033300</v>
      </c>
      <c r="W109" s="29"/>
      <c r="X109" s="22"/>
      <c r="Y109" s="2"/>
    </row>
    <row r="110" spans="1:25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35"/>
      <c r="N110" s="24"/>
      <c r="O110" s="24"/>
      <c r="P110" s="24"/>
      <c r="Q110" s="22"/>
      <c r="R110" s="22"/>
      <c r="S110" s="22"/>
      <c r="T110" s="22"/>
      <c r="U110" s="29"/>
      <c r="V110" s="29"/>
      <c r="W110" s="29"/>
      <c r="X110" s="22"/>
      <c r="Y110" s="2"/>
    </row>
    <row r="111" spans="1:25" ht="15.75" customHeight="1">
      <c r="A111" s="886" t="s">
        <v>409</v>
      </c>
      <c r="B111" s="887"/>
      <c r="C111" s="887"/>
      <c r="D111" s="887"/>
      <c r="E111" s="887"/>
      <c r="F111" s="887"/>
      <c r="G111" s="887"/>
      <c r="H111" s="887"/>
      <c r="I111" s="887"/>
      <c r="J111" s="887"/>
      <c r="K111" s="887"/>
      <c r="L111" s="887"/>
      <c r="M111" s="887"/>
      <c r="N111" s="887"/>
      <c r="O111" s="887"/>
      <c r="P111" s="887"/>
      <c r="Q111" s="887"/>
      <c r="R111" s="887"/>
      <c r="S111" s="887"/>
      <c r="T111" s="887"/>
      <c r="U111" s="887"/>
      <c r="V111" s="887"/>
      <c r="W111" s="887"/>
      <c r="X111" s="887"/>
      <c r="Y111" s="2"/>
    </row>
    <row r="112" spans="1:25" ht="15.75" customHeight="1">
      <c r="A112" s="3" t="s">
        <v>1</v>
      </c>
      <c r="B112" s="4" t="s">
        <v>2</v>
      </c>
      <c r="C112" s="5" t="s">
        <v>3</v>
      </c>
      <c r="D112" s="5" t="s">
        <v>4</v>
      </c>
      <c r="E112" s="5" t="s">
        <v>5</v>
      </c>
      <c r="F112" s="5" t="s">
        <v>6</v>
      </c>
      <c r="G112" s="5" t="s">
        <v>7</v>
      </c>
      <c r="H112" s="5" t="s">
        <v>167</v>
      </c>
      <c r="I112" s="5" t="s">
        <v>9</v>
      </c>
      <c r="J112" s="5" t="s">
        <v>10</v>
      </c>
      <c r="K112" s="5" t="s">
        <v>11</v>
      </c>
      <c r="L112" s="5" t="s">
        <v>12</v>
      </c>
      <c r="M112" s="6" t="s">
        <v>13</v>
      </c>
      <c r="N112" s="5" t="s">
        <v>14</v>
      </c>
      <c r="O112" s="5" t="s">
        <v>15</v>
      </c>
      <c r="P112" s="5" t="s">
        <v>16</v>
      </c>
      <c r="Q112" s="7" t="s">
        <v>17</v>
      </c>
      <c r="R112" s="8" t="s">
        <v>18</v>
      </c>
      <c r="S112" s="8" t="s">
        <v>19</v>
      </c>
      <c r="T112" s="8" t="s">
        <v>20</v>
      </c>
      <c r="U112" s="5" t="s">
        <v>21</v>
      </c>
      <c r="V112" s="5" t="s">
        <v>22</v>
      </c>
      <c r="W112" s="5" t="s">
        <v>23</v>
      </c>
      <c r="X112" s="5" t="s">
        <v>24</v>
      </c>
      <c r="Y112" s="2"/>
    </row>
    <row r="113" spans="1:25" ht="14.25" customHeight="1">
      <c r="A113" s="807" t="s">
        <v>25</v>
      </c>
      <c r="B113" s="817"/>
      <c r="C113" s="817"/>
      <c r="D113" s="817"/>
      <c r="E113" s="817"/>
      <c r="F113" s="817"/>
      <c r="G113" s="817"/>
      <c r="H113" s="817"/>
      <c r="I113" s="817"/>
      <c r="J113" s="817"/>
      <c r="K113" s="817"/>
      <c r="L113" s="817"/>
      <c r="M113" s="817"/>
      <c r="N113" s="817"/>
      <c r="O113" s="817"/>
      <c r="P113" s="817"/>
      <c r="Q113" s="817"/>
      <c r="R113" s="817"/>
      <c r="S113" s="817"/>
      <c r="T113" s="817"/>
      <c r="U113" s="817"/>
      <c r="V113" s="817"/>
      <c r="W113" s="817"/>
      <c r="X113" s="818"/>
      <c r="Y113" s="2"/>
    </row>
    <row r="114" spans="1:25" ht="30.75" customHeight="1">
      <c r="A114" s="787">
        <v>1</v>
      </c>
      <c r="B114" s="787" t="s">
        <v>45</v>
      </c>
      <c r="C114" s="787" t="s">
        <v>410</v>
      </c>
      <c r="D114" s="787" t="s">
        <v>25</v>
      </c>
      <c r="E114" s="787" t="s">
        <v>61</v>
      </c>
      <c r="F114" s="787" t="s">
        <v>411</v>
      </c>
      <c r="G114" s="787" t="s">
        <v>63</v>
      </c>
      <c r="H114" s="790" t="s">
        <v>412</v>
      </c>
      <c r="I114" s="790" t="s">
        <v>413</v>
      </c>
      <c r="J114" s="787" t="s">
        <v>66</v>
      </c>
      <c r="K114" s="787" t="s">
        <v>304</v>
      </c>
      <c r="L114" s="796" t="s">
        <v>297</v>
      </c>
      <c r="M114" s="878">
        <v>44563</v>
      </c>
      <c r="N114" s="796">
        <v>44594</v>
      </c>
      <c r="O114" s="796">
        <v>44594</v>
      </c>
      <c r="P114" s="796">
        <v>44622</v>
      </c>
      <c r="Q114" s="787" t="s">
        <v>55</v>
      </c>
      <c r="R114" s="787" t="s">
        <v>311</v>
      </c>
      <c r="S114" s="787">
        <v>10180</v>
      </c>
      <c r="T114" s="796">
        <v>44672</v>
      </c>
      <c r="U114" s="815">
        <v>481000</v>
      </c>
      <c r="V114" s="14">
        <v>50000</v>
      </c>
      <c r="W114" s="14" t="s">
        <v>290</v>
      </c>
      <c r="X114" s="12">
        <v>44673</v>
      </c>
      <c r="Y114" s="37"/>
    </row>
    <row r="115" spans="1:25" ht="30.75" customHeight="1">
      <c r="A115" s="789"/>
      <c r="B115" s="789"/>
      <c r="C115" s="789"/>
      <c r="D115" s="789"/>
      <c r="E115" s="789"/>
      <c r="F115" s="789"/>
      <c r="G115" s="789"/>
      <c r="H115" s="789"/>
      <c r="I115" s="789"/>
      <c r="J115" s="789"/>
      <c r="K115" s="789"/>
      <c r="L115" s="789"/>
      <c r="M115" s="789"/>
      <c r="N115" s="789"/>
      <c r="O115" s="789"/>
      <c r="P115" s="789"/>
      <c r="Q115" s="789"/>
      <c r="R115" s="789"/>
      <c r="S115" s="789"/>
      <c r="T115" s="789"/>
      <c r="U115" s="816"/>
      <c r="V115" s="14">
        <v>100000</v>
      </c>
      <c r="W115" s="14" t="s">
        <v>59</v>
      </c>
      <c r="X115" s="12">
        <v>44673</v>
      </c>
      <c r="Y115" s="37"/>
    </row>
    <row r="116" spans="1:25" ht="15.75" customHeight="1">
      <c r="A116" s="15">
        <v>2</v>
      </c>
      <c r="B116" s="9" t="s">
        <v>328</v>
      </c>
      <c r="C116" s="15" t="s">
        <v>414</v>
      </c>
      <c r="D116" s="15" t="s">
        <v>25</v>
      </c>
      <c r="E116" s="15" t="s">
        <v>415</v>
      </c>
      <c r="F116" s="15" t="s">
        <v>416</v>
      </c>
      <c r="G116" s="15" t="s">
        <v>30</v>
      </c>
      <c r="H116" s="38" t="s">
        <v>417</v>
      </c>
      <c r="I116" s="38" t="s">
        <v>418</v>
      </c>
      <c r="J116" s="15" t="s">
        <v>52</v>
      </c>
      <c r="K116" s="15" t="s">
        <v>419</v>
      </c>
      <c r="L116" s="15" t="s">
        <v>334</v>
      </c>
      <c r="M116" s="39">
        <v>44594</v>
      </c>
      <c r="N116" s="40">
        <v>44775</v>
      </c>
      <c r="O116" s="40">
        <v>44775</v>
      </c>
      <c r="P116" s="40">
        <v>44775</v>
      </c>
      <c r="Q116" s="15" t="s">
        <v>151</v>
      </c>
      <c r="R116" s="15" t="s">
        <v>420</v>
      </c>
      <c r="S116" s="15">
        <v>101685</v>
      </c>
      <c r="T116" s="40">
        <v>44673</v>
      </c>
      <c r="U116" s="20">
        <v>1325000</v>
      </c>
      <c r="V116" s="14">
        <v>500000</v>
      </c>
      <c r="W116" s="14" t="s">
        <v>59</v>
      </c>
      <c r="X116" s="12">
        <v>44680</v>
      </c>
      <c r="Y116" s="37"/>
    </row>
    <row r="117" spans="1:25" ht="30.75" customHeight="1">
      <c r="A117" s="787">
        <v>3</v>
      </c>
      <c r="B117" s="787" t="s">
        <v>45</v>
      </c>
      <c r="C117" s="787" t="s">
        <v>421</v>
      </c>
      <c r="D117" s="787" t="s">
        <v>25</v>
      </c>
      <c r="E117" s="787" t="s">
        <v>69</v>
      </c>
      <c r="F117" s="787" t="s">
        <v>422</v>
      </c>
      <c r="G117" s="787" t="s">
        <v>71</v>
      </c>
      <c r="H117" s="790" t="s">
        <v>423</v>
      </c>
      <c r="I117" s="790" t="s">
        <v>424</v>
      </c>
      <c r="J117" s="787" t="s">
        <v>200</v>
      </c>
      <c r="K117" s="787" t="s">
        <v>201</v>
      </c>
      <c r="L117" s="796" t="s">
        <v>335</v>
      </c>
      <c r="M117" s="878">
        <v>44683</v>
      </c>
      <c r="N117" s="796">
        <v>44775</v>
      </c>
      <c r="O117" s="796">
        <v>44806</v>
      </c>
      <c r="P117" s="796">
        <v>44806</v>
      </c>
      <c r="Q117" s="787" t="s">
        <v>78</v>
      </c>
      <c r="R117" s="787" t="s">
        <v>311</v>
      </c>
      <c r="S117" s="787">
        <v>20025</v>
      </c>
      <c r="T117" s="787" t="s">
        <v>40</v>
      </c>
      <c r="U117" s="815">
        <v>381000</v>
      </c>
      <c r="V117" s="14">
        <v>50000</v>
      </c>
      <c r="W117" s="14" t="s">
        <v>290</v>
      </c>
      <c r="X117" s="12">
        <v>44652</v>
      </c>
      <c r="Y117" s="37"/>
    </row>
    <row r="118" spans="1:25" ht="30.75" customHeight="1">
      <c r="A118" s="789"/>
      <c r="B118" s="789"/>
      <c r="C118" s="789"/>
      <c r="D118" s="789"/>
      <c r="E118" s="789"/>
      <c r="F118" s="789"/>
      <c r="G118" s="789"/>
      <c r="H118" s="789"/>
      <c r="I118" s="789"/>
      <c r="J118" s="789"/>
      <c r="K118" s="789"/>
      <c r="L118" s="789"/>
      <c r="M118" s="789"/>
      <c r="N118" s="789"/>
      <c r="O118" s="789"/>
      <c r="P118" s="789"/>
      <c r="Q118" s="789"/>
      <c r="R118" s="789"/>
      <c r="S118" s="789"/>
      <c r="T118" s="789"/>
      <c r="U118" s="815"/>
      <c r="V118" s="14">
        <v>50000</v>
      </c>
      <c r="W118" s="14" t="s">
        <v>59</v>
      </c>
      <c r="X118" s="12">
        <v>44652</v>
      </c>
      <c r="Y118" s="37"/>
    </row>
    <row r="119" spans="1:25" ht="23.25" customHeight="1">
      <c r="A119" s="787">
        <v>4</v>
      </c>
      <c r="B119" s="787" t="s">
        <v>45</v>
      </c>
      <c r="C119" s="787" t="s">
        <v>425</v>
      </c>
      <c r="D119" s="787" t="s">
        <v>25</v>
      </c>
      <c r="E119" s="787" t="s">
        <v>313</v>
      </c>
      <c r="F119" s="787" t="s">
        <v>426</v>
      </c>
      <c r="G119" s="787" t="s">
        <v>71</v>
      </c>
      <c r="H119" s="790" t="s">
        <v>427</v>
      </c>
      <c r="I119" s="790" t="s">
        <v>428</v>
      </c>
      <c r="J119" s="787" t="s">
        <v>429</v>
      </c>
      <c r="K119" s="787" t="s">
        <v>99</v>
      </c>
      <c r="L119" s="796" t="s">
        <v>359</v>
      </c>
      <c r="M119" s="878">
        <v>44683</v>
      </c>
      <c r="N119" s="796" t="s">
        <v>430</v>
      </c>
      <c r="O119" s="796" t="s">
        <v>431</v>
      </c>
      <c r="P119" s="796" t="s">
        <v>432</v>
      </c>
      <c r="Q119" s="787" t="s">
        <v>55</v>
      </c>
      <c r="R119" s="787" t="s">
        <v>311</v>
      </c>
      <c r="S119" s="787">
        <v>20038</v>
      </c>
      <c r="T119" s="787"/>
      <c r="U119" s="815">
        <v>404000</v>
      </c>
      <c r="V119" s="14">
        <v>50000</v>
      </c>
      <c r="W119" s="14" t="s">
        <v>290</v>
      </c>
      <c r="X119" s="12">
        <v>44652</v>
      </c>
      <c r="Y119" s="2"/>
    </row>
    <row r="120" spans="1:25" ht="23.25" customHeight="1">
      <c r="A120" s="789"/>
      <c r="B120" s="960"/>
      <c r="C120" s="789"/>
      <c r="D120" s="789"/>
      <c r="E120" s="789"/>
      <c r="F120" s="789"/>
      <c r="G120" s="789"/>
      <c r="H120" s="789"/>
      <c r="I120" s="789"/>
      <c r="J120" s="789"/>
      <c r="K120" s="789"/>
      <c r="L120" s="789"/>
      <c r="M120" s="789"/>
      <c r="N120" s="789"/>
      <c r="O120" s="789"/>
      <c r="P120" s="789"/>
      <c r="Q120" s="789"/>
      <c r="R120" s="789"/>
      <c r="S120" s="789"/>
      <c r="T120" s="789"/>
      <c r="U120" s="815"/>
      <c r="V120" s="14">
        <v>400000</v>
      </c>
      <c r="W120" s="14" t="s">
        <v>59</v>
      </c>
      <c r="X120" s="12">
        <v>44652</v>
      </c>
      <c r="Y120" s="2"/>
    </row>
    <row r="121" spans="1:25" ht="15.75" customHeight="1">
      <c r="A121" s="787">
        <v>5</v>
      </c>
      <c r="B121" s="787" t="s">
        <v>45</v>
      </c>
      <c r="C121" s="787" t="s">
        <v>433</v>
      </c>
      <c r="D121" s="787" t="s">
        <v>25</v>
      </c>
      <c r="E121" s="787" t="s">
        <v>434</v>
      </c>
      <c r="F121" s="787" t="s">
        <v>435</v>
      </c>
      <c r="G121" s="787" t="s">
        <v>71</v>
      </c>
      <c r="H121" s="790" t="s">
        <v>436</v>
      </c>
      <c r="I121" s="790" t="s">
        <v>437</v>
      </c>
      <c r="J121" s="787" t="s">
        <v>246</v>
      </c>
      <c r="K121" s="787" t="s">
        <v>304</v>
      </c>
      <c r="L121" s="796" t="s">
        <v>289</v>
      </c>
      <c r="M121" s="878">
        <v>44683</v>
      </c>
      <c r="N121" s="796">
        <v>44867</v>
      </c>
      <c r="O121" s="796" t="s">
        <v>431</v>
      </c>
      <c r="P121" s="796" t="s">
        <v>432</v>
      </c>
      <c r="Q121" s="787" t="s">
        <v>102</v>
      </c>
      <c r="R121" s="787" t="s">
        <v>311</v>
      </c>
      <c r="S121" s="787">
        <v>20043</v>
      </c>
      <c r="T121" s="796">
        <v>44649</v>
      </c>
      <c r="U121" s="815">
        <v>337000</v>
      </c>
      <c r="V121" s="14">
        <v>50000</v>
      </c>
      <c r="W121" s="14" t="s">
        <v>290</v>
      </c>
      <c r="X121" s="12">
        <v>44659</v>
      </c>
      <c r="Y121" s="2"/>
    </row>
    <row r="122" spans="1:25" ht="15.75" customHeight="1">
      <c r="A122" s="789"/>
      <c r="B122" s="960"/>
      <c r="C122" s="789"/>
      <c r="D122" s="789"/>
      <c r="E122" s="789"/>
      <c r="F122" s="789"/>
      <c r="G122" s="789"/>
      <c r="H122" s="789"/>
      <c r="I122" s="789"/>
      <c r="J122" s="789"/>
      <c r="K122" s="789"/>
      <c r="L122" s="789"/>
      <c r="M122" s="789"/>
      <c r="N122" s="789"/>
      <c r="O122" s="789"/>
      <c r="P122" s="789"/>
      <c r="Q122" s="789"/>
      <c r="R122" s="789"/>
      <c r="S122" s="789"/>
      <c r="T122" s="789"/>
      <c r="U122" s="815"/>
      <c r="V122" s="14">
        <v>50000</v>
      </c>
      <c r="W122" s="14" t="s">
        <v>59</v>
      </c>
      <c r="X122" s="12">
        <v>44659</v>
      </c>
      <c r="Y122" s="2"/>
    </row>
    <row r="123" spans="1:25" ht="15.75" customHeight="1">
      <c r="A123" s="9">
        <v>6</v>
      </c>
      <c r="B123" s="9" t="s">
        <v>328</v>
      </c>
      <c r="C123" s="9" t="s">
        <v>438</v>
      </c>
      <c r="D123" s="9" t="s">
        <v>25</v>
      </c>
      <c r="E123" s="9" t="s">
        <v>439</v>
      </c>
      <c r="F123" s="9" t="s">
        <v>440</v>
      </c>
      <c r="G123" s="9" t="s">
        <v>30</v>
      </c>
      <c r="H123" s="10" t="s">
        <v>441</v>
      </c>
      <c r="I123" s="10" t="s">
        <v>442</v>
      </c>
      <c r="J123" s="9" t="s">
        <v>52</v>
      </c>
      <c r="K123" s="9" t="s">
        <v>143</v>
      </c>
      <c r="L123" s="9" t="s">
        <v>443</v>
      </c>
      <c r="M123" s="11">
        <v>44683</v>
      </c>
      <c r="N123" s="12" t="s">
        <v>444</v>
      </c>
      <c r="O123" s="12" t="s">
        <v>432</v>
      </c>
      <c r="P123" s="12" t="s">
        <v>432</v>
      </c>
      <c r="Q123" s="9" t="s">
        <v>151</v>
      </c>
      <c r="R123" s="15" t="s">
        <v>420</v>
      </c>
      <c r="S123" s="9">
        <v>101686</v>
      </c>
      <c r="T123" s="9" t="s">
        <v>40</v>
      </c>
      <c r="U123" s="14">
        <v>10380000</v>
      </c>
      <c r="V123" s="14">
        <v>7500000</v>
      </c>
      <c r="W123" s="14" t="s">
        <v>59</v>
      </c>
      <c r="X123" s="12">
        <v>44680</v>
      </c>
      <c r="Y123" s="37"/>
    </row>
    <row r="124" spans="1:25" ht="15.75" customHeight="1">
      <c r="A124" s="9">
        <v>7</v>
      </c>
      <c r="B124" s="9" t="s">
        <v>328</v>
      </c>
      <c r="C124" s="9" t="s">
        <v>445</v>
      </c>
      <c r="D124" s="9" t="s">
        <v>25</v>
      </c>
      <c r="E124" s="9" t="s">
        <v>439</v>
      </c>
      <c r="F124" s="9" t="s">
        <v>446</v>
      </c>
      <c r="G124" s="9" t="s">
        <v>30</v>
      </c>
      <c r="H124" s="10" t="s">
        <v>447</v>
      </c>
      <c r="I124" s="10" t="s">
        <v>448</v>
      </c>
      <c r="J124" s="9" t="s">
        <v>52</v>
      </c>
      <c r="K124" s="9" t="s">
        <v>143</v>
      </c>
      <c r="L124" s="9" t="s">
        <v>443</v>
      </c>
      <c r="M124" s="11">
        <v>44683</v>
      </c>
      <c r="N124" s="12" t="s">
        <v>444</v>
      </c>
      <c r="O124" s="12" t="s">
        <v>432</v>
      </c>
      <c r="P124" s="12" t="s">
        <v>432</v>
      </c>
      <c r="Q124" s="9" t="s">
        <v>151</v>
      </c>
      <c r="R124" s="15" t="s">
        <v>420</v>
      </c>
      <c r="S124" s="9">
        <v>101687</v>
      </c>
      <c r="T124" s="9" t="s">
        <v>40</v>
      </c>
      <c r="U124" s="14">
        <v>15130000</v>
      </c>
      <c r="V124" s="14">
        <v>7500000</v>
      </c>
      <c r="W124" s="14" t="s">
        <v>59</v>
      </c>
      <c r="X124" s="12">
        <v>44680</v>
      </c>
      <c r="Y124" s="37"/>
    </row>
    <row r="125" spans="1:25" ht="15.75" customHeight="1">
      <c r="A125" s="787">
        <v>8</v>
      </c>
      <c r="B125" s="787" t="s">
        <v>45</v>
      </c>
      <c r="C125" s="787" t="s">
        <v>449</v>
      </c>
      <c r="D125" s="787" t="s">
        <v>25</v>
      </c>
      <c r="E125" s="787" t="s">
        <v>450</v>
      </c>
      <c r="F125" s="787" t="s">
        <v>451</v>
      </c>
      <c r="G125" s="787" t="s">
        <v>71</v>
      </c>
      <c r="H125" s="790" t="s">
        <v>452</v>
      </c>
      <c r="I125" s="790" t="s">
        <v>453</v>
      </c>
      <c r="J125" s="787" t="s">
        <v>172</v>
      </c>
      <c r="K125" s="787" t="s">
        <v>304</v>
      </c>
      <c r="L125" s="796" t="s">
        <v>297</v>
      </c>
      <c r="M125" s="878" t="s">
        <v>432</v>
      </c>
      <c r="N125" s="796" t="s">
        <v>432</v>
      </c>
      <c r="O125" s="796" t="s">
        <v>454</v>
      </c>
      <c r="P125" s="796" t="s">
        <v>454</v>
      </c>
      <c r="Q125" s="787" t="s">
        <v>78</v>
      </c>
      <c r="R125" s="787" t="s">
        <v>311</v>
      </c>
      <c r="S125" s="787">
        <v>20059</v>
      </c>
      <c r="T125" s="796">
        <v>44650</v>
      </c>
      <c r="U125" s="815">
        <v>4026000</v>
      </c>
      <c r="V125" s="14">
        <v>1120000</v>
      </c>
      <c r="W125" s="14" t="s">
        <v>290</v>
      </c>
      <c r="X125" s="12">
        <v>44659</v>
      </c>
      <c r="Y125" s="2"/>
    </row>
    <row r="126" spans="1:25" ht="15.75" customHeight="1">
      <c r="A126" s="789"/>
      <c r="B126" s="789"/>
      <c r="C126" s="789"/>
      <c r="D126" s="789"/>
      <c r="E126" s="789"/>
      <c r="F126" s="789"/>
      <c r="G126" s="789"/>
      <c r="H126" s="789"/>
      <c r="I126" s="789"/>
      <c r="J126" s="789"/>
      <c r="K126" s="789"/>
      <c r="L126" s="789"/>
      <c r="M126" s="789"/>
      <c r="N126" s="789"/>
      <c r="O126" s="789"/>
      <c r="P126" s="789"/>
      <c r="Q126" s="789"/>
      <c r="R126" s="789"/>
      <c r="S126" s="789"/>
      <c r="T126" s="789"/>
      <c r="U126" s="816"/>
      <c r="V126" s="14">
        <v>2000000</v>
      </c>
      <c r="W126" s="14" t="s">
        <v>59</v>
      </c>
      <c r="X126" s="12">
        <v>44659</v>
      </c>
      <c r="Y126" s="2"/>
    </row>
    <row r="127" spans="1:25" ht="22.5" customHeight="1">
      <c r="A127" s="787">
        <v>9</v>
      </c>
      <c r="B127" s="787" t="s">
        <v>104</v>
      </c>
      <c r="C127" s="787" t="s">
        <v>455</v>
      </c>
      <c r="D127" s="787" t="s">
        <v>25</v>
      </c>
      <c r="E127" s="787" t="s">
        <v>190</v>
      </c>
      <c r="F127" s="787" t="s">
        <v>456</v>
      </c>
      <c r="G127" s="787" t="s">
        <v>71</v>
      </c>
      <c r="H127" s="790" t="s">
        <v>457</v>
      </c>
      <c r="I127" s="790" t="s">
        <v>458</v>
      </c>
      <c r="J127" s="787" t="s">
        <v>296</v>
      </c>
      <c r="K127" s="787" t="s">
        <v>194</v>
      </c>
      <c r="L127" s="796" t="s">
        <v>343</v>
      </c>
      <c r="M127" s="878" t="s">
        <v>432</v>
      </c>
      <c r="N127" s="796" t="s">
        <v>432</v>
      </c>
      <c r="O127" s="796" t="s">
        <v>432</v>
      </c>
      <c r="P127" s="796" t="s">
        <v>432</v>
      </c>
      <c r="Q127" s="787" t="s">
        <v>78</v>
      </c>
      <c r="R127" s="787" t="s">
        <v>311</v>
      </c>
      <c r="S127" s="787">
        <v>20063</v>
      </c>
      <c r="T127" s="796">
        <v>44662</v>
      </c>
      <c r="U127" s="815">
        <v>804000</v>
      </c>
      <c r="V127" s="14">
        <v>50000</v>
      </c>
      <c r="W127" s="14" t="s">
        <v>290</v>
      </c>
      <c r="X127" s="12">
        <v>44665</v>
      </c>
      <c r="Y127" s="37"/>
    </row>
    <row r="128" spans="1:25" ht="22.5" customHeight="1">
      <c r="A128" s="789"/>
      <c r="B128" s="789"/>
      <c r="C128" s="789"/>
      <c r="D128" s="789"/>
      <c r="E128" s="789"/>
      <c r="F128" s="789"/>
      <c r="G128" s="789"/>
      <c r="H128" s="789"/>
      <c r="I128" s="789"/>
      <c r="J128" s="789"/>
      <c r="K128" s="789"/>
      <c r="L128" s="789"/>
      <c r="M128" s="789"/>
      <c r="N128" s="789"/>
      <c r="O128" s="789"/>
      <c r="P128" s="789"/>
      <c r="Q128" s="789"/>
      <c r="R128" s="789"/>
      <c r="S128" s="789"/>
      <c r="T128" s="789"/>
      <c r="U128" s="815"/>
      <c r="V128" s="14">
        <v>400000</v>
      </c>
      <c r="W128" s="14" t="s">
        <v>59</v>
      </c>
      <c r="X128" s="12">
        <v>44665</v>
      </c>
      <c r="Y128" s="37"/>
    </row>
    <row r="129" spans="1:25" ht="28.5" customHeight="1">
      <c r="A129" s="787">
        <v>10</v>
      </c>
      <c r="B129" s="787" t="s">
        <v>104</v>
      </c>
      <c r="C129" s="787" t="s">
        <v>459</v>
      </c>
      <c r="D129" s="787" t="s">
        <v>25</v>
      </c>
      <c r="E129" s="787" t="s">
        <v>190</v>
      </c>
      <c r="F129" s="787" t="s">
        <v>460</v>
      </c>
      <c r="G129" s="787" t="s">
        <v>71</v>
      </c>
      <c r="H129" s="790" t="s">
        <v>461</v>
      </c>
      <c r="I129" s="790" t="s">
        <v>462</v>
      </c>
      <c r="J129" s="787" t="s">
        <v>296</v>
      </c>
      <c r="K129" s="787" t="s">
        <v>194</v>
      </c>
      <c r="L129" s="796" t="s">
        <v>343</v>
      </c>
      <c r="M129" s="878" t="s">
        <v>432</v>
      </c>
      <c r="N129" s="796" t="s">
        <v>432</v>
      </c>
      <c r="O129" s="796" t="s">
        <v>454</v>
      </c>
      <c r="P129" s="796" t="s">
        <v>454</v>
      </c>
      <c r="Q129" s="787" t="s">
        <v>102</v>
      </c>
      <c r="R129" s="787" t="s">
        <v>311</v>
      </c>
      <c r="S129" s="787" t="s">
        <v>463</v>
      </c>
      <c r="T129" s="787" t="s">
        <v>464</v>
      </c>
      <c r="U129" s="815">
        <v>379000</v>
      </c>
      <c r="V129" s="14">
        <v>50000</v>
      </c>
      <c r="W129" s="14" t="s">
        <v>290</v>
      </c>
      <c r="X129" s="9" t="s">
        <v>465</v>
      </c>
      <c r="Y129" s="37"/>
    </row>
    <row r="130" spans="1:25" ht="15.75" customHeight="1">
      <c r="A130" s="789"/>
      <c r="B130" s="789"/>
      <c r="C130" s="789"/>
      <c r="D130" s="789"/>
      <c r="E130" s="789"/>
      <c r="F130" s="789"/>
      <c r="G130" s="789"/>
      <c r="H130" s="789"/>
      <c r="I130" s="789"/>
      <c r="J130" s="789"/>
      <c r="K130" s="789"/>
      <c r="L130" s="789"/>
      <c r="M130" s="789"/>
      <c r="N130" s="789"/>
      <c r="O130" s="789"/>
      <c r="P130" s="789"/>
      <c r="Q130" s="789"/>
      <c r="R130" s="789"/>
      <c r="S130" s="789"/>
      <c r="T130" s="789"/>
      <c r="U130" s="816"/>
      <c r="V130" s="14">
        <v>0</v>
      </c>
      <c r="W130" s="14" t="s">
        <v>59</v>
      </c>
      <c r="X130" s="9" t="s">
        <v>465</v>
      </c>
      <c r="Y130" s="37"/>
    </row>
    <row r="131" spans="1:25" ht="27" customHeight="1">
      <c r="A131" s="787">
        <v>11</v>
      </c>
      <c r="B131" s="787" t="s">
        <v>104</v>
      </c>
      <c r="C131" s="787" t="s">
        <v>466</v>
      </c>
      <c r="D131" s="787" t="s">
        <v>25</v>
      </c>
      <c r="E131" s="787" t="s">
        <v>190</v>
      </c>
      <c r="F131" s="787" t="s">
        <v>467</v>
      </c>
      <c r="G131" s="787" t="s">
        <v>71</v>
      </c>
      <c r="H131" s="790" t="s">
        <v>468</v>
      </c>
      <c r="I131" s="790" t="s">
        <v>469</v>
      </c>
      <c r="J131" s="787" t="s">
        <v>296</v>
      </c>
      <c r="K131" s="787" t="s">
        <v>194</v>
      </c>
      <c r="L131" s="796" t="s">
        <v>343</v>
      </c>
      <c r="M131" s="878" t="s">
        <v>432</v>
      </c>
      <c r="N131" s="796" t="s">
        <v>432</v>
      </c>
      <c r="O131" s="796" t="s">
        <v>454</v>
      </c>
      <c r="P131" s="796" t="s">
        <v>454</v>
      </c>
      <c r="Q131" s="787" t="s">
        <v>102</v>
      </c>
      <c r="R131" s="787" t="s">
        <v>311</v>
      </c>
      <c r="S131" s="787">
        <v>20065</v>
      </c>
      <c r="T131" s="796">
        <v>44662</v>
      </c>
      <c r="U131" s="815">
        <v>331000</v>
      </c>
      <c r="V131" s="14">
        <v>50000</v>
      </c>
      <c r="W131" s="14" t="s">
        <v>290</v>
      </c>
      <c r="X131" s="12">
        <v>44665</v>
      </c>
      <c r="Y131" s="37"/>
    </row>
    <row r="132" spans="1:25" ht="15.75" customHeight="1">
      <c r="A132" s="789"/>
      <c r="B132" s="789"/>
      <c r="C132" s="789"/>
      <c r="D132" s="789"/>
      <c r="E132" s="789"/>
      <c r="F132" s="789"/>
      <c r="G132" s="789"/>
      <c r="H132" s="789"/>
      <c r="I132" s="789"/>
      <c r="J132" s="789"/>
      <c r="K132" s="789"/>
      <c r="L132" s="789"/>
      <c r="M132" s="789"/>
      <c r="N132" s="789"/>
      <c r="O132" s="789"/>
      <c r="P132" s="789"/>
      <c r="Q132" s="789"/>
      <c r="R132" s="789"/>
      <c r="S132" s="789"/>
      <c r="T132" s="789"/>
      <c r="U132" s="815"/>
      <c r="V132" s="14">
        <v>50000</v>
      </c>
      <c r="W132" s="14" t="s">
        <v>59</v>
      </c>
      <c r="X132" s="12">
        <v>44665</v>
      </c>
      <c r="Y132" s="37"/>
    </row>
    <row r="133" spans="1:25" ht="15.75" customHeight="1">
      <c r="A133" s="787">
        <v>12</v>
      </c>
      <c r="B133" s="787" t="s">
        <v>45</v>
      </c>
      <c r="C133" s="787" t="s">
        <v>470</v>
      </c>
      <c r="D133" s="787" t="s">
        <v>25</v>
      </c>
      <c r="E133" s="787" t="s">
        <v>182</v>
      </c>
      <c r="F133" s="787" t="s">
        <v>471</v>
      </c>
      <c r="G133" s="787" t="s">
        <v>63</v>
      </c>
      <c r="H133" s="790" t="s">
        <v>472</v>
      </c>
      <c r="I133" s="790" t="s">
        <v>453</v>
      </c>
      <c r="J133" s="787" t="s">
        <v>186</v>
      </c>
      <c r="K133" s="787" t="s">
        <v>99</v>
      </c>
      <c r="L133" s="796">
        <v>44744</v>
      </c>
      <c r="M133" s="878" t="s">
        <v>473</v>
      </c>
      <c r="N133" s="796" t="s">
        <v>473</v>
      </c>
      <c r="O133" s="796" t="s">
        <v>473</v>
      </c>
      <c r="P133" s="796" t="s">
        <v>474</v>
      </c>
      <c r="Q133" s="787" t="s">
        <v>78</v>
      </c>
      <c r="R133" s="787" t="s">
        <v>311</v>
      </c>
      <c r="S133" s="787">
        <v>20068</v>
      </c>
      <c r="T133" s="787" t="s">
        <v>40</v>
      </c>
      <c r="U133" s="815">
        <v>679000</v>
      </c>
      <c r="V133" s="14">
        <v>50000</v>
      </c>
      <c r="W133" s="14" t="s">
        <v>290</v>
      </c>
      <c r="X133" s="12">
        <v>44652</v>
      </c>
      <c r="Y133" s="37"/>
    </row>
    <row r="134" spans="1:25" ht="15.75" customHeight="1">
      <c r="A134" s="789"/>
      <c r="B134" s="789"/>
      <c r="C134" s="789"/>
      <c r="D134" s="789"/>
      <c r="E134" s="789"/>
      <c r="F134" s="789"/>
      <c r="G134" s="789"/>
      <c r="H134" s="789"/>
      <c r="I134" s="789"/>
      <c r="J134" s="789"/>
      <c r="K134" s="789"/>
      <c r="L134" s="789"/>
      <c r="M134" s="789"/>
      <c r="N134" s="789"/>
      <c r="O134" s="789"/>
      <c r="P134" s="789"/>
      <c r="Q134" s="789"/>
      <c r="R134" s="789"/>
      <c r="S134" s="789"/>
      <c r="T134" s="789"/>
      <c r="U134" s="815"/>
      <c r="V134" s="14">
        <v>100000</v>
      </c>
      <c r="W134" s="14" t="s">
        <v>59</v>
      </c>
      <c r="X134" s="12">
        <v>44652</v>
      </c>
      <c r="Y134" s="37"/>
    </row>
    <row r="135" spans="1:25" ht="15" customHeight="1">
      <c r="A135" s="787">
        <v>13</v>
      </c>
      <c r="B135" s="787" t="s">
        <v>104</v>
      </c>
      <c r="C135" s="787" t="s">
        <v>475</v>
      </c>
      <c r="D135" s="787" t="s">
        <v>25</v>
      </c>
      <c r="E135" s="787" t="s">
        <v>190</v>
      </c>
      <c r="F135" s="787" t="s">
        <v>476</v>
      </c>
      <c r="G135" s="787" t="s">
        <v>71</v>
      </c>
      <c r="H135" s="790" t="s">
        <v>477</v>
      </c>
      <c r="I135" s="790" t="s">
        <v>478</v>
      </c>
      <c r="J135" s="787" t="s">
        <v>186</v>
      </c>
      <c r="K135" s="787" t="s">
        <v>194</v>
      </c>
      <c r="L135" s="796" t="s">
        <v>335</v>
      </c>
      <c r="M135" s="878" t="s">
        <v>474</v>
      </c>
      <c r="N135" s="796" t="s">
        <v>479</v>
      </c>
      <c r="O135" s="796" t="s">
        <v>480</v>
      </c>
      <c r="P135" s="796" t="s">
        <v>481</v>
      </c>
      <c r="Q135" s="787" t="s">
        <v>102</v>
      </c>
      <c r="R135" s="787" t="s">
        <v>311</v>
      </c>
      <c r="S135" s="787">
        <v>20086</v>
      </c>
      <c r="T135" s="796">
        <v>44662</v>
      </c>
      <c r="U135" s="815">
        <v>331000</v>
      </c>
      <c r="V135" s="14">
        <v>50000</v>
      </c>
      <c r="W135" s="14" t="s">
        <v>290</v>
      </c>
      <c r="X135" s="12">
        <v>44665</v>
      </c>
      <c r="Y135" s="37"/>
    </row>
    <row r="136" spans="1:25" ht="15.75" customHeight="1">
      <c r="A136" s="789"/>
      <c r="B136" s="789"/>
      <c r="C136" s="789"/>
      <c r="D136" s="789"/>
      <c r="E136" s="789"/>
      <c r="F136" s="789"/>
      <c r="G136" s="789"/>
      <c r="H136" s="789"/>
      <c r="I136" s="789"/>
      <c r="J136" s="789"/>
      <c r="K136" s="789"/>
      <c r="L136" s="789"/>
      <c r="M136" s="789"/>
      <c r="N136" s="789"/>
      <c r="O136" s="789"/>
      <c r="P136" s="789"/>
      <c r="Q136" s="789"/>
      <c r="R136" s="789"/>
      <c r="S136" s="789"/>
      <c r="T136" s="789"/>
      <c r="U136" s="815"/>
      <c r="V136" s="14">
        <v>50000</v>
      </c>
      <c r="W136" s="14" t="s">
        <v>59</v>
      </c>
      <c r="X136" s="12">
        <v>44665</v>
      </c>
      <c r="Y136" s="37"/>
    </row>
    <row r="137" spans="1:25" ht="30.75" customHeight="1">
      <c r="A137" s="787">
        <v>14</v>
      </c>
      <c r="B137" s="787" t="s">
        <v>45</v>
      </c>
      <c r="C137" s="787" t="s">
        <v>482</v>
      </c>
      <c r="D137" s="787" t="s">
        <v>25</v>
      </c>
      <c r="E137" s="787" t="s">
        <v>69</v>
      </c>
      <c r="F137" s="787" t="s">
        <v>483</v>
      </c>
      <c r="G137" s="787" t="s">
        <v>71</v>
      </c>
      <c r="H137" s="790" t="s">
        <v>484</v>
      </c>
      <c r="I137" s="790" t="s">
        <v>485</v>
      </c>
      <c r="J137" s="787" t="s">
        <v>222</v>
      </c>
      <c r="K137" s="787" t="s">
        <v>99</v>
      </c>
      <c r="L137" s="796" t="s">
        <v>432</v>
      </c>
      <c r="M137" s="878" t="s">
        <v>486</v>
      </c>
      <c r="N137" s="796" t="s">
        <v>481</v>
      </c>
      <c r="O137" s="796" t="s">
        <v>487</v>
      </c>
      <c r="P137" s="796" t="s">
        <v>420</v>
      </c>
      <c r="Q137" s="787" t="s">
        <v>102</v>
      </c>
      <c r="R137" s="796">
        <v>44613</v>
      </c>
      <c r="S137" s="787" t="s">
        <v>488</v>
      </c>
      <c r="T137" s="796">
        <v>44672</v>
      </c>
      <c r="U137" s="815">
        <v>331000</v>
      </c>
      <c r="V137" s="14">
        <v>50000</v>
      </c>
      <c r="W137" s="14" t="s">
        <v>290</v>
      </c>
      <c r="X137" s="12">
        <v>44673</v>
      </c>
      <c r="Y137" s="37"/>
    </row>
    <row r="138" spans="1:25" ht="26.25" customHeight="1">
      <c r="A138" s="789"/>
      <c r="B138" s="789"/>
      <c r="C138" s="789"/>
      <c r="D138" s="789"/>
      <c r="E138" s="789"/>
      <c r="F138" s="789"/>
      <c r="G138" s="789"/>
      <c r="H138" s="789"/>
      <c r="I138" s="789"/>
      <c r="J138" s="789"/>
      <c r="K138" s="789"/>
      <c r="L138" s="789"/>
      <c r="M138" s="789"/>
      <c r="N138" s="789"/>
      <c r="O138" s="789"/>
      <c r="P138" s="789"/>
      <c r="Q138" s="789"/>
      <c r="R138" s="789"/>
      <c r="S138" s="789"/>
      <c r="T138" s="789"/>
      <c r="U138" s="815"/>
      <c r="V138" s="14">
        <v>50000</v>
      </c>
      <c r="W138" s="14" t="s">
        <v>59</v>
      </c>
      <c r="X138" s="12">
        <v>44673</v>
      </c>
      <c r="Y138" s="37"/>
    </row>
    <row r="139" spans="1:25" ht="26.25" customHeight="1">
      <c r="A139" s="787">
        <v>15</v>
      </c>
      <c r="B139" s="787" t="s">
        <v>104</v>
      </c>
      <c r="C139" s="787" t="s">
        <v>489</v>
      </c>
      <c r="D139" s="787" t="s">
        <v>25</v>
      </c>
      <c r="E139" s="787" t="s">
        <v>106</v>
      </c>
      <c r="F139" s="787" t="s">
        <v>490</v>
      </c>
      <c r="G139" s="787" t="s">
        <v>63</v>
      </c>
      <c r="H139" s="790" t="s">
        <v>491</v>
      </c>
      <c r="I139" s="790" t="s">
        <v>492</v>
      </c>
      <c r="J139" s="787" t="s">
        <v>110</v>
      </c>
      <c r="K139" s="787" t="s">
        <v>304</v>
      </c>
      <c r="L139" s="796" t="s">
        <v>454</v>
      </c>
      <c r="M139" s="878" t="s">
        <v>420</v>
      </c>
      <c r="N139" s="796" t="s">
        <v>487</v>
      </c>
      <c r="O139" s="796" t="s">
        <v>420</v>
      </c>
      <c r="P139" s="796" t="s">
        <v>493</v>
      </c>
      <c r="Q139" s="787" t="s">
        <v>55</v>
      </c>
      <c r="R139" s="787" t="s">
        <v>311</v>
      </c>
      <c r="S139" s="787" t="s">
        <v>494</v>
      </c>
      <c r="T139" s="787" t="s">
        <v>495</v>
      </c>
      <c r="U139" s="815">
        <v>581000</v>
      </c>
      <c r="V139" s="14">
        <v>50000</v>
      </c>
      <c r="W139" s="14" t="s">
        <v>290</v>
      </c>
      <c r="X139" s="12">
        <v>44716</v>
      </c>
      <c r="Y139" s="37"/>
    </row>
    <row r="140" spans="1:25" ht="26.25" customHeight="1">
      <c r="A140" s="789"/>
      <c r="B140" s="789"/>
      <c r="C140" s="789"/>
      <c r="D140" s="789"/>
      <c r="E140" s="789"/>
      <c r="F140" s="789"/>
      <c r="G140" s="789"/>
      <c r="H140" s="789"/>
      <c r="I140" s="789"/>
      <c r="J140" s="789"/>
      <c r="K140" s="789"/>
      <c r="L140" s="789"/>
      <c r="M140" s="789"/>
      <c r="N140" s="789"/>
      <c r="O140" s="789"/>
      <c r="P140" s="789"/>
      <c r="Q140" s="789"/>
      <c r="R140" s="789"/>
      <c r="S140" s="789"/>
      <c r="T140" s="789"/>
      <c r="U140" s="816"/>
      <c r="V140" s="14">
        <v>100000</v>
      </c>
      <c r="W140" s="14" t="s">
        <v>59</v>
      </c>
      <c r="X140" s="12">
        <v>44716</v>
      </c>
      <c r="Y140" s="37"/>
    </row>
    <row r="141" spans="1:25" ht="30.75" customHeight="1">
      <c r="A141" s="787">
        <v>16</v>
      </c>
      <c r="B141" s="787" t="s">
        <v>45</v>
      </c>
      <c r="C141" s="787" t="s">
        <v>496</v>
      </c>
      <c r="D141" s="787" t="s">
        <v>25</v>
      </c>
      <c r="E141" s="787" t="s">
        <v>497</v>
      </c>
      <c r="F141" s="787" t="s">
        <v>498</v>
      </c>
      <c r="G141" s="787" t="s">
        <v>49</v>
      </c>
      <c r="H141" s="790" t="s">
        <v>499</v>
      </c>
      <c r="I141" s="790" t="s">
        <v>500</v>
      </c>
      <c r="J141" s="787" t="s">
        <v>110</v>
      </c>
      <c r="K141" s="787" t="s">
        <v>501</v>
      </c>
      <c r="L141" s="796" t="s">
        <v>481</v>
      </c>
      <c r="M141" s="878" t="s">
        <v>502</v>
      </c>
      <c r="N141" s="796" t="s">
        <v>503</v>
      </c>
      <c r="O141" s="796" t="s">
        <v>503</v>
      </c>
      <c r="P141" s="796" t="s">
        <v>486</v>
      </c>
      <c r="Q141" s="787" t="s">
        <v>504</v>
      </c>
      <c r="R141" s="796">
        <v>44659</v>
      </c>
      <c r="S141" s="787">
        <v>22020016</v>
      </c>
      <c r="T141" s="796">
        <v>44672</v>
      </c>
      <c r="U141" s="815">
        <v>929000</v>
      </c>
      <c r="V141" s="14">
        <v>50000</v>
      </c>
      <c r="W141" s="14" t="s">
        <v>290</v>
      </c>
      <c r="X141" s="12">
        <v>44673</v>
      </c>
      <c r="Y141" s="37"/>
    </row>
    <row r="142" spans="1:25" ht="30.75" customHeight="1">
      <c r="A142" s="789"/>
      <c r="B142" s="789"/>
      <c r="C142" s="789"/>
      <c r="D142" s="789"/>
      <c r="E142" s="789"/>
      <c r="F142" s="789"/>
      <c r="G142" s="789"/>
      <c r="H142" s="789"/>
      <c r="I142" s="789"/>
      <c r="J142" s="789"/>
      <c r="K142" s="789"/>
      <c r="L142" s="789"/>
      <c r="M142" s="789"/>
      <c r="N142" s="789"/>
      <c r="O142" s="789"/>
      <c r="P142" s="789"/>
      <c r="Q142" s="789"/>
      <c r="R142" s="789"/>
      <c r="S142" s="789"/>
      <c r="T142" s="789"/>
      <c r="U142" s="815"/>
      <c r="V142" s="14">
        <v>150000</v>
      </c>
      <c r="W142" s="14" t="s">
        <v>59</v>
      </c>
      <c r="X142" s="12">
        <v>44673</v>
      </c>
      <c r="Y142" s="37"/>
    </row>
    <row r="143" spans="1:25" ht="30.75" customHeight="1">
      <c r="A143" s="787">
        <v>17</v>
      </c>
      <c r="B143" s="787" t="s">
        <v>45</v>
      </c>
      <c r="C143" s="787" t="s">
        <v>505</v>
      </c>
      <c r="D143" s="787" t="s">
        <v>25</v>
      </c>
      <c r="E143" s="787" t="s">
        <v>506</v>
      </c>
      <c r="F143" s="787" t="s">
        <v>507</v>
      </c>
      <c r="G143" s="787" t="s">
        <v>233</v>
      </c>
      <c r="H143" s="790" t="s">
        <v>508</v>
      </c>
      <c r="I143" s="790" t="s">
        <v>509</v>
      </c>
      <c r="J143" s="787" t="s">
        <v>236</v>
      </c>
      <c r="K143" s="787" t="s">
        <v>510</v>
      </c>
      <c r="L143" s="796" t="s">
        <v>474</v>
      </c>
      <c r="M143" s="878" t="s">
        <v>480</v>
      </c>
      <c r="N143" s="796" t="s">
        <v>487</v>
      </c>
      <c r="O143" s="796" t="s">
        <v>487</v>
      </c>
      <c r="P143" s="796" t="s">
        <v>487</v>
      </c>
      <c r="Q143" s="787" t="s">
        <v>239</v>
      </c>
      <c r="R143" s="787" t="s">
        <v>40</v>
      </c>
      <c r="S143" s="787" t="s">
        <v>40</v>
      </c>
      <c r="T143" s="796">
        <v>44650</v>
      </c>
      <c r="U143" s="815">
        <v>26671120</v>
      </c>
      <c r="V143" s="14">
        <v>2184000</v>
      </c>
      <c r="W143" s="14" t="s">
        <v>290</v>
      </c>
      <c r="X143" s="12">
        <v>44659</v>
      </c>
      <c r="Y143" s="37"/>
    </row>
    <row r="144" spans="1:25" ht="30.75" customHeight="1">
      <c r="A144" s="789"/>
      <c r="B144" s="789"/>
      <c r="C144" s="789"/>
      <c r="D144" s="789"/>
      <c r="E144" s="789"/>
      <c r="F144" s="789"/>
      <c r="G144" s="789"/>
      <c r="H144" s="789"/>
      <c r="I144" s="789"/>
      <c r="J144" s="789"/>
      <c r="K144" s="789"/>
      <c r="L144" s="789"/>
      <c r="M144" s="789"/>
      <c r="N144" s="789"/>
      <c r="O144" s="789"/>
      <c r="P144" s="789"/>
      <c r="Q144" s="789"/>
      <c r="R144" s="789"/>
      <c r="S144" s="789"/>
      <c r="T144" s="789"/>
      <c r="U144" s="816"/>
      <c r="V144" s="14">
        <v>7000000</v>
      </c>
      <c r="W144" s="14" t="s">
        <v>59</v>
      </c>
      <c r="X144" s="12">
        <v>44659</v>
      </c>
      <c r="Y144" s="37"/>
    </row>
    <row r="145" spans="1:25" ht="15.75" customHeight="1">
      <c r="A145" s="15">
        <v>18</v>
      </c>
      <c r="B145" s="9" t="s">
        <v>328</v>
      </c>
      <c r="C145" s="15" t="s">
        <v>511</v>
      </c>
      <c r="D145" s="15" t="s">
        <v>25</v>
      </c>
      <c r="E145" s="15" t="s">
        <v>512</v>
      </c>
      <c r="F145" s="15" t="s">
        <v>513</v>
      </c>
      <c r="G145" s="15" t="s">
        <v>30</v>
      </c>
      <c r="H145" s="38" t="s">
        <v>514</v>
      </c>
      <c r="I145" s="38" t="s">
        <v>515</v>
      </c>
      <c r="J145" s="15" t="s">
        <v>52</v>
      </c>
      <c r="K145" s="15" t="s">
        <v>516</v>
      </c>
      <c r="L145" s="15" t="s">
        <v>431</v>
      </c>
      <c r="M145" s="39" t="s">
        <v>517</v>
      </c>
      <c r="N145" s="40">
        <v>44564</v>
      </c>
      <c r="O145" s="40">
        <v>44564</v>
      </c>
      <c r="P145" s="40">
        <v>44564</v>
      </c>
      <c r="Q145" s="15" t="s">
        <v>151</v>
      </c>
      <c r="R145" s="40">
        <v>44644</v>
      </c>
      <c r="S145" s="15" t="s">
        <v>518</v>
      </c>
      <c r="T145" s="15" t="s">
        <v>519</v>
      </c>
      <c r="U145" s="20">
        <v>1228000</v>
      </c>
      <c r="V145" s="14">
        <v>500000</v>
      </c>
      <c r="W145" s="14" t="s">
        <v>59</v>
      </c>
      <c r="X145" s="9" t="s">
        <v>520</v>
      </c>
      <c r="Y145" s="37"/>
    </row>
    <row r="146" spans="1:25" ht="15.75" customHeight="1">
      <c r="A146" s="807" t="s">
        <v>128</v>
      </c>
      <c r="B146" s="817"/>
      <c r="C146" s="817"/>
      <c r="D146" s="817"/>
      <c r="E146" s="817"/>
      <c r="F146" s="817"/>
      <c r="G146" s="817"/>
      <c r="H146" s="817"/>
      <c r="I146" s="817"/>
      <c r="J146" s="817"/>
      <c r="K146" s="817"/>
      <c r="L146" s="817"/>
      <c r="M146" s="817"/>
      <c r="N146" s="817"/>
      <c r="O146" s="817"/>
      <c r="P146" s="817"/>
      <c r="Q146" s="817"/>
      <c r="R146" s="817"/>
      <c r="S146" s="817"/>
      <c r="T146" s="817"/>
      <c r="U146" s="817"/>
      <c r="V146" s="817"/>
      <c r="W146" s="817"/>
      <c r="X146" s="818"/>
      <c r="Y146" s="2"/>
    </row>
    <row r="147" spans="1:25" ht="28.5" customHeight="1">
      <c r="A147" s="787">
        <v>19</v>
      </c>
      <c r="B147" s="787" t="s">
        <v>45</v>
      </c>
      <c r="C147" s="787" t="s">
        <v>521</v>
      </c>
      <c r="D147" s="787" t="s">
        <v>128</v>
      </c>
      <c r="E147" s="787" t="s">
        <v>522</v>
      </c>
      <c r="F147" s="787" t="s">
        <v>523</v>
      </c>
      <c r="G147" s="787" t="s">
        <v>71</v>
      </c>
      <c r="H147" s="790" t="s">
        <v>524</v>
      </c>
      <c r="I147" s="790" t="s">
        <v>525</v>
      </c>
      <c r="J147" s="787" t="s">
        <v>526</v>
      </c>
      <c r="K147" s="787" t="s">
        <v>201</v>
      </c>
      <c r="L147" s="796">
        <v>44653</v>
      </c>
      <c r="M147" s="878" t="s">
        <v>487</v>
      </c>
      <c r="N147" s="879" t="s">
        <v>527</v>
      </c>
      <c r="O147" s="880"/>
      <c r="P147" s="881"/>
      <c r="Q147" s="787" t="s">
        <v>102</v>
      </c>
      <c r="R147" s="787" t="s">
        <v>311</v>
      </c>
      <c r="S147" s="787" t="s">
        <v>528</v>
      </c>
      <c r="T147" s="787" t="s">
        <v>40</v>
      </c>
      <c r="U147" s="815">
        <v>2294250</v>
      </c>
      <c r="V147" s="14">
        <v>140000</v>
      </c>
      <c r="W147" s="14" t="s">
        <v>290</v>
      </c>
      <c r="X147" s="12">
        <v>44652</v>
      </c>
      <c r="Y147" s="2"/>
    </row>
    <row r="148" spans="1:25" ht="28.5" customHeight="1">
      <c r="A148" s="789"/>
      <c r="B148" s="789"/>
      <c r="C148" s="789"/>
      <c r="D148" s="789"/>
      <c r="E148" s="789"/>
      <c r="F148" s="789"/>
      <c r="G148" s="789"/>
      <c r="H148" s="789"/>
      <c r="I148" s="789"/>
      <c r="J148" s="789"/>
      <c r="K148" s="789"/>
      <c r="L148" s="789"/>
      <c r="M148" s="789"/>
      <c r="N148" s="882"/>
      <c r="O148" s="817"/>
      <c r="P148" s="818"/>
      <c r="Q148" s="789"/>
      <c r="R148" s="789"/>
      <c r="S148" s="789"/>
      <c r="T148" s="789"/>
      <c r="U148" s="816"/>
      <c r="V148" s="14">
        <v>800000</v>
      </c>
      <c r="W148" s="14" t="s">
        <v>59</v>
      </c>
      <c r="X148" s="12">
        <v>44652</v>
      </c>
      <c r="Y148" s="2"/>
    </row>
    <row r="149" spans="1:25" ht="15.75" customHeight="1">
      <c r="A149" s="787">
        <v>20</v>
      </c>
      <c r="B149" s="787" t="s">
        <v>45</v>
      </c>
      <c r="C149" s="787" t="s">
        <v>529</v>
      </c>
      <c r="D149" s="787" t="s">
        <v>128</v>
      </c>
      <c r="E149" s="787" t="s">
        <v>522</v>
      </c>
      <c r="F149" s="787" t="s">
        <v>530</v>
      </c>
      <c r="G149" s="787" t="s">
        <v>63</v>
      </c>
      <c r="H149" s="790" t="s">
        <v>531</v>
      </c>
      <c r="I149" s="790" t="s">
        <v>532</v>
      </c>
      <c r="J149" s="787" t="s">
        <v>533</v>
      </c>
      <c r="K149" s="787" t="s">
        <v>201</v>
      </c>
      <c r="L149" s="796">
        <v>44714</v>
      </c>
      <c r="M149" s="878">
        <v>44775</v>
      </c>
      <c r="N149" s="879" t="s">
        <v>534</v>
      </c>
      <c r="O149" s="880"/>
      <c r="P149" s="881"/>
      <c r="Q149" s="787" t="s">
        <v>78</v>
      </c>
      <c r="R149" s="787" t="s">
        <v>311</v>
      </c>
      <c r="S149" s="787" t="s">
        <v>535</v>
      </c>
      <c r="T149" s="796">
        <v>44650</v>
      </c>
      <c r="U149" s="815">
        <v>4202080</v>
      </c>
      <c r="V149" s="14">
        <v>140000</v>
      </c>
      <c r="W149" s="14" t="s">
        <v>290</v>
      </c>
      <c r="X149" s="12">
        <v>44659</v>
      </c>
      <c r="Y149" s="2"/>
    </row>
    <row r="150" spans="1:25" ht="15.75" customHeight="1">
      <c r="A150" s="789"/>
      <c r="B150" s="789"/>
      <c r="C150" s="789"/>
      <c r="D150" s="789"/>
      <c r="E150" s="789"/>
      <c r="F150" s="789"/>
      <c r="G150" s="789"/>
      <c r="H150" s="789"/>
      <c r="I150" s="789"/>
      <c r="J150" s="789"/>
      <c r="K150" s="789"/>
      <c r="L150" s="789"/>
      <c r="M150" s="789"/>
      <c r="N150" s="882"/>
      <c r="O150" s="817"/>
      <c r="P150" s="818"/>
      <c r="Q150" s="789"/>
      <c r="R150" s="789"/>
      <c r="S150" s="789"/>
      <c r="T150" s="789"/>
      <c r="U150" s="815"/>
      <c r="V150" s="14">
        <v>2000000</v>
      </c>
      <c r="W150" s="14" t="s">
        <v>59</v>
      </c>
      <c r="X150" s="12">
        <v>44659</v>
      </c>
      <c r="Y150" s="37"/>
    </row>
    <row r="151" spans="1:25" ht="24.75" customHeight="1">
      <c r="A151" s="787">
        <v>21</v>
      </c>
      <c r="B151" s="787" t="s">
        <v>45</v>
      </c>
      <c r="C151" s="787" t="s">
        <v>536</v>
      </c>
      <c r="D151" s="787" t="s">
        <v>128</v>
      </c>
      <c r="E151" s="787" t="s">
        <v>522</v>
      </c>
      <c r="F151" s="787" t="s">
        <v>537</v>
      </c>
      <c r="G151" s="787" t="s">
        <v>71</v>
      </c>
      <c r="H151" s="790" t="s">
        <v>538</v>
      </c>
      <c r="I151" s="790" t="s">
        <v>539</v>
      </c>
      <c r="J151" s="787" t="s">
        <v>540</v>
      </c>
      <c r="K151" s="787" t="s">
        <v>201</v>
      </c>
      <c r="L151" s="796">
        <v>44744</v>
      </c>
      <c r="M151" s="878">
        <v>44564</v>
      </c>
      <c r="N151" s="879" t="s">
        <v>541</v>
      </c>
      <c r="O151" s="880"/>
      <c r="P151" s="881"/>
      <c r="Q151" s="787" t="s">
        <v>78</v>
      </c>
      <c r="R151" s="787" t="s">
        <v>311</v>
      </c>
      <c r="S151" s="787" t="s">
        <v>542</v>
      </c>
      <c r="T151" s="796">
        <v>44650</v>
      </c>
      <c r="U151" s="815">
        <v>3881650</v>
      </c>
      <c r="V151" s="14">
        <v>840000</v>
      </c>
      <c r="W151" s="14" t="s">
        <v>290</v>
      </c>
      <c r="X151" s="12">
        <v>44659</v>
      </c>
      <c r="Y151" s="2"/>
    </row>
    <row r="152" spans="1:25" ht="15.75" customHeight="1">
      <c r="A152" s="789"/>
      <c r="B152" s="789"/>
      <c r="C152" s="789"/>
      <c r="D152" s="789"/>
      <c r="E152" s="789"/>
      <c r="F152" s="789"/>
      <c r="G152" s="789"/>
      <c r="H152" s="789"/>
      <c r="I152" s="789"/>
      <c r="J152" s="789"/>
      <c r="K152" s="789"/>
      <c r="L152" s="789"/>
      <c r="M152" s="789"/>
      <c r="N152" s="882"/>
      <c r="O152" s="817"/>
      <c r="P152" s="818"/>
      <c r="Q152" s="789"/>
      <c r="R152" s="789"/>
      <c r="S152" s="789"/>
      <c r="T152" s="789"/>
      <c r="U152" s="816"/>
      <c r="V152" s="14">
        <v>1500000</v>
      </c>
      <c r="W152" s="14" t="s">
        <v>59</v>
      </c>
      <c r="X152" s="12">
        <v>44659</v>
      </c>
      <c r="Y152" s="2"/>
    </row>
    <row r="153" spans="1:25" ht="15.75" customHeight="1">
      <c r="A153" s="22"/>
      <c r="B153" s="22"/>
      <c r="C153" s="22"/>
      <c r="D153" s="22"/>
      <c r="E153" s="22"/>
      <c r="F153" s="41"/>
      <c r="G153" s="42"/>
      <c r="H153" s="42"/>
      <c r="I153" s="42"/>
      <c r="J153" s="42"/>
      <c r="K153" s="42"/>
      <c r="L153" s="42"/>
      <c r="M153" s="43"/>
      <c r="N153" s="42"/>
      <c r="O153" s="42"/>
      <c r="P153" s="42"/>
      <c r="Q153" s="42"/>
      <c r="R153" s="42"/>
      <c r="S153" s="42"/>
      <c r="T153" s="25" t="s">
        <v>163</v>
      </c>
      <c r="U153" s="26">
        <f>SUM(U114:U152)</f>
        <v>75106100</v>
      </c>
      <c r="V153" s="26">
        <f>V115+V116+V120+V118+V122+V148+V152+V150+V123+V124+V128+V132+V130+V126+V134+V136+V144+V140+V138+V142+V145</f>
        <v>30800000</v>
      </c>
      <c r="W153" s="42"/>
      <c r="X153" s="42"/>
      <c r="Y153" s="37"/>
    </row>
    <row r="154" spans="1:25" ht="15.75" customHeight="1">
      <c r="A154" s="22"/>
      <c r="B154" s="22"/>
      <c r="C154" s="22"/>
      <c r="D154" s="22"/>
      <c r="E154" s="22"/>
      <c r="F154" s="41"/>
      <c r="G154" s="42"/>
      <c r="H154" s="42"/>
      <c r="I154" s="42"/>
      <c r="J154" s="42"/>
      <c r="K154" s="42"/>
      <c r="L154" s="42"/>
      <c r="M154" s="43"/>
      <c r="N154" s="42"/>
      <c r="O154" s="42"/>
      <c r="P154" s="42"/>
      <c r="Q154" s="42"/>
      <c r="R154" s="42" t="s">
        <v>543</v>
      </c>
      <c r="S154" s="42"/>
      <c r="T154" s="25" t="s">
        <v>544</v>
      </c>
      <c r="U154" s="30">
        <v>30000000</v>
      </c>
      <c r="V154" s="44" t="s">
        <v>278</v>
      </c>
      <c r="W154" s="42"/>
      <c r="X154" s="42"/>
      <c r="Y154" s="37"/>
    </row>
    <row r="155" spans="1:25" ht="15.75" customHeight="1">
      <c r="A155" s="22"/>
      <c r="B155" s="22"/>
      <c r="C155" s="22"/>
      <c r="D155" s="22"/>
      <c r="E155" s="22"/>
      <c r="F155" s="41"/>
      <c r="G155" s="42"/>
      <c r="H155" s="42"/>
      <c r="I155" s="42"/>
      <c r="J155" s="42"/>
      <c r="K155" s="42"/>
      <c r="L155" s="42"/>
      <c r="M155" s="43"/>
      <c r="N155" s="42"/>
      <c r="O155" s="42"/>
      <c r="P155" s="42"/>
      <c r="Q155" s="42"/>
      <c r="R155" s="42"/>
      <c r="S155" s="42"/>
      <c r="T155" s="25"/>
      <c r="U155" s="26">
        <f>U153-U154</f>
        <v>45106100</v>
      </c>
      <c r="V155" s="44"/>
      <c r="W155" s="42"/>
      <c r="X155" s="42"/>
      <c r="Y155" s="37"/>
    </row>
    <row r="156" spans="1:25" ht="30" customHeight="1">
      <c r="A156" s="22"/>
      <c r="B156" s="22"/>
      <c r="C156" s="22"/>
      <c r="D156" s="22"/>
      <c r="E156" s="22"/>
      <c r="F156" s="41"/>
      <c r="G156" s="42"/>
      <c r="H156" s="42"/>
      <c r="I156" s="42"/>
      <c r="J156" s="42"/>
      <c r="K156" s="42"/>
      <c r="L156" s="42"/>
      <c r="M156" s="43"/>
      <c r="N156" s="42"/>
      <c r="O156" s="42"/>
      <c r="P156" s="42"/>
      <c r="Q156" s="42"/>
      <c r="R156" s="42"/>
      <c r="S156" s="42"/>
      <c r="T156" s="888" t="s">
        <v>165</v>
      </c>
      <c r="U156" s="26">
        <f>U153*10/100</f>
        <v>7510610</v>
      </c>
      <c r="V156" s="42"/>
      <c r="W156" s="42"/>
      <c r="X156" s="42"/>
      <c r="Y156" s="37"/>
    </row>
    <row r="157" spans="1:25" ht="15.75" customHeight="1">
      <c r="A157" s="22"/>
      <c r="B157" s="22"/>
      <c r="C157" s="22"/>
      <c r="D157" s="22"/>
      <c r="E157" s="22"/>
      <c r="F157" s="41"/>
      <c r="G157" s="42"/>
      <c r="H157" s="42"/>
      <c r="I157" s="42"/>
      <c r="J157" s="42"/>
      <c r="K157" s="42"/>
      <c r="L157" s="42"/>
      <c r="M157" s="43"/>
      <c r="N157" s="42"/>
      <c r="O157" s="42"/>
      <c r="P157" s="42"/>
      <c r="Q157" s="42"/>
      <c r="R157" s="42"/>
      <c r="S157" s="42"/>
      <c r="T157" s="889"/>
      <c r="U157" s="30">
        <f>U155*5/100</f>
        <v>2255305</v>
      </c>
      <c r="V157" s="42" t="s">
        <v>282</v>
      </c>
      <c r="W157" s="42"/>
      <c r="X157" s="42"/>
      <c r="Y157" s="37"/>
    </row>
    <row r="158" spans="1:25" ht="15.75" customHeight="1">
      <c r="A158" s="22"/>
      <c r="B158" s="22"/>
      <c r="C158" s="22"/>
      <c r="D158" s="22"/>
      <c r="E158" s="22"/>
      <c r="F158" s="41"/>
      <c r="G158" s="42"/>
      <c r="H158" s="42"/>
      <c r="I158" s="42"/>
      <c r="J158" s="42"/>
      <c r="K158" s="42"/>
      <c r="L158" s="42"/>
      <c r="M158" s="43"/>
      <c r="N158" s="42"/>
      <c r="O158" s="42"/>
      <c r="P158" s="42"/>
      <c r="Q158" s="42"/>
      <c r="R158" s="42"/>
      <c r="S158" s="42"/>
      <c r="T158" s="42"/>
      <c r="U158" s="45">
        <f>U156+U157</f>
        <v>9765915</v>
      </c>
      <c r="V158" s="42"/>
      <c r="W158" s="42"/>
      <c r="X158" s="42"/>
      <c r="Y158" s="37"/>
    </row>
    <row r="159" spans="1:25" ht="15.75" customHeight="1">
      <c r="A159" s="22"/>
      <c r="B159" s="22"/>
      <c r="C159" s="22"/>
      <c r="D159" s="22"/>
      <c r="E159" s="22"/>
      <c r="F159" s="41"/>
      <c r="G159" s="42"/>
      <c r="H159" s="42"/>
      <c r="I159" s="42"/>
      <c r="J159" s="42"/>
      <c r="K159" s="42"/>
      <c r="L159" s="42"/>
      <c r="M159" s="43"/>
      <c r="N159" s="42"/>
      <c r="O159" s="42"/>
      <c r="P159" s="42"/>
      <c r="Q159" s="42"/>
      <c r="R159" s="42"/>
      <c r="S159" s="42"/>
      <c r="T159" s="42"/>
      <c r="U159" s="45"/>
      <c r="V159" s="42"/>
      <c r="W159" s="42"/>
      <c r="X159" s="42"/>
      <c r="Y159" s="37"/>
    </row>
    <row r="160" spans="1:25" ht="15.75" customHeight="1">
      <c r="A160" s="886" t="s">
        <v>545</v>
      </c>
      <c r="B160" s="887"/>
      <c r="C160" s="887"/>
      <c r="D160" s="887"/>
      <c r="E160" s="887"/>
      <c r="F160" s="887"/>
      <c r="G160" s="887"/>
      <c r="H160" s="887"/>
      <c r="I160" s="887"/>
      <c r="J160" s="887"/>
      <c r="K160" s="887"/>
      <c r="L160" s="887"/>
      <c r="M160" s="887"/>
      <c r="N160" s="887"/>
      <c r="O160" s="887"/>
      <c r="P160" s="887"/>
      <c r="Q160" s="887"/>
      <c r="R160" s="887"/>
      <c r="S160" s="887"/>
      <c r="T160" s="887"/>
      <c r="U160" s="887"/>
      <c r="V160" s="887"/>
      <c r="W160" s="887"/>
      <c r="X160" s="887"/>
      <c r="Y160" s="37"/>
    </row>
    <row r="161" spans="1:25" ht="15.75" customHeight="1">
      <c r="A161" s="3" t="s">
        <v>1</v>
      </c>
      <c r="B161" s="4" t="s">
        <v>2</v>
      </c>
      <c r="C161" s="5" t="s">
        <v>3</v>
      </c>
      <c r="D161" s="5" t="s">
        <v>4</v>
      </c>
      <c r="E161" s="5" t="s">
        <v>5</v>
      </c>
      <c r="F161" s="5" t="s">
        <v>6</v>
      </c>
      <c r="G161" s="5" t="s">
        <v>7</v>
      </c>
      <c r="H161" s="5" t="s">
        <v>167</v>
      </c>
      <c r="I161" s="5" t="s">
        <v>9</v>
      </c>
      <c r="J161" s="5" t="s">
        <v>10</v>
      </c>
      <c r="K161" s="5" t="s">
        <v>11</v>
      </c>
      <c r="L161" s="5" t="s">
        <v>12</v>
      </c>
      <c r="M161" s="6" t="s">
        <v>13</v>
      </c>
      <c r="N161" s="5" t="s">
        <v>14</v>
      </c>
      <c r="O161" s="5" t="s">
        <v>15</v>
      </c>
      <c r="P161" s="5" t="s">
        <v>16</v>
      </c>
      <c r="Q161" s="7" t="s">
        <v>17</v>
      </c>
      <c r="R161" s="8" t="s">
        <v>18</v>
      </c>
      <c r="S161" s="8" t="s">
        <v>19</v>
      </c>
      <c r="T161" s="8" t="s">
        <v>20</v>
      </c>
      <c r="U161" s="5" t="s">
        <v>21</v>
      </c>
      <c r="V161" s="5" t="s">
        <v>22</v>
      </c>
      <c r="W161" s="5" t="s">
        <v>23</v>
      </c>
      <c r="X161" s="5" t="s">
        <v>24</v>
      </c>
      <c r="Y161" s="2"/>
    </row>
    <row r="162" spans="1:25" ht="15.75" customHeight="1">
      <c r="A162" s="807" t="s">
        <v>25</v>
      </c>
      <c r="B162" s="817"/>
      <c r="C162" s="817"/>
      <c r="D162" s="817"/>
      <c r="E162" s="817"/>
      <c r="F162" s="817"/>
      <c r="G162" s="817"/>
      <c r="H162" s="817"/>
      <c r="I162" s="817"/>
      <c r="J162" s="817"/>
      <c r="K162" s="817"/>
      <c r="L162" s="817"/>
      <c r="M162" s="817"/>
      <c r="N162" s="817"/>
      <c r="O162" s="817"/>
      <c r="P162" s="817"/>
      <c r="Q162" s="817"/>
      <c r="R162" s="817"/>
      <c r="S162" s="817"/>
      <c r="T162" s="817"/>
      <c r="U162" s="817"/>
      <c r="V162" s="817"/>
      <c r="W162" s="817"/>
      <c r="X162" s="818"/>
      <c r="Y162" s="2"/>
    </row>
    <row r="163" spans="1:25" ht="26.25" customHeight="1">
      <c r="A163" s="787">
        <v>1</v>
      </c>
      <c r="B163" s="787" t="s">
        <v>45</v>
      </c>
      <c r="C163" s="787" t="s">
        <v>546</v>
      </c>
      <c r="D163" s="787" t="s">
        <v>25</v>
      </c>
      <c r="E163" s="787" t="s">
        <v>547</v>
      </c>
      <c r="F163" s="787" t="s">
        <v>548</v>
      </c>
      <c r="G163" s="787" t="s">
        <v>30</v>
      </c>
      <c r="H163" s="790" t="s">
        <v>549</v>
      </c>
      <c r="I163" s="790" t="s">
        <v>550</v>
      </c>
      <c r="J163" s="787" t="s">
        <v>551</v>
      </c>
      <c r="K163" s="787" t="s">
        <v>552</v>
      </c>
      <c r="L163" s="796">
        <v>44744</v>
      </c>
      <c r="M163" s="878" t="s">
        <v>553</v>
      </c>
      <c r="N163" s="796" t="s">
        <v>554</v>
      </c>
      <c r="O163" s="796">
        <v>44643</v>
      </c>
      <c r="P163" s="796">
        <v>44643</v>
      </c>
      <c r="Q163" s="787" t="s">
        <v>151</v>
      </c>
      <c r="R163" s="787" t="s">
        <v>555</v>
      </c>
      <c r="S163" s="787" t="s">
        <v>556</v>
      </c>
      <c r="T163" s="787" t="s">
        <v>465</v>
      </c>
      <c r="U163" s="815">
        <v>678640</v>
      </c>
      <c r="V163" s="14">
        <v>50000</v>
      </c>
      <c r="W163" s="14" t="s">
        <v>290</v>
      </c>
      <c r="X163" s="12">
        <v>44626</v>
      </c>
      <c r="Y163" s="2"/>
    </row>
    <row r="164" spans="1:25" ht="26.25" customHeight="1">
      <c r="A164" s="789"/>
      <c r="B164" s="789"/>
      <c r="C164" s="789"/>
      <c r="D164" s="789"/>
      <c r="E164" s="789"/>
      <c r="F164" s="789"/>
      <c r="G164" s="789"/>
      <c r="H164" s="789"/>
      <c r="I164" s="789"/>
      <c r="J164" s="789"/>
      <c r="K164" s="789"/>
      <c r="L164" s="789"/>
      <c r="M164" s="789"/>
      <c r="N164" s="789"/>
      <c r="O164" s="789"/>
      <c r="P164" s="789"/>
      <c r="Q164" s="789"/>
      <c r="R164" s="789"/>
      <c r="S164" s="789"/>
      <c r="T164" s="789"/>
      <c r="U164" s="816"/>
      <c r="V164" s="14">
        <v>600000</v>
      </c>
      <c r="W164" s="14" t="s">
        <v>59</v>
      </c>
      <c r="X164" s="12">
        <v>44626</v>
      </c>
      <c r="Y164" s="2"/>
    </row>
    <row r="165" spans="1:25" ht="36" customHeight="1">
      <c r="A165" s="787">
        <v>2</v>
      </c>
      <c r="B165" s="787" t="s">
        <v>104</v>
      </c>
      <c r="C165" s="787" t="s">
        <v>557</v>
      </c>
      <c r="D165" s="787" t="s">
        <v>25</v>
      </c>
      <c r="E165" s="787" t="s">
        <v>558</v>
      </c>
      <c r="F165" s="787" t="s">
        <v>559</v>
      </c>
      <c r="G165" s="787" t="s">
        <v>560</v>
      </c>
      <c r="H165" s="790" t="s">
        <v>561</v>
      </c>
      <c r="I165" s="790" t="s">
        <v>562</v>
      </c>
      <c r="J165" s="787" t="s">
        <v>33</v>
      </c>
      <c r="K165" s="787" t="s">
        <v>99</v>
      </c>
      <c r="L165" s="796">
        <v>44653</v>
      </c>
      <c r="M165" s="878">
        <v>44623</v>
      </c>
      <c r="N165" s="796">
        <v>44745</v>
      </c>
      <c r="O165" s="796" t="s">
        <v>563</v>
      </c>
      <c r="P165" s="796" t="s">
        <v>564</v>
      </c>
      <c r="Q165" s="787" t="s">
        <v>565</v>
      </c>
      <c r="R165" s="796">
        <v>44658</v>
      </c>
      <c r="S165" s="787">
        <v>22020145</v>
      </c>
      <c r="T165" s="796">
        <v>44839</v>
      </c>
      <c r="U165" s="815">
        <v>29940000</v>
      </c>
      <c r="V165" s="14">
        <v>3360000</v>
      </c>
      <c r="W165" s="14" t="s">
        <v>290</v>
      </c>
      <c r="X165" s="9" t="s">
        <v>566</v>
      </c>
      <c r="Y165" s="2"/>
    </row>
    <row r="166" spans="1:25" ht="36" customHeight="1">
      <c r="A166" s="789"/>
      <c r="B166" s="789"/>
      <c r="C166" s="789"/>
      <c r="D166" s="789"/>
      <c r="E166" s="789"/>
      <c r="F166" s="789"/>
      <c r="G166" s="789"/>
      <c r="H166" s="789"/>
      <c r="I166" s="789"/>
      <c r="J166" s="789"/>
      <c r="K166" s="789"/>
      <c r="L166" s="789"/>
      <c r="M166" s="789"/>
      <c r="N166" s="789"/>
      <c r="O166" s="789"/>
      <c r="P166" s="789"/>
      <c r="Q166" s="789"/>
      <c r="R166" s="789"/>
      <c r="S166" s="789"/>
      <c r="T166" s="789"/>
      <c r="U166" s="816"/>
      <c r="V166" s="14">
        <v>16000000</v>
      </c>
      <c r="W166" s="14" t="s">
        <v>59</v>
      </c>
      <c r="X166" s="9" t="s">
        <v>566</v>
      </c>
      <c r="Y166" s="2"/>
    </row>
    <row r="167" spans="1:25" ht="15.75" customHeight="1">
      <c r="A167" s="787">
        <v>3</v>
      </c>
      <c r="B167" s="787" t="s">
        <v>45</v>
      </c>
      <c r="C167" s="787" t="s">
        <v>567</v>
      </c>
      <c r="D167" s="787" t="s">
        <v>25</v>
      </c>
      <c r="E167" s="787" t="s">
        <v>61</v>
      </c>
      <c r="F167" s="787" t="s">
        <v>568</v>
      </c>
      <c r="G167" s="787" t="s">
        <v>569</v>
      </c>
      <c r="H167" s="790" t="s">
        <v>570</v>
      </c>
      <c r="I167" s="790" t="s">
        <v>571</v>
      </c>
      <c r="J167" s="787" t="s">
        <v>66</v>
      </c>
      <c r="K167" s="787" t="s">
        <v>304</v>
      </c>
      <c r="L167" s="796" t="s">
        <v>420</v>
      </c>
      <c r="M167" s="878">
        <v>44564</v>
      </c>
      <c r="N167" s="796">
        <v>44564</v>
      </c>
      <c r="O167" s="796">
        <v>44564</v>
      </c>
      <c r="P167" s="796">
        <v>44595</v>
      </c>
      <c r="Q167" s="787" t="s">
        <v>572</v>
      </c>
      <c r="R167" s="796">
        <v>44651</v>
      </c>
      <c r="S167" s="787">
        <v>220107611</v>
      </c>
      <c r="T167" s="796">
        <v>44672</v>
      </c>
      <c r="U167" s="815">
        <v>629000</v>
      </c>
      <c r="V167" s="14">
        <v>50000</v>
      </c>
      <c r="W167" s="14" t="s">
        <v>290</v>
      </c>
      <c r="X167" s="12">
        <v>44673</v>
      </c>
      <c r="Y167" s="2"/>
    </row>
    <row r="168" spans="1:25" ht="15.75" customHeight="1">
      <c r="A168" s="789"/>
      <c r="B168" s="789"/>
      <c r="C168" s="789"/>
      <c r="D168" s="789"/>
      <c r="E168" s="789"/>
      <c r="F168" s="789"/>
      <c r="G168" s="789"/>
      <c r="H168" s="789"/>
      <c r="I168" s="789"/>
      <c r="J168" s="789"/>
      <c r="K168" s="789"/>
      <c r="L168" s="789"/>
      <c r="M168" s="789"/>
      <c r="N168" s="789"/>
      <c r="O168" s="789"/>
      <c r="P168" s="789"/>
      <c r="Q168" s="789"/>
      <c r="R168" s="789"/>
      <c r="S168" s="789"/>
      <c r="T168" s="789"/>
      <c r="U168" s="816"/>
      <c r="V168" s="14">
        <v>100000</v>
      </c>
      <c r="W168" s="14" t="s">
        <v>59</v>
      </c>
      <c r="X168" s="12">
        <v>44673</v>
      </c>
      <c r="Y168" s="2"/>
    </row>
    <row r="169" spans="1:25" ht="30.75" customHeight="1">
      <c r="A169" s="787">
        <v>4</v>
      </c>
      <c r="B169" s="787" t="s">
        <v>104</v>
      </c>
      <c r="C169" s="787" t="s">
        <v>573</v>
      </c>
      <c r="D169" s="787" t="s">
        <v>25</v>
      </c>
      <c r="E169" s="787" t="s">
        <v>190</v>
      </c>
      <c r="F169" s="787" t="s">
        <v>574</v>
      </c>
      <c r="G169" s="787" t="s">
        <v>71</v>
      </c>
      <c r="H169" s="790" t="s">
        <v>575</v>
      </c>
      <c r="I169" s="790" t="s">
        <v>576</v>
      </c>
      <c r="J169" s="787" t="s">
        <v>296</v>
      </c>
      <c r="K169" s="787" t="s">
        <v>194</v>
      </c>
      <c r="L169" s="796" t="s">
        <v>473</v>
      </c>
      <c r="M169" s="878">
        <v>44595</v>
      </c>
      <c r="N169" s="796">
        <v>44745</v>
      </c>
      <c r="O169" s="796">
        <v>44745</v>
      </c>
      <c r="P169" s="796">
        <v>44776</v>
      </c>
      <c r="Q169" s="787" t="s">
        <v>78</v>
      </c>
      <c r="R169" s="796">
        <v>44651</v>
      </c>
      <c r="S169" s="787">
        <v>22030002</v>
      </c>
      <c r="T169" s="796">
        <v>44662</v>
      </c>
      <c r="U169" s="815">
        <v>379000</v>
      </c>
      <c r="V169" s="14">
        <v>50000</v>
      </c>
      <c r="W169" s="14" t="s">
        <v>290</v>
      </c>
      <c r="X169" s="12">
        <v>44665</v>
      </c>
      <c r="Y169" s="2"/>
    </row>
    <row r="170" spans="1:25" ht="30.75" customHeight="1">
      <c r="A170" s="789"/>
      <c r="B170" s="789"/>
      <c r="C170" s="789"/>
      <c r="D170" s="789"/>
      <c r="E170" s="789"/>
      <c r="F170" s="789"/>
      <c r="G170" s="789"/>
      <c r="H170" s="789"/>
      <c r="I170" s="789"/>
      <c r="J170" s="789"/>
      <c r="K170" s="789"/>
      <c r="L170" s="789"/>
      <c r="M170" s="789"/>
      <c r="N170" s="789"/>
      <c r="O170" s="789"/>
      <c r="P170" s="789"/>
      <c r="Q170" s="789"/>
      <c r="R170" s="789"/>
      <c r="S170" s="789"/>
      <c r="T170" s="789"/>
      <c r="U170" s="816"/>
      <c r="V170" s="14">
        <v>50000</v>
      </c>
      <c r="W170" s="14" t="s">
        <v>59</v>
      </c>
      <c r="X170" s="12">
        <v>44665</v>
      </c>
      <c r="Y170" s="2"/>
    </row>
    <row r="171" spans="1:25" ht="15.75" customHeight="1">
      <c r="A171" s="787">
        <v>5</v>
      </c>
      <c r="B171" s="787" t="s">
        <v>104</v>
      </c>
      <c r="C171" s="787" t="s">
        <v>577</v>
      </c>
      <c r="D171" s="787" t="s">
        <v>25</v>
      </c>
      <c r="E171" s="787" t="s">
        <v>106</v>
      </c>
      <c r="F171" s="787" t="s">
        <v>578</v>
      </c>
      <c r="G171" s="787" t="s">
        <v>63</v>
      </c>
      <c r="H171" s="790" t="s">
        <v>579</v>
      </c>
      <c r="I171" s="790" t="s">
        <v>580</v>
      </c>
      <c r="J171" s="787" t="s">
        <v>110</v>
      </c>
      <c r="K171" s="787" t="s">
        <v>304</v>
      </c>
      <c r="L171" s="796" t="s">
        <v>581</v>
      </c>
      <c r="M171" s="878">
        <v>44684</v>
      </c>
      <c r="N171" s="796">
        <v>44745</v>
      </c>
      <c r="O171" s="796">
        <v>44776</v>
      </c>
      <c r="P171" s="796">
        <v>44807</v>
      </c>
      <c r="Q171" s="787" t="s">
        <v>55</v>
      </c>
      <c r="R171" s="796">
        <v>44624</v>
      </c>
      <c r="S171" s="787" t="s">
        <v>582</v>
      </c>
      <c r="T171" s="796">
        <v>44662</v>
      </c>
      <c r="U171" s="815">
        <v>629000</v>
      </c>
      <c r="V171" s="14">
        <v>50000</v>
      </c>
      <c r="W171" s="14" t="s">
        <v>290</v>
      </c>
      <c r="X171" s="12">
        <v>44665</v>
      </c>
      <c r="Y171" s="2"/>
    </row>
    <row r="172" spans="1:25" ht="15.75" customHeight="1">
      <c r="A172" s="789"/>
      <c r="B172" s="789"/>
      <c r="C172" s="789"/>
      <c r="D172" s="789"/>
      <c r="E172" s="789"/>
      <c r="F172" s="789"/>
      <c r="G172" s="789"/>
      <c r="H172" s="789"/>
      <c r="I172" s="789"/>
      <c r="J172" s="789"/>
      <c r="K172" s="789"/>
      <c r="L172" s="789"/>
      <c r="M172" s="789"/>
      <c r="N172" s="789"/>
      <c r="O172" s="789"/>
      <c r="P172" s="789"/>
      <c r="Q172" s="789"/>
      <c r="R172" s="789"/>
      <c r="S172" s="789"/>
      <c r="T172" s="789"/>
      <c r="U172" s="816"/>
      <c r="V172" s="14">
        <v>100000</v>
      </c>
      <c r="W172" s="14" t="s">
        <v>59</v>
      </c>
      <c r="X172" s="12">
        <v>44665</v>
      </c>
      <c r="Y172" s="2"/>
    </row>
    <row r="173" spans="1:25" ht="30.75" customHeight="1">
      <c r="A173" s="787">
        <v>6</v>
      </c>
      <c r="B173" s="787" t="s">
        <v>45</v>
      </c>
      <c r="C173" s="787" t="s">
        <v>583</v>
      </c>
      <c r="D173" s="787" t="s">
        <v>25</v>
      </c>
      <c r="E173" s="787" t="s">
        <v>69</v>
      </c>
      <c r="F173" s="787" t="s">
        <v>584</v>
      </c>
      <c r="G173" s="787" t="s">
        <v>71</v>
      </c>
      <c r="H173" s="790" t="s">
        <v>585</v>
      </c>
      <c r="I173" s="790" t="s">
        <v>586</v>
      </c>
      <c r="J173" s="787" t="s">
        <v>200</v>
      </c>
      <c r="K173" s="787" t="s">
        <v>304</v>
      </c>
      <c r="L173" s="796">
        <v>44807</v>
      </c>
      <c r="M173" s="878" t="s">
        <v>327</v>
      </c>
      <c r="N173" s="796" t="s">
        <v>327</v>
      </c>
      <c r="O173" s="796" t="s">
        <v>587</v>
      </c>
      <c r="P173" s="796" t="s">
        <v>588</v>
      </c>
      <c r="Q173" s="787" t="s">
        <v>78</v>
      </c>
      <c r="R173" s="796">
        <v>44631</v>
      </c>
      <c r="S173" s="787" t="s">
        <v>589</v>
      </c>
      <c r="T173" s="796">
        <v>44672</v>
      </c>
      <c r="U173" s="815">
        <v>381000</v>
      </c>
      <c r="V173" s="14">
        <v>50000</v>
      </c>
      <c r="W173" s="14" t="s">
        <v>290</v>
      </c>
      <c r="X173" s="12">
        <v>44673</v>
      </c>
      <c r="Y173" s="37"/>
    </row>
    <row r="174" spans="1:25" ht="30.75" customHeight="1">
      <c r="A174" s="789"/>
      <c r="B174" s="789"/>
      <c r="C174" s="789"/>
      <c r="D174" s="789"/>
      <c r="E174" s="789"/>
      <c r="F174" s="789"/>
      <c r="G174" s="789"/>
      <c r="H174" s="789"/>
      <c r="I174" s="789"/>
      <c r="J174" s="789"/>
      <c r="K174" s="789"/>
      <c r="L174" s="789"/>
      <c r="M174" s="789"/>
      <c r="N174" s="789"/>
      <c r="O174" s="789"/>
      <c r="P174" s="789"/>
      <c r="Q174" s="789"/>
      <c r="R174" s="789"/>
      <c r="S174" s="789"/>
      <c r="T174" s="789"/>
      <c r="U174" s="816"/>
      <c r="V174" s="14">
        <v>50000</v>
      </c>
      <c r="W174" s="14" t="s">
        <v>59</v>
      </c>
      <c r="X174" s="12">
        <v>44673</v>
      </c>
      <c r="Y174" s="37"/>
    </row>
    <row r="175" spans="1:25" ht="15.75" customHeight="1">
      <c r="A175" s="787">
        <v>7</v>
      </c>
      <c r="B175" s="787" t="s">
        <v>45</v>
      </c>
      <c r="C175" s="787" t="s">
        <v>590</v>
      </c>
      <c r="D175" s="787" t="s">
        <v>25</v>
      </c>
      <c r="E175" s="787" t="s">
        <v>182</v>
      </c>
      <c r="F175" s="787" t="s">
        <v>591</v>
      </c>
      <c r="G175" s="787" t="s">
        <v>63</v>
      </c>
      <c r="H175" s="790" t="s">
        <v>592</v>
      </c>
      <c r="I175" s="790" t="s">
        <v>593</v>
      </c>
      <c r="J175" s="787" t="s">
        <v>186</v>
      </c>
      <c r="K175" s="787" t="s">
        <v>99</v>
      </c>
      <c r="L175" s="796" t="s">
        <v>594</v>
      </c>
      <c r="M175" s="878" t="s">
        <v>595</v>
      </c>
      <c r="N175" s="796" t="s">
        <v>327</v>
      </c>
      <c r="O175" s="796" t="s">
        <v>327</v>
      </c>
      <c r="P175" s="796" t="s">
        <v>587</v>
      </c>
      <c r="Q175" s="787" t="s">
        <v>102</v>
      </c>
      <c r="R175" s="796">
        <v>44658</v>
      </c>
      <c r="S175" s="787">
        <v>22030070</v>
      </c>
      <c r="T175" s="796">
        <v>44672</v>
      </c>
      <c r="U175" s="815">
        <v>581000</v>
      </c>
      <c r="V175" s="14">
        <v>50000</v>
      </c>
      <c r="W175" s="14" t="s">
        <v>290</v>
      </c>
      <c r="X175" s="12">
        <v>44673</v>
      </c>
      <c r="Y175" s="37"/>
    </row>
    <row r="176" spans="1:25" ht="15.75" customHeight="1">
      <c r="A176" s="789"/>
      <c r="B176" s="789"/>
      <c r="C176" s="789"/>
      <c r="D176" s="789"/>
      <c r="E176" s="789"/>
      <c r="F176" s="789"/>
      <c r="G176" s="789"/>
      <c r="H176" s="789"/>
      <c r="I176" s="789"/>
      <c r="J176" s="789"/>
      <c r="K176" s="789"/>
      <c r="L176" s="789"/>
      <c r="M176" s="789"/>
      <c r="N176" s="789"/>
      <c r="O176" s="789"/>
      <c r="P176" s="789"/>
      <c r="Q176" s="789"/>
      <c r="R176" s="789"/>
      <c r="S176" s="789"/>
      <c r="T176" s="789"/>
      <c r="U176" s="815"/>
      <c r="V176" s="14">
        <v>100000</v>
      </c>
      <c r="W176" s="14" t="s">
        <v>59</v>
      </c>
      <c r="X176" s="12">
        <v>44673</v>
      </c>
      <c r="Y176" s="37"/>
    </row>
    <row r="177" spans="1:25" ht="30.75" customHeight="1">
      <c r="A177" s="787">
        <v>8</v>
      </c>
      <c r="B177" s="787" t="s">
        <v>45</v>
      </c>
      <c r="C177" s="787" t="s">
        <v>596</v>
      </c>
      <c r="D177" s="787" t="s">
        <v>25</v>
      </c>
      <c r="E177" s="787" t="s">
        <v>69</v>
      </c>
      <c r="F177" s="787" t="s">
        <v>597</v>
      </c>
      <c r="G177" s="787" t="s">
        <v>71</v>
      </c>
      <c r="H177" s="790" t="s">
        <v>598</v>
      </c>
      <c r="I177" s="790" t="s">
        <v>599</v>
      </c>
      <c r="J177" s="787" t="s">
        <v>200</v>
      </c>
      <c r="K177" s="787" t="s">
        <v>304</v>
      </c>
      <c r="L177" s="796">
        <v>44807</v>
      </c>
      <c r="M177" s="878" t="s">
        <v>327</v>
      </c>
      <c r="N177" s="796" t="s">
        <v>327</v>
      </c>
      <c r="O177" s="796" t="s">
        <v>587</v>
      </c>
      <c r="P177" s="796" t="s">
        <v>588</v>
      </c>
      <c r="Q177" s="787" t="s">
        <v>102</v>
      </c>
      <c r="R177" s="796">
        <v>44631</v>
      </c>
      <c r="S177" s="787" t="s">
        <v>600</v>
      </c>
      <c r="T177" s="796">
        <v>44672</v>
      </c>
      <c r="U177" s="815">
        <v>331000</v>
      </c>
      <c r="V177" s="14">
        <v>50000</v>
      </c>
      <c r="W177" s="14" t="s">
        <v>290</v>
      </c>
      <c r="X177" s="12">
        <v>44673</v>
      </c>
      <c r="Y177" s="37"/>
    </row>
    <row r="178" spans="1:25" ht="30.75" customHeight="1">
      <c r="A178" s="789"/>
      <c r="B178" s="789"/>
      <c r="C178" s="789"/>
      <c r="D178" s="789"/>
      <c r="E178" s="789"/>
      <c r="F178" s="789"/>
      <c r="G178" s="789"/>
      <c r="H178" s="789"/>
      <c r="I178" s="789"/>
      <c r="J178" s="789"/>
      <c r="K178" s="789"/>
      <c r="L178" s="789"/>
      <c r="M178" s="789"/>
      <c r="N178" s="789"/>
      <c r="O178" s="789"/>
      <c r="P178" s="789"/>
      <c r="Q178" s="789"/>
      <c r="R178" s="789"/>
      <c r="S178" s="789"/>
      <c r="T178" s="789"/>
      <c r="U178" s="815"/>
      <c r="V178" s="14">
        <v>50000</v>
      </c>
      <c r="W178" s="14" t="s">
        <v>59</v>
      </c>
      <c r="X178" s="12">
        <v>44673</v>
      </c>
      <c r="Y178" s="37"/>
    </row>
    <row r="179" spans="1:25" ht="15.75" customHeight="1">
      <c r="A179" s="787">
        <v>9</v>
      </c>
      <c r="B179" s="787" t="s">
        <v>45</v>
      </c>
      <c r="C179" s="787" t="s">
        <v>601</v>
      </c>
      <c r="D179" s="787" t="s">
        <v>25</v>
      </c>
      <c r="E179" s="787" t="s">
        <v>106</v>
      </c>
      <c r="F179" s="787" t="s">
        <v>602</v>
      </c>
      <c r="G179" s="787" t="s">
        <v>71</v>
      </c>
      <c r="H179" s="790" t="s">
        <v>603</v>
      </c>
      <c r="I179" s="790" t="s">
        <v>604</v>
      </c>
      <c r="J179" s="787" t="s">
        <v>110</v>
      </c>
      <c r="K179" s="787" t="s">
        <v>304</v>
      </c>
      <c r="L179" s="796">
        <v>44628</v>
      </c>
      <c r="M179" s="878">
        <v>44898</v>
      </c>
      <c r="N179" s="796" t="s">
        <v>327</v>
      </c>
      <c r="O179" s="796" t="s">
        <v>327</v>
      </c>
      <c r="P179" s="796" t="s">
        <v>587</v>
      </c>
      <c r="Q179" s="787" t="s">
        <v>78</v>
      </c>
      <c r="R179" s="796">
        <v>44651</v>
      </c>
      <c r="S179" s="787">
        <v>22030073</v>
      </c>
      <c r="T179" s="796">
        <v>44672</v>
      </c>
      <c r="U179" s="815">
        <v>381000</v>
      </c>
      <c r="V179" s="14">
        <v>50000</v>
      </c>
      <c r="W179" s="14" t="s">
        <v>290</v>
      </c>
      <c r="X179" s="12">
        <v>44673</v>
      </c>
      <c r="Y179" s="2"/>
    </row>
    <row r="180" spans="1:25" ht="15.75" customHeight="1">
      <c r="A180" s="789"/>
      <c r="B180" s="789"/>
      <c r="C180" s="789"/>
      <c r="D180" s="789"/>
      <c r="E180" s="789"/>
      <c r="F180" s="789"/>
      <c r="G180" s="789"/>
      <c r="H180" s="789"/>
      <c r="I180" s="789"/>
      <c r="J180" s="789"/>
      <c r="K180" s="789"/>
      <c r="L180" s="789"/>
      <c r="M180" s="789"/>
      <c r="N180" s="789"/>
      <c r="O180" s="789"/>
      <c r="P180" s="789"/>
      <c r="Q180" s="789"/>
      <c r="R180" s="789"/>
      <c r="S180" s="789"/>
      <c r="T180" s="789"/>
      <c r="U180" s="815"/>
      <c r="V180" s="14">
        <v>50000</v>
      </c>
      <c r="W180" s="14" t="s">
        <v>59</v>
      </c>
      <c r="X180" s="12">
        <v>44673</v>
      </c>
      <c r="Y180" s="2"/>
    </row>
    <row r="181" spans="1:25" ht="19.5" customHeight="1">
      <c r="A181" s="787">
        <v>10</v>
      </c>
      <c r="B181" s="787" t="s">
        <v>104</v>
      </c>
      <c r="C181" s="787" t="s">
        <v>605</v>
      </c>
      <c r="D181" s="787" t="s">
        <v>25</v>
      </c>
      <c r="E181" s="787" t="s">
        <v>190</v>
      </c>
      <c r="F181" s="787" t="s">
        <v>606</v>
      </c>
      <c r="G181" s="787" t="s">
        <v>71</v>
      </c>
      <c r="H181" s="790" t="s">
        <v>607</v>
      </c>
      <c r="I181" s="790" t="s">
        <v>608</v>
      </c>
      <c r="J181" s="787" t="s">
        <v>317</v>
      </c>
      <c r="K181" s="787" t="s">
        <v>194</v>
      </c>
      <c r="L181" s="796" t="s">
        <v>609</v>
      </c>
      <c r="M181" s="878" t="s">
        <v>327</v>
      </c>
      <c r="N181" s="796" t="s">
        <v>610</v>
      </c>
      <c r="O181" s="796" t="s">
        <v>610</v>
      </c>
      <c r="P181" s="796" t="s">
        <v>610</v>
      </c>
      <c r="Q181" s="787" t="s">
        <v>78</v>
      </c>
      <c r="R181" s="796">
        <v>44651</v>
      </c>
      <c r="S181" s="787">
        <v>22030096</v>
      </c>
      <c r="T181" s="796">
        <v>44662</v>
      </c>
      <c r="U181" s="815">
        <v>381000</v>
      </c>
      <c r="V181" s="14">
        <v>50000</v>
      </c>
      <c r="W181" s="14" t="s">
        <v>290</v>
      </c>
      <c r="X181" s="12">
        <v>44665</v>
      </c>
      <c r="Y181" s="2"/>
    </row>
    <row r="182" spans="1:25" ht="15.75" customHeight="1">
      <c r="A182" s="789"/>
      <c r="B182" s="789"/>
      <c r="C182" s="789"/>
      <c r="D182" s="789"/>
      <c r="E182" s="789"/>
      <c r="F182" s="789"/>
      <c r="G182" s="789"/>
      <c r="H182" s="789"/>
      <c r="I182" s="789"/>
      <c r="J182" s="789"/>
      <c r="K182" s="789"/>
      <c r="L182" s="789"/>
      <c r="M182" s="789"/>
      <c r="N182" s="789"/>
      <c r="O182" s="789"/>
      <c r="P182" s="789"/>
      <c r="Q182" s="789"/>
      <c r="R182" s="789"/>
      <c r="S182" s="789"/>
      <c r="T182" s="789"/>
      <c r="U182" s="816"/>
      <c r="V182" s="14">
        <v>50000</v>
      </c>
      <c r="W182" s="14" t="s">
        <v>59</v>
      </c>
      <c r="X182" s="12">
        <v>44665</v>
      </c>
      <c r="Y182" s="2"/>
    </row>
    <row r="183" spans="1:25" ht="23.25" customHeight="1">
      <c r="A183" s="787">
        <v>11</v>
      </c>
      <c r="B183" s="787" t="s">
        <v>45</v>
      </c>
      <c r="C183" s="787" t="s">
        <v>611</v>
      </c>
      <c r="D183" s="787" t="s">
        <v>25</v>
      </c>
      <c r="E183" s="787" t="s">
        <v>612</v>
      </c>
      <c r="F183" s="787" t="s">
        <v>613</v>
      </c>
      <c r="G183" s="787" t="s">
        <v>30</v>
      </c>
      <c r="H183" s="790" t="s">
        <v>614</v>
      </c>
      <c r="I183" s="790" t="s">
        <v>615</v>
      </c>
      <c r="J183" s="787" t="s">
        <v>66</v>
      </c>
      <c r="K183" s="787" t="s">
        <v>376</v>
      </c>
      <c r="L183" s="796" t="s">
        <v>616</v>
      </c>
      <c r="M183" s="878">
        <v>44595</v>
      </c>
      <c r="N183" s="796">
        <v>44654</v>
      </c>
      <c r="O183" s="796">
        <v>44745</v>
      </c>
      <c r="P183" s="796">
        <v>44745</v>
      </c>
      <c r="Q183" s="787" t="s">
        <v>151</v>
      </c>
      <c r="R183" s="787" t="s">
        <v>40</v>
      </c>
      <c r="S183" s="787" t="s">
        <v>40</v>
      </c>
      <c r="T183" s="787" t="s">
        <v>617</v>
      </c>
      <c r="U183" s="815">
        <v>6079750</v>
      </c>
      <c r="V183" s="14">
        <v>1065000</v>
      </c>
      <c r="W183" s="14" t="s">
        <v>290</v>
      </c>
      <c r="X183" s="12">
        <v>44659</v>
      </c>
      <c r="Y183" s="2"/>
    </row>
    <row r="184" spans="1:25" ht="23.25" customHeight="1">
      <c r="A184" s="789"/>
      <c r="B184" s="789"/>
      <c r="C184" s="789"/>
      <c r="D184" s="789"/>
      <c r="E184" s="789"/>
      <c r="F184" s="789"/>
      <c r="G184" s="789"/>
      <c r="H184" s="789"/>
      <c r="I184" s="789"/>
      <c r="J184" s="789"/>
      <c r="K184" s="789"/>
      <c r="L184" s="789"/>
      <c r="M184" s="789"/>
      <c r="N184" s="789"/>
      <c r="O184" s="789"/>
      <c r="P184" s="789"/>
      <c r="Q184" s="789"/>
      <c r="R184" s="789"/>
      <c r="S184" s="789"/>
      <c r="T184" s="789"/>
      <c r="U184" s="815"/>
      <c r="V184" s="14">
        <v>2275000</v>
      </c>
      <c r="W184" s="14" t="s">
        <v>59</v>
      </c>
      <c r="X184" s="12">
        <v>44659</v>
      </c>
      <c r="Y184" s="2"/>
    </row>
    <row r="185" spans="1:25" ht="30" customHeight="1">
      <c r="A185" s="787">
        <v>12</v>
      </c>
      <c r="B185" s="787" t="s">
        <v>45</v>
      </c>
      <c r="C185" s="787" t="s">
        <v>618</v>
      </c>
      <c r="D185" s="787" t="s">
        <v>25</v>
      </c>
      <c r="E185" s="787" t="s">
        <v>218</v>
      </c>
      <c r="F185" s="787" t="s">
        <v>619</v>
      </c>
      <c r="G185" s="787" t="s">
        <v>71</v>
      </c>
      <c r="H185" s="790" t="s">
        <v>620</v>
      </c>
      <c r="I185" s="790" t="s">
        <v>621</v>
      </c>
      <c r="J185" s="787" t="s">
        <v>222</v>
      </c>
      <c r="K185" s="787" t="s">
        <v>99</v>
      </c>
      <c r="L185" s="796" t="s">
        <v>553</v>
      </c>
      <c r="M185" s="878" t="s">
        <v>622</v>
      </c>
      <c r="N185" s="796">
        <v>44643</v>
      </c>
      <c r="O185" s="796">
        <v>44643</v>
      </c>
      <c r="P185" s="796">
        <v>44644</v>
      </c>
      <c r="Q185" s="787" t="s">
        <v>78</v>
      </c>
      <c r="R185" s="796">
        <v>44659</v>
      </c>
      <c r="S185" s="787">
        <v>22030137</v>
      </c>
      <c r="T185" s="796">
        <v>44672</v>
      </c>
      <c r="U185" s="815">
        <v>381000</v>
      </c>
      <c r="V185" s="14">
        <v>50000</v>
      </c>
      <c r="W185" s="14" t="s">
        <v>290</v>
      </c>
      <c r="X185" s="12">
        <v>44673</v>
      </c>
      <c r="Y185" s="2"/>
    </row>
    <row r="186" spans="1:25" ht="30" customHeight="1">
      <c r="A186" s="789"/>
      <c r="B186" s="789"/>
      <c r="C186" s="789"/>
      <c r="D186" s="789"/>
      <c r="E186" s="789"/>
      <c r="F186" s="789"/>
      <c r="G186" s="789"/>
      <c r="H186" s="789"/>
      <c r="I186" s="789"/>
      <c r="J186" s="789"/>
      <c r="K186" s="789"/>
      <c r="L186" s="789"/>
      <c r="M186" s="789"/>
      <c r="N186" s="789"/>
      <c r="O186" s="789"/>
      <c r="P186" s="789"/>
      <c r="Q186" s="789"/>
      <c r="R186" s="789"/>
      <c r="S186" s="789"/>
      <c r="T186" s="789"/>
      <c r="U186" s="816"/>
      <c r="V186" s="14">
        <v>50000</v>
      </c>
      <c r="W186" s="14" t="s">
        <v>59</v>
      </c>
      <c r="X186" s="12">
        <v>44673</v>
      </c>
      <c r="Y186" s="2"/>
    </row>
    <row r="187" spans="1:25" ht="19.5" customHeight="1">
      <c r="A187" s="787">
        <v>13</v>
      </c>
      <c r="B187" s="787" t="s">
        <v>45</v>
      </c>
      <c r="C187" s="787" t="s">
        <v>623</v>
      </c>
      <c r="D187" s="787" t="s">
        <v>25</v>
      </c>
      <c r="E187" s="787" t="s">
        <v>61</v>
      </c>
      <c r="F187" s="787" t="s">
        <v>624</v>
      </c>
      <c r="G187" s="787" t="s">
        <v>63</v>
      </c>
      <c r="H187" s="790" t="s">
        <v>625</v>
      </c>
      <c r="I187" s="790" t="s">
        <v>626</v>
      </c>
      <c r="J187" s="787" t="s">
        <v>66</v>
      </c>
      <c r="K187" s="787" t="s">
        <v>304</v>
      </c>
      <c r="L187" s="796" t="s">
        <v>327</v>
      </c>
      <c r="M187" s="878" t="s">
        <v>622</v>
      </c>
      <c r="N187" s="796">
        <v>44643</v>
      </c>
      <c r="O187" s="796">
        <v>44643</v>
      </c>
      <c r="P187" s="796">
        <v>44644</v>
      </c>
      <c r="Q187" s="787" t="s">
        <v>102</v>
      </c>
      <c r="R187" s="796">
        <v>44659</v>
      </c>
      <c r="S187" s="787">
        <v>22030138</v>
      </c>
      <c r="T187" s="796">
        <v>44672</v>
      </c>
      <c r="U187" s="815">
        <v>581000</v>
      </c>
      <c r="V187" s="14">
        <v>50000</v>
      </c>
      <c r="W187" s="14" t="s">
        <v>290</v>
      </c>
      <c r="X187" s="12">
        <v>44673</v>
      </c>
      <c r="Y187" s="2"/>
    </row>
    <row r="188" spans="1:25" ht="19.5" customHeight="1">
      <c r="A188" s="789"/>
      <c r="B188" s="789"/>
      <c r="C188" s="789"/>
      <c r="D188" s="789"/>
      <c r="E188" s="789"/>
      <c r="F188" s="789"/>
      <c r="G188" s="789"/>
      <c r="H188" s="789"/>
      <c r="I188" s="789"/>
      <c r="J188" s="789"/>
      <c r="K188" s="789"/>
      <c r="L188" s="789"/>
      <c r="M188" s="789"/>
      <c r="N188" s="789"/>
      <c r="O188" s="789"/>
      <c r="P188" s="789"/>
      <c r="Q188" s="789"/>
      <c r="R188" s="789"/>
      <c r="S188" s="789"/>
      <c r="T188" s="789"/>
      <c r="U188" s="816"/>
      <c r="V188" s="14">
        <v>100000</v>
      </c>
      <c r="W188" s="14" t="s">
        <v>59</v>
      </c>
      <c r="X188" s="12">
        <v>44673</v>
      </c>
      <c r="Y188" s="2"/>
    </row>
    <row r="189" spans="1:25" ht="15.75" customHeight="1">
      <c r="A189" s="787">
        <v>14</v>
      </c>
      <c r="B189" s="787" t="s">
        <v>45</v>
      </c>
      <c r="C189" s="787" t="s">
        <v>627</v>
      </c>
      <c r="D189" s="787" t="s">
        <v>25</v>
      </c>
      <c r="E189" s="787" t="s">
        <v>47</v>
      </c>
      <c r="F189" s="787" t="s">
        <v>628</v>
      </c>
      <c r="G189" s="787" t="s">
        <v>71</v>
      </c>
      <c r="H189" s="790" t="s">
        <v>629</v>
      </c>
      <c r="I189" s="790" t="s">
        <v>630</v>
      </c>
      <c r="J189" s="787" t="s">
        <v>66</v>
      </c>
      <c r="K189" s="787" t="s">
        <v>99</v>
      </c>
      <c r="L189" s="796">
        <v>44684</v>
      </c>
      <c r="M189" s="878">
        <v>44644</v>
      </c>
      <c r="N189" s="796">
        <v>44644</v>
      </c>
      <c r="O189" s="796">
        <v>44644</v>
      </c>
      <c r="P189" s="796">
        <v>44645</v>
      </c>
      <c r="Q189" s="787" t="s">
        <v>78</v>
      </c>
      <c r="R189" s="796">
        <v>44658</v>
      </c>
      <c r="S189" s="787">
        <v>22030149</v>
      </c>
      <c r="T189" s="796">
        <v>44672</v>
      </c>
      <c r="U189" s="815">
        <v>381000</v>
      </c>
      <c r="V189" s="14">
        <v>50000</v>
      </c>
      <c r="W189" s="14" t="s">
        <v>290</v>
      </c>
      <c r="X189" s="12">
        <v>44673</v>
      </c>
      <c r="Y189" s="2"/>
    </row>
    <row r="190" spans="1:25" ht="15.75" customHeight="1">
      <c r="A190" s="789"/>
      <c r="B190" s="789"/>
      <c r="C190" s="789"/>
      <c r="D190" s="789"/>
      <c r="E190" s="789"/>
      <c r="F190" s="789"/>
      <c r="G190" s="789"/>
      <c r="H190" s="789"/>
      <c r="I190" s="789"/>
      <c r="J190" s="789"/>
      <c r="K190" s="789"/>
      <c r="L190" s="789"/>
      <c r="M190" s="789"/>
      <c r="N190" s="789"/>
      <c r="O190" s="789"/>
      <c r="P190" s="789"/>
      <c r="Q190" s="789"/>
      <c r="R190" s="789"/>
      <c r="S190" s="789"/>
      <c r="T190" s="789"/>
      <c r="U190" s="815"/>
      <c r="V190" s="14">
        <v>50000</v>
      </c>
      <c r="W190" s="14" t="s">
        <v>59</v>
      </c>
      <c r="X190" s="12">
        <v>44673</v>
      </c>
      <c r="Y190" s="2"/>
    </row>
    <row r="191" spans="1:25" ht="39" customHeight="1">
      <c r="A191" s="13">
        <v>15</v>
      </c>
      <c r="B191" s="13" t="s">
        <v>328</v>
      </c>
      <c r="C191" s="13" t="s">
        <v>631</v>
      </c>
      <c r="D191" s="13" t="s">
        <v>632</v>
      </c>
      <c r="E191" s="13" t="s">
        <v>633</v>
      </c>
      <c r="F191" s="13" t="s">
        <v>634</v>
      </c>
      <c r="G191" s="13" t="s">
        <v>30</v>
      </c>
      <c r="H191" s="16" t="s">
        <v>635</v>
      </c>
      <c r="I191" s="16" t="s">
        <v>636</v>
      </c>
      <c r="J191" s="13" t="s">
        <v>66</v>
      </c>
      <c r="K191" s="13" t="s">
        <v>637</v>
      </c>
      <c r="L191" s="17">
        <v>44837</v>
      </c>
      <c r="M191" s="18" t="s">
        <v>622</v>
      </c>
      <c r="N191" s="17">
        <v>44645</v>
      </c>
      <c r="O191" s="17">
        <v>44645</v>
      </c>
      <c r="P191" s="17">
        <v>44645</v>
      </c>
      <c r="Q191" s="13" t="s">
        <v>36</v>
      </c>
      <c r="R191" s="17">
        <v>44651</v>
      </c>
      <c r="S191" s="13">
        <v>22030191</v>
      </c>
      <c r="T191" s="13" t="s">
        <v>566</v>
      </c>
      <c r="U191" s="19">
        <v>11310000</v>
      </c>
      <c r="V191" s="14">
        <v>12000000</v>
      </c>
      <c r="W191" s="14" t="s">
        <v>59</v>
      </c>
      <c r="X191" s="9" t="s">
        <v>638</v>
      </c>
      <c r="Y191" s="2"/>
    </row>
    <row r="192" spans="1:25" ht="15.75" customHeight="1">
      <c r="A192" s="787">
        <v>16</v>
      </c>
      <c r="B192" s="787" t="s">
        <v>104</v>
      </c>
      <c r="C192" s="787" t="s">
        <v>639</v>
      </c>
      <c r="D192" s="787" t="s">
        <v>25</v>
      </c>
      <c r="E192" s="787" t="s">
        <v>106</v>
      </c>
      <c r="F192" s="787" t="s">
        <v>640</v>
      </c>
      <c r="G192" s="787" t="s">
        <v>71</v>
      </c>
      <c r="H192" s="790" t="s">
        <v>641</v>
      </c>
      <c r="I192" s="790" t="s">
        <v>642</v>
      </c>
      <c r="J192" s="787" t="s">
        <v>643</v>
      </c>
      <c r="K192" s="787" t="s">
        <v>304</v>
      </c>
      <c r="L192" s="796">
        <v>44715</v>
      </c>
      <c r="M192" s="878" t="s">
        <v>644</v>
      </c>
      <c r="N192" s="796">
        <v>44645</v>
      </c>
      <c r="O192" s="796">
        <v>44647</v>
      </c>
      <c r="P192" s="796">
        <v>44648</v>
      </c>
      <c r="Q192" s="787" t="s">
        <v>102</v>
      </c>
      <c r="R192" s="796">
        <v>44665</v>
      </c>
      <c r="S192" s="787">
        <v>22030214</v>
      </c>
      <c r="T192" s="796">
        <v>44838</v>
      </c>
      <c r="U192" s="815">
        <v>361000</v>
      </c>
      <c r="V192" s="14">
        <v>50000</v>
      </c>
      <c r="W192" s="14" t="s">
        <v>290</v>
      </c>
      <c r="X192" s="9" t="s">
        <v>566</v>
      </c>
      <c r="Y192" s="2"/>
    </row>
    <row r="193" spans="1:25" ht="15.75" customHeight="1">
      <c r="A193" s="789"/>
      <c r="B193" s="789"/>
      <c r="C193" s="789"/>
      <c r="D193" s="789"/>
      <c r="E193" s="789"/>
      <c r="F193" s="789"/>
      <c r="G193" s="789"/>
      <c r="H193" s="789"/>
      <c r="I193" s="789"/>
      <c r="J193" s="789"/>
      <c r="K193" s="789"/>
      <c r="L193" s="789"/>
      <c r="M193" s="789"/>
      <c r="N193" s="789"/>
      <c r="O193" s="789"/>
      <c r="P193" s="789"/>
      <c r="Q193" s="789"/>
      <c r="R193" s="789"/>
      <c r="S193" s="789"/>
      <c r="T193" s="789"/>
      <c r="U193" s="815"/>
      <c r="V193" s="14">
        <v>50000</v>
      </c>
      <c r="W193" s="14" t="s">
        <v>59</v>
      </c>
      <c r="X193" s="9" t="s">
        <v>566</v>
      </c>
      <c r="Y193" s="2"/>
    </row>
    <row r="194" spans="1:25" ht="15.75" customHeight="1">
      <c r="A194" s="787">
        <v>17</v>
      </c>
      <c r="B194" s="787" t="s">
        <v>45</v>
      </c>
      <c r="C194" s="787" t="s">
        <v>645</v>
      </c>
      <c r="D194" s="787" t="s">
        <v>25</v>
      </c>
      <c r="E194" s="787" t="s">
        <v>61</v>
      </c>
      <c r="F194" s="787" t="s">
        <v>646</v>
      </c>
      <c r="G194" s="787" t="s">
        <v>71</v>
      </c>
      <c r="H194" s="790" t="s">
        <v>647</v>
      </c>
      <c r="I194" s="790" t="s">
        <v>648</v>
      </c>
      <c r="J194" s="787" t="s">
        <v>66</v>
      </c>
      <c r="K194" s="787" t="s">
        <v>304</v>
      </c>
      <c r="L194" s="796">
        <v>44644</v>
      </c>
      <c r="M194" s="878">
        <v>44650</v>
      </c>
      <c r="N194" s="796">
        <v>44651</v>
      </c>
      <c r="O194" s="796">
        <v>44651</v>
      </c>
      <c r="P194" s="796">
        <v>44652</v>
      </c>
      <c r="Q194" s="787" t="s">
        <v>78</v>
      </c>
      <c r="R194" s="796">
        <v>44673</v>
      </c>
      <c r="S194" s="787" t="s">
        <v>649</v>
      </c>
      <c r="T194" s="787" t="s">
        <v>650</v>
      </c>
      <c r="U194" s="815">
        <v>409300</v>
      </c>
      <c r="V194" s="14">
        <v>50000</v>
      </c>
      <c r="W194" s="14" t="s">
        <v>290</v>
      </c>
      <c r="X194" s="12">
        <v>44568</v>
      </c>
      <c r="Y194" s="2"/>
    </row>
    <row r="195" spans="1:25" ht="15.75" customHeight="1">
      <c r="A195" s="789"/>
      <c r="B195" s="789"/>
      <c r="C195" s="789"/>
      <c r="D195" s="789"/>
      <c r="E195" s="789"/>
      <c r="F195" s="789"/>
      <c r="G195" s="789"/>
      <c r="H195" s="789"/>
      <c r="I195" s="789"/>
      <c r="J195" s="789"/>
      <c r="K195" s="789"/>
      <c r="L195" s="789"/>
      <c r="M195" s="789"/>
      <c r="N195" s="789"/>
      <c r="O195" s="789"/>
      <c r="P195" s="789"/>
      <c r="Q195" s="789"/>
      <c r="R195" s="789"/>
      <c r="S195" s="789"/>
      <c r="T195" s="789"/>
      <c r="U195" s="815"/>
      <c r="V195" s="14">
        <v>50000</v>
      </c>
      <c r="W195" s="14" t="s">
        <v>59</v>
      </c>
      <c r="X195" s="12">
        <v>44568</v>
      </c>
      <c r="Y195" s="2"/>
    </row>
    <row r="196" spans="1:25" ht="19.5" customHeight="1">
      <c r="A196" s="787">
        <v>18</v>
      </c>
      <c r="B196" s="787" t="s">
        <v>45</v>
      </c>
      <c r="C196" s="787" t="s">
        <v>651</v>
      </c>
      <c r="D196" s="787" t="s">
        <v>25</v>
      </c>
      <c r="E196" s="787" t="s">
        <v>652</v>
      </c>
      <c r="F196" s="787" t="s">
        <v>653</v>
      </c>
      <c r="G196" s="787" t="s">
        <v>71</v>
      </c>
      <c r="H196" s="790" t="s">
        <v>654</v>
      </c>
      <c r="I196" s="790" t="s">
        <v>655</v>
      </c>
      <c r="J196" s="787" t="s">
        <v>94</v>
      </c>
      <c r="K196" s="787" t="s">
        <v>99</v>
      </c>
      <c r="L196" s="796">
        <v>44649</v>
      </c>
      <c r="M196" s="878">
        <v>44651</v>
      </c>
      <c r="N196" s="796">
        <v>44651</v>
      </c>
      <c r="O196" s="796">
        <v>44651</v>
      </c>
      <c r="P196" s="796">
        <v>44652</v>
      </c>
      <c r="Q196" s="787" t="s">
        <v>78</v>
      </c>
      <c r="R196" s="796">
        <v>44673</v>
      </c>
      <c r="S196" s="787" t="s">
        <v>656</v>
      </c>
      <c r="T196" s="787" t="s">
        <v>465</v>
      </c>
      <c r="U196" s="815">
        <v>411000</v>
      </c>
      <c r="V196" s="14">
        <v>50000</v>
      </c>
      <c r="W196" s="14" t="s">
        <v>290</v>
      </c>
      <c r="X196" s="12">
        <v>44626</v>
      </c>
      <c r="Y196" s="2"/>
    </row>
    <row r="197" spans="1:25" ht="19.5" customHeight="1">
      <c r="A197" s="789"/>
      <c r="B197" s="789"/>
      <c r="C197" s="789"/>
      <c r="D197" s="789"/>
      <c r="E197" s="789"/>
      <c r="F197" s="789"/>
      <c r="G197" s="789"/>
      <c r="H197" s="789"/>
      <c r="I197" s="789"/>
      <c r="J197" s="789"/>
      <c r="K197" s="789"/>
      <c r="L197" s="789"/>
      <c r="M197" s="789"/>
      <c r="N197" s="789"/>
      <c r="O197" s="789"/>
      <c r="P197" s="789"/>
      <c r="Q197" s="789"/>
      <c r="R197" s="789"/>
      <c r="S197" s="789"/>
      <c r="T197" s="789"/>
      <c r="U197" s="815"/>
      <c r="V197" s="14">
        <v>50000</v>
      </c>
      <c r="W197" s="14" t="s">
        <v>59</v>
      </c>
      <c r="X197" s="12">
        <v>44626</v>
      </c>
      <c r="Y197" s="2"/>
    </row>
    <row r="198" spans="1:25" ht="13.5" customHeight="1">
      <c r="A198" s="807" t="s">
        <v>128</v>
      </c>
      <c r="B198" s="817"/>
      <c r="C198" s="817"/>
      <c r="D198" s="817"/>
      <c r="E198" s="817"/>
      <c r="F198" s="817"/>
      <c r="G198" s="817"/>
      <c r="H198" s="817"/>
      <c r="I198" s="817"/>
      <c r="J198" s="817"/>
      <c r="K198" s="817"/>
      <c r="L198" s="817"/>
      <c r="M198" s="817"/>
      <c r="N198" s="817"/>
      <c r="O198" s="817"/>
      <c r="P198" s="817"/>
      <c r="Q198" s="817"/>
      <c r="R198" s="817"/>
      <c r="S198" s="817"/>
      <c r="T198" s="817"/>
      <c r="U198" s="817"/>
      <c r="V198" s="817"/>
      <c r="W198" s="817"/>
      <c r="X198" s="818"/>
      <c r="Y198" s="2"/>
    </row>
    <row r="199" spans="1:25" ht="27.75" customHeight="1">
      <c r="A199" s="787">
        <v>19</v>
      </c>
      <c r="B199" s="787" t="s">
        <v>45</v>
      </c>
      <c r="C199" s="787" t="s">
        <v>657</v>
      </c>
      <c r="D199" s="787" t="s">
        <v>128</v>
      </c>
      <c r="E199" s="787" t="s">
        <v>658</v>
      </c>
      <c r="F199" s="787" t="s">
        <v>659</v>
      </c>
      <c r="G199" s="787" t="s">
        <v>71</v>
      </c>
      <c r="H199" s="790" t="s">
        <v>660</v>
      </c>
      <c r="I199" s="787">
        <v>163031</v>
      </c>
      <c r="J199" s="787" t="s">
        <v>533</v>
      </c>
      <c r="K199" s="787" t="s">
        <v>661</v>
      </c>
      <c r="L199" s="796">
        <v>44807</v>
      </c>
      <c r="M199" s="878">
        <v>44898</v>
      </c>
      <c r="N199" s="879" t="s">
        <v>662</v>
      </c>
      <c r="O199" s="880"/>
      <c r="P199" s="881"/>
      <c r="Q199" s="787" t="s">
        <v>78</v>
      </c>
      <c r="R199" s="787" t="s">
        <v>40</v>
      </c>
      <c r="S199" s="787" t="s">
        <v>40</v>
      </c>
      <c r="T199" s="796">
        <v>44650</v>
      </c>
      <c r="U199" s="815">
        <v>2851400</v>
      </c>
      <c r="V199" s="14">
        <v>140000</v>
      </c>
      <c r="W199" s="14" t="s">
        <v>290</v>
      </c>
      <c r="X199" s="12">
        <v>44659</v>
      </c>
      <c r="Y199" s="2"/>
    </row>
    <row r="200" spans="1:25" ht="27.75" customHeight="1">
      <c r="A200" s="789"/>
      <c r="B200" s="789"/>
      <c r="C200" s="789"/>
      <c r="D200" s="789"/>
      <c r="E200" s="789"/>
      <c r="F200" s="789"/>
      <c r="G200" s="789"/>
      <c r="H200" s="789"/>
      <c r="I200" s="789"/>
      <c r="J200" s="789"/>
      <c r="K200" s="789"/>
      <c r="L200" s="789"/>
      <c r="M200" s="789"/>
      <c r="N200" s="882"/>
      <c r="O200" s="817"/>
      <c r="P200" s="818"/>
      <c r="Q200" s="789"/>
      <c r="R200" s="789"/>
      <c r="S200" s="789"/>
      <c r="T200" s="789"/>
      <c r="U200" s="815"/>
      <c r="V200" s="14">
        <v>800000</v>
      </c>
      <c r="W200" s="14" t="s">
        <v>59</v>
      </c>
      <c r="X200" s="12">
        <v>44659</v>
      </c>
      <c r="Y200" s="2"/>
    </row>
    <row r="201" spans="1:25" ht="33" customHeight="1">
      <c r="A201" s="9">
        <v>20</v>
      </c>
      <c r="B201" s="9" t="s">
        <v>137</v>
      </c>
      <c r="C201" s="9" t="s">
        <v>663</v>
      </c>
      <c r="D201" s="9" t="s">
        <v>128</v>
      </c>
      <c r="E201" s="9" t="s">
        <v>664</v>
      </c>
      <c r="F201" s="9" t="s">
        <v>665</v>
      </c>
      <c r="G201" s="9" t="s">
        <v>30</v>
      </c>
      <c r="H201" s="10" t="s">
        <v>666</v>
      </c>
      <c r="I201" s="10" t="s">
        <v>667</v>
      </c>
      <c r="J201" s="9" t="s">
        <v>668</v>
      </c>
      <c r="K201" s="9" t="s">
        <v>36</v>
      </c>
      <c r="L201" s="12">
        <v>44647</v>
      </c>
      <c r="M201" s="11">
        <v>44655</v>
      </c>
      <c r="N201" s="846" t="s">
        <v>669</v>
      </c>
      <c r="O201" s="895"/>
      <c r="P201" s="896"/>
      <c r="Q201" s="9" t="s">
        <v>144</v>
      </c>
      <c r="R201" s="12">
        <v>44649</v>
      </c>
      <c r="S201" s="9">
        <v>22030248</v>
      </c>
      <c r="T201" s="12">
        <v>44650</v>
      </c>
      <c r="U201" s="14">
        <v>820500</v>
      </c>
      <c r="V201" s="14">
        <v>560000</v>
      </c>
      <c r="W201" s="14" t="s">
        <v>145</v>
      </c>
      <c r="X201" s="9" t="s">
        <v>670</v>
      </c>
      <c r="Y201" s="2"/>
    </row>
    <row r="202" spans="1:25" ht="17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4"/>
      <c r="M202" s="35"/>
      <c r="N202" s="24"/>
      <c r="O202" s="24"/>
      <c r="P202" s="24"/>
      <c r="Q202" s="22"/>
      <c r="R202" s="24"/>
      <c r="S202" s="22"/>
      <c r="T202" s="25" t="s">
        <v>163</v>
      </c>
      <c r="U202" s="26">
        <f>SUM(U163:U201)</f>
        <v>57896590</v>
      </c>
      <c r="V202" s="26">
        <f>V164+V166+V168+V170+V172+V174+V176+V178+V180+V182+V184+V186+V188+V190+V191+V193+V195+V197+V200</f>
        <v>32575000</v>
      </c>
      <c r="W202" s="29"/>
      <c r="X202" s="22"/>
      <c r="Y202" s="2"/>
    </row>
    <row r="203" spans="1:25" ht="17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4"/>
      <c r="M203" s="35"/>
      <c r="N203" s="24"/>
      <c r="O203" s="24"/>
      <c r="P203" s="24"/>
      <c r="Q203" s="22"/>
      <c r="R203" s="24"/>
      <c r="S203" s="22"/>
      <c r="T203" s="25" t="s">
        <v>544</v>
      </c>
      <c r="U203" s="30">
        <v>30000000</v>
      </c>
      <c r="V203" s="44" t="s">
        <v>278</v>
      </c>
      <c r="W203" s="29"/>
      <c r="X203" s="22"/>
      <c r="Y203" s="2"/>
    </row>
    <row r="204" spans="1:25" ht="17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4"/>
      <c r="M204" s="35"/>
      <c r="N204" s="24"/>
      <c r="O204" s="24"/>
      <c r="P204" s="24"/>
      <c r="Q204" s="22"/>
      <c r="R204" s="24"/>
      <c r="S204" s="22"/>
      <c r="T204" s="25"/>
      <c r="U204" s="26">
        <f>U202-U203</f>
        <v>27896590</v>
      </c>
      <c r="V204" s="44"/>
      <c r="W204" s="29"/>
      <c r="X204" s="22"/>
      <c r="Y204" s="2"/>
    </row>
    <row r="205" spans="1:25" ht="17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4"/>
      <c r="M205" s="35"/>
      <c r="N205" s="24"/>
      <c r="O205" s="24"/>
      <c r="P205" s="24"/>
      <c r="Q205" s="22"/>
      <c r="R205" s="24"/>
      <c r="S205" s="22"/>
      <c r="T205" s="888" t="s">
        <v>165</v>
      </c>
      <c r="U205" s="26">
        <f>U202*10/100</f>
        <v>5789659</v>
      </c>
      <c r="V205" s="42"/>
      <c r="W205" s="29"/>
      <c r="X205" s="22"/>
      <c r="Y205" s="2"/>
    </row>
    <row r="206" spans="1:25" ht="17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4"/>
      <c r="M206" s="35"/>
      <c r="N206" s="24"/>
      <c r="O206" s="24"/>
      <c r="P206" s="24"/>
      <c r="Q206" s="22"/>
      <c r="R206" s="24"/>
      <c r="S206" s="22"/>
      <c r="T206" s="889"/>
      <c r="U206" s="30">
        <f>U204*5/100</f>
        <v>1394829.5</v>
      </c>
      <c r="V206" s="42" t="s">
        <v>282</v>
      </c>
      <c r="W206" s="29"/>
      <c r="X206" s="22"/>
      <c r="Y206" s="2"/>
    </row>
    <row r="207" spans="1:25" ht="17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4"/>
      <c r="M207" s="35"/>
      <c r="N207" s="24"/>
      <c r="O207" s="24"/>
      <c r="P207" s="24"/>
      <c r="Q207" s="22"/>
      <c r="R207" s="24"/>
      <c r="S207" s="22"/>
      <c r="T207" s="42"/>
      <c r="U207" s="45">
        <f>U205+U206</f>
        <v>7184488.5</v>
      </c>
      <c r="V207" s="42"/>
      <c r="W207" s="29"/>
      <c r="X207" s="22"/>
      <c r="Y207" s="2"/>
    </row>
    <row r="208" spans="1:25" ht="15.75" customHeight="1">
      <c r="A208" s="886" t="s">
        <v>671</v>
      </c>
      <c r="B208" s="887"/>
      <c r="C208" s="887"/>
      <c r="D208" s="887"/>
      <c r="E208" s="887"/>
      <c r="F208" s="887"/>
      <c r="G208" s="887"/>
      <c r="H208" s="887"/>
      <c r="I208" s="887"/>
      <c r="J208" s="887"/>
      <c r="K208" s="887"/>
      <c r="L208" s="887"/>
      <c r="M208" s="887"/>
      <c r="N208" s="887"/>
      <c r="O208" s="887"/>
      <c r="P208" s="887"/>
      <c r="Q208" s="887"/>
      <c r="R208" s="887"/>
      <c r="S208" s="887"/>
      <c r="T208" s="887"/>
      <c r="U208" s="887"/>
      <c r="V208" s="887"/>
      <c r="W208" s="887"/>
      <c r="X208" s="887"/>
      <c r="Y208" s="2"/>
    </row>
    <row r="209" spans="1:25" ht="15.75" customHeight="1">
      <c r="A209" s="3" t="s">
        <v>1</v>
      </c>
      <c r="B209" s="4" t="s">
        <v>2</v>
      </c>
      <c r="C209" s="5" t="s">
        <v>3</v>
      </c>
      <c r="D209" s="5" t="s">
        <v>4</v>
      </c>
      <c r="E209" s="5" t="s">
        <v>5</v>
      </c>
      <c r="F209" s="5" t="s">
        <v>6</v>
      </c>
      <c r="G209" s="5" t="s">
        <v>7</v>
      </c>
      <c r="H209" s="5" t="s">
        <v>167</v>
      </c>
      <c r="I209" s="5" t="s">
        <v>9</v>
      </c>
      <c r="J209" s="5" t="s">
        <v>10</v>
      </c>
      <c r="K209" s="5" t="s">
        <v>11</v>
      </c>
      <c r="L209" s="5" t="s">
        <v>12</v>
      </c>
      <c r="M209" s="6" t="s">
        <v>13</v>
      </c>
      <c r="N209" s="5" t="s">
        <v>14</v>
      </c>
      <c r="O209" s="5" t="s">
        <v>15</v>
      </c>
      <c r="P209" s="5" t="s">
        <v>16</v>
      </c>
      <c r="Q209" s="7" t="s">
        <v>17</v>
      </c>
      <c r="R209" s="8" t="s">
        <v>18</v>
      </c>
      <c r="S209" s="8" t="s">
        <v>19</v>
      </c>
      <c r="T209" s="8" t="s">
        <v>20</v>
      </c>
      <c r="U209" s="5" t="s">
        <v>21</v>
      </c>
      <c r="V209" s="5" t="s">
        <v>22</v>
      </c>
      <c r="W209" s="5" t="s">
        <v>23</v>
      </c>
      <c r="X209" s="5" t="s">
        <v>24</v>
      </c>
      <c r="Y209" s="2"/>
    </row>
    <row r="210" spans="1:25" ht="15.75" customHeight="1">
      <c r="A210" s="807" t="s">
        <v>25</v>
      </c>
      <c r="B210" s="817"/>
      <c r="C210" s="817"/>
      <c r="D210" s="817"/>
      <c r="E210" s="817"/>
      <c r="F210" s="817"/>
      <c r="G210" s="817"/>
      <c r="H210" s="817"/>
      <c r="I210" s="817"/>
      <c r="J210" s="817"/>
      <c r="K210" s="817"/>
      <c r="L210" s="817"/>
      <c r="M210" s="817"/>
      <c r="N210" s="817"/>
      <c r="O210" s="817"/>
      <c r="P210" s="817"/>
      <c r="Q210" s="817"/>
      <c r="R210" s="817"/>
      <c r="S210" s="817"/>
      <c r="T210" s="817"/>
      <c r="U210" s="817"/>
      <c r="V210" s="817"/>
      <c r="W210" s="817"/>
      <c r="X210" s="818"/>
      <c r="Y210" s="2"/>
    </row>
    <row r="211" spans="1:25" ht="39" customHeight="1">
      <c r="A211" s="13">
        <v>1</v>
      </c>
      <c r="B211" s="13" t="s">
        <v>328</v>
      </c>
      <c r="C211" s="13" t="s">
        <v>672</v>
      </c>
      <c r="D211" s="13" t="s">
        <v>673</v>
      </c>
      <c r="E211" s="13" t="s">
        <v>674</v>
      </c>
      <c r="F211" s="13" t="s">
        <v>675</v>
      </c>
      <c r="G211" s="13" t="s">
        <v>30</v>
      </c>
      <c r="H211" s="16" t="s">
        <v>676</v>
      </c>
      <c r="I211" s="16" t="s">
        <v>40</v>
      </c>
      <c r="J211" s="13" t="s">
        <v>643</v>
      </c>
      <c r="K211" s="13" t="s">
        <v>40</v>
      </c>
      <c r="L211" s="17">
        <v>44631</v>
      </c>
      <c r="M211" s="18">
        <v>44652</v>
      </c>
      <c r="N211" s="17" t="s">
        <v>40</v>
      </c>
      <c r="O211" s="17" t="s">
        <v>40</v>
      </c>
      <c r="P211" s="17" t="s">
        <v>40</v>
      </c>
      <c r="Q211" s="13" t="s">
        <v>677</v>
      </c>
      <c r="R211" s="17">
        <v>44660</v>
      </c>
      <c r="S211" s="13">
        <v>100921</v>
      </c>
      <c r="T211" s="13" t="s">
        <v>678</v>
      </c>
      <c r="U211" s="19">
        <v>20750000</v>
      </c>
      <c r="V211" s="14">
        <v>18000000</v>
      </c>
      <c r="W211" s="14" t="s">
        <v>59</v>
      </c>
      <c r="X211" s="9" t="s">
        <v>465</v>
      </c>
      <c r="Y211" s="2"/>
    </row>
    <row r="212" spans="1:25" ht="29.25" customHeight="1">
      <c r="A212" s="787">
        <v>2</v>
      </c>
      <c r="B212" s="787" t="s">
        <v>45</v>
      </c>
      <c r="C212" s="787" t="s">
        <v>679</v>
      </c>
      <c r="D212" s="787" t="s">
        <v>25</v>
      </c>
      <c r="E212" s="787" t="s">
        <v>69</v>
      </c>
      <c r="F212" s="787" t="s">
        <v>680</v>
      </c>
      <c r="G212" s="787" t="s">
        <v>63</v>
      </c>
      <c r="H212" s="790" t="s">
        <v>681</v>
      </c>
      <c r="I212" s="790" t="s">
        <v>682</v>
      </c>
      <c r="J212" s="787" t="s">
        <v>200</v>
      </c>
      <c r="K212" s="787" t="s">
        <v>304</v>
      </c>
      <c r="L212" s="796">
        <v>44642</v>
      </c>
      <c r="M212" s="878">
        <v>44652</v>
      </c>
      <c r="N212" s="796">
        <v>44655</v>
      </c>
      <c r="O212" s="796">
        <v>44655</v>
      </c>
      <c r="P212" s="796">
        <v>44656</v>
      </c>
      <c r="Q212" s="787" t="s">
        <v>55</v>
      </c>
      <c r="R212" s="796">
        <v>44673</v>
      </c>
      <c r="S212" s="787" t="s">
        <v>683</v>
      </c>
      <c r="T212" s="787" t="s">
        <v>465</v>
      </c>
      <c r="U212" s="815">
        <v>711000</v>
      </c>
      <c r="V212" s="14">
        <v>50000</v>
      </c>
      <c r="W212" s="14" t="s">
        <v>290</v>
      </c>
      <c r="X212" s="12">
        <v>44626</v>
      </c>
      <c r="Y212" s="2"/>
    </row>
    <row r="213" spans="1:25" ht="29.25" customHeight="1">
      <c r="A213" s="789"/>
      <c r="B213" s="789"/>
      <c r="C213" s="789"/>
      <c r="D213" s="789"/>
      <c r="E213" s="789"/>
      <c r="F213" s="789"/>
      <c r="G213" s="789"/>
      <c r="H213" s="789"/>
      <c r="I213" s="789"/>
      <c r="J213" s="789"/>
      <c r="K213" s="789"/>
      <c r="L213" s="789"/>
      <c r="M213" s="789"/>
      <c r="N213" s="789"/>
      <c r="O213" s="789"/>
      <c r="P213" s="789"/>
      <c r="Q213" s="789"/>
      <c r="R213" s="789"/>
      <c r="S213" s="789"/>
      <c r="T213" s="789"/>
      <c r="U213" s="815"/>
      <c r="V213" s="14">
        <v>100000</v>
      </c>
      <c r="W213" s="14" t="s">
        <v>59</v>
      </c>
      <c r="X213" s="12">
        <v>44626</v>
      </c>
      <c r="Y213" s="2"/>
    </row>
    <row r="214" spans="1:25" ht="36" customHeight="1">
      <c r="A214" s="787">
        <v>3</v>
      </c>
      <c r="B214" s="787" t="s">
        <v>104</v>
      </c>
      <c r="C214" s="787" t="s">
        <v>684</v>
      </c>
      <c r="D214" s="787" t="s">
        <v>25</v>
      </c>
      <c r="E214" s="787" t="s">
        <v>190</v>
      </c>
      <c r="F214" s="787" t="s">
        <v>685</v>
      </c>
      <c r="G214" s="787" t="s">
        <v>71</v>
      </c>
      <c r="H214" s="790" t="s">
        <v>686</v>
      </c>
      <c r="I214" s="790" t="s">
        <v>687</v>
      </c>
      <c r="J214" s="787" t="s">
        <v>688</v>
      </c>
      <c r="K214" s="787" t="s">
        <v>194</v>
      </c>
      <c r="L214" s="796">
        <v>44627</v>
      </c>
      <c r="M214" s="878">
        <v>44655</v>
      </c>
      <c r="N214" s="796">
        <v>44655</v>
      </c>
      <c r="O214" s="796">
        <v>44656</v>
      </c>
      <c r="P214" s="796">
        <v>44656</v>
      </c>
      <c r="Q214" s="787" t="s">
        <v>689</v>
      </c>
      <c r="R214" s="796">
        <v>44665</v>
      </c>
      <c r="S214" s="787">
        <v>100940</v>
      </c>
      <c r="T214" s="796">
        <v>44839</v>
      </c>
      <c r="U214" s="815">
        <v>361000</v>
      </c>
      <c r="V214" s="14">
        <v>50000</v>
      </c>
      <c r="W214" s="14" t="s">
        <v>290</v>
      </c>
      <c r="X214" s="9" t="s">
        <v>566</v>
      </c>
      <c r="Y214" s="2"/>
    </row>
    <row r="215" spans="1:25" ht="36" customHeight="1">
      <c r="A215" s="789"/>
      <c r="B215" s="789"/>
      <c r="C215" s="789"/>
      <c r="D215" s="789"/>
      <c r="E215" s="789"/>
      <c r="F215" s="789"/>
      <c r="G215" s="789"/>
      <c r="H215" s="789"/>
      <c r="I215" s="789"/>
      <c r="J215" s="789"/>
      <c r="K215" s="789"/>
      <c r="L215" s="789"/>
      <c r="M215" s="789"/>
      <c r="N215" s="789"/>
      <c r="O215" s="789"/>
      <c r="P215" s="789"/>
      <c r="Q215" s="789"/>
      <c r="R215" s="789"/>
      <c r="S215" s="789"/>
      <c r="T215" s="789"/>
      <c r="U215" s="815"/>
      <c r="V215" s="14">
        <v>50000</v>
      </c>
      <c r="W215" s="14" t="s">
        <v>59</v>
      </c>
      <c r="X215" s="9" t="s">
        <v>566</v>
      </c>
      <c r="Y215" s="2"/>
    </row>
    <row r="216" spans="1:25" ht="24" customHeight="1">
      <c r="A216" s="787">
        <v>4</v>
      </c>
      <c r="B216" s="787" t="s">
        <v>45</v>
      </c>
      <c r="C216" s="787" t="s">
        <v>690</v>
      </c>
      <c r="D216" s="787" t="s">
        <v>25</v>
      </c>
      <c r="E216" s="787" t="s">
        <v>691</v>
      </c>
      <c r="F216" s="787" t="s">
        <v>692</v>
      </c>
      <c r="G216" s="787" t="s">
        <v>30</v>
      </c>
      <c r="H216" s="790" t="s">
        <v>693</v>
      </c>
      <c r="I216" s="790" t="s">
        <v>694</v>
      </c>
      <c r="J216" s="787" t="s">
        <v>296</v>
      </c>
      <c r="K216" s="787" t="s">
        <v>695</v>
      </c>
      <c r="L216" s="796">
        <v>44649</v>
      </c>
      <c r="M216" s="878">
        <v>44659</v>
      </c>
      <c r="N216" s="796">
        <v>44662</v>
      </c>
      <c r="O216" s="796">
        <v>44665</v>
      </c>
      <c r="P216" s="796">
        <v>44665</v>
      </c>
      <c r="Q216" s="787" t="s">
        <v>151</v>
      </c>
      <c r="R216" s="787" t="s">
        <v>696</v>
      </c>
      <c r="S216" s="787" t="s">
        <v>697</v>
      </c>
      <c r="T216" s="796">
        <v>44810</v>
      </c>
      <c r="U216" s="815">
        <v>4705240</v>
      </c>
      <c r="V216" s="14">
        <v>50000</v>
      </c>
      <c r="W216" s="14" t="s">
        <v>290</v>
      </c>
      <c r="X216" s="9" t="s">
        <v>40</v>
      </c>
      <c r="Y216" s="2"/>
    </row>
    <row r="217" spans="1:25" ht="24" customHeight="1">
      <c r="A217" s="789"/>
      <c r="B217" s="789"/>
      <c r="C217" s="789"/>
      <c r="D217" s="789"/>
      <c r="E217" s="789"/>
      <c r="F217" s="789"/>
      <c r="G217" s="789"/>
      <c r="H217" s="789"/>
      <c r="I217" s="789"/>
      <c r="J217" s="789"/>
      <c r="K217" s="789"/>
      <c r="L217" s="789"/>
      <c r="M217" s="789"/>
      <c r="N217" s="789"/>
      <c r="O217" s="789"/>
      <c r="P217" s="789"/>
      <c r="Q217" s="789"/>
      <c r="R217" s="789"/>
      <c r="S217" s="789"/>
      <c r="T217" s="789"/>
      <c r="U217" s="816"/>
      <c r="V217" s="14">
        <v>600000</v>
      </c>
      <c r="W217" s="14" t="s">
        <v>59</v>
      </c>
      <c r="X217" s="9" t="s">
        <v>40</v>
      </c>
      <c r="Y217" s="2"/>
    </row>
    <row r="218" spans="1:25" ht="39" customHeight="1">
      <c r="A218" s="9">
        <v>5</v>
      </c>
      <c r="B218" s="9" t="s">
        <v>698</v>
      </c>
      <c r="C218" s="9" t="s">
        <v>699</v>
      </c>
      <c r="D218" s="9" t="s">
        <v>700</v>
      </c>
      <c r="E218" s="9" t="s">
        <v>701</v>
      </c>
      <c r="F218" s="9" t="s">
        <v>702</v>
      </c>
      <c r="G218" s="9" t="s">
        <v>30</v>
      </c>
      <c r="H218" s="16" t="s">
        <v>703</v>
      </c>
      <c r="I218" s="10" t="s">
        <v>40</v>
      </c>
      <c r="J218" s="9" t="s">
        <v>704</v>
      </c>
      <c r="K218" s="9" t="s">
        <v>40</v>
      </c>
      <c r="L218" s="12">
        <v>44654</v>
      </c>
      <c r="M218" s="11">
        <v>44657</v>
      </c>
      <c r="N218" s="12" t="s">
        <v>40</v>
      </c>
      <c r="O218" s="12" t="s">
        <v>40</v>
      </c>
      <c r="P218" s="12" t="s">
        <v>40</v>
      </c>
      <c r="Q218" s="9" t="s">
        <v>705</v>
      </c>
      <c r="R218" s="12">
        <v>44660</v>
      </c>
      <c r="S218" s="9">
        <v>100914</v>
      </c>
      <c r="T218" s="12">
        <v>44662</v>
      </c>
      <c r="U218" s="14">
        <v>880801.2</v>
      </c>
      <c r="V218" s="14" t="s">
        <v>40</v>
      </c>
      <c r="W218" s="14" t="s">
        <v>40</v>
      </c>
      <c r="X218" s="9" t="s">
        <v>40</v>
      </c>
      <c r="Y218" s="2"/>
    </row>
    <row r="219" spans="1:25" ht="38.25" customHeight="1">
      <c r="A219" s="787">
        <v>6</v>
      </c>
      <c r="B219" s="787" t="s">
        <v>45</v>
      </c>
      <c r="C219" s="787" t="s">
        <v>706</v>
      </c>
      <c r="D219" s="787" t="s">
        <v>25</v>
      </c>
      <c r="E219" s="787" t="s">
        <v>707</v>
      </c>
      <c r="F219" s="787" t="s">
        <v>708</v>
      </c>
      <c r="G219" s="787" t="s">
        <v>71</v>
      </c>
      <c r="H219" s="790" t="s">
        <v>709</v>
      </c>
      <c r="I219" s="790" t="s">
        <v>710</v>
      </c>
      <c r="J219" s="787" t="s">
        <v>66</v>
      </c>
      <c r="K219" s="787" t="s">
        <v>304</v>
      </c>
      <c r="L219" s="796">
        <v>44653</v>
      </c>
      <c r="M219" s="878">
        <v>44665</v>
      </c>
      <c r="N219" s="796">
        <v>44669</v>
      </c>
      <c r="O219" s="796">
        <v>44670</v>
      </c>
      <c r="P219" s="796">
        <v>44671</v>
      </c>
      <c r="Q219" s="787" t="s">
        <v>711</v>
      </c>
      <c r="R219" s="787" t="s">
        <v>712</v>
      </c>
      <c r="S219" s="787" t="s">
        <v>713</v>
      </c>
      <c r="T219" s="787" t="s">
        <v>465</v>
      </c>
      <c r="U219" s="815">
        <v>5911000</v>
      </c>
      <c r="V219" s="14">
        <v>1470000</v>
      </c>
      <c r="W219" s="14" t="s">
        <v>290</v>
      </c>
      <c r="X219" s="12">
        <v>44626</v>
      </c>
      <c r="Y219" s="2"/>
    </row>
    <row r="220" spans="1:25" ht="38.25" customHeight="1">
      <c r="A220" s="789"/>
      <c r="B220" s="789"/>
      <c r="C220" s="789"/>
      <c r="D220" s="789"/>
      <c r="E220" s="789"/>
      <c r="F220" s="789"/>
      <c r="G220" s="789"/>
      <c r="H220" s="789"/>
      <c r="I220" s="789"/>
      <c r="J220" s="789"/>
      <c r="K220" s="789"/>
      <c r="L220" s="789"/>
      <c r="M220" s="789"/>
      <c r="N220" s="789"/>
      <c r="O220" s="789"/>
      <c r="P220" s="789"/>
      <c r="Q220" s="789"/>
      <c r="R220" s="789"/>
      <c r="S220" s="789"/>
      <c r="T220" s="789"/>
      <c r="U220" s="815"/>
      <c r="V220" s="14">
        <v>3000000</v>
      </c>
      <c r="W220" s="14" t="s">
        <v>59</v>
      </c>
      <c r="X220" s="12">
        <v>44626</v>
      </c>
      <c r="Y220" s="2"/>
    </row>
    <row r="221" spans="1:25" ht="15.75" customHeight="1">
      <c r="A221" s="787">
        <v>7</v>
      </c>
      <c r="B221" s="787" t="s">
        <v>45</v>
      </c>
      <c r="C221" s="787" t="s">
        <v>714</v>
      </c>
      <c r="D221" s="787" t="s">
        <v>25</v>
      </c>
      <c r="E221" s="787" t="s">
        <v>715</v>
      </c>
      <c r="F221" s="787" t="s">
        <v>716</v>
      </c>
      <c r="G221" s="787" t="s">
        <v>71</v>
      </c>
      <c r="H221" s="790" t="s">
        <v>717</v>
      </c>
      <c r="I221" s="790" t="s">
        <v>718</v>
      </c>
      <c r="J221" s="787" t="s">
        <v>719</v>
      </c>
      <c r="K221" s="787" t="s">
        <v>304</v>
      </c>
      <c r="L221" s="796">
        <v>44648</v>
      </c>
      <c r="M221" s="878">
        <v>44675</v>
      </c>
      <c r="N221" s="796">
        <v>44676</v>
      </c>
      <c r="O221" s="796">
        <v>44677</v>
      </c>
      <c r="P221" s="796">
        <v>44678</v>
      </c>
      <c r="Q221" s="787" t="s">
        <v>720</v>
      </c>
      <c r="R221" s="787" t="s">
        <v>696</v>
      </c>
      <c r="S221" s="787" t="s">
        <v>721</v>
      </c>
      <c r="T221" s="796">
        <v>44810</v>
      </c>
      <c r="U221" s="815">
        <v>9827500</v>
      </c>
      <c r="V221" s="14">
        <v>140000</v>
      </c>
      <c r="W221" s="14" t="s">
        <v>290</v>
      </c>
      <c r="X221" s="9" t="s">
        <v>722</v>
      </c>
      <c r="Y221" s="2"/>
    </row>
    <row r="222" spans="1:25" ht="15.75" customHeight="1">
      <c r="A222" s="789"/>
      <c r="B222" s="789"/>
      <c r="C222" s="789"/>
      <c r="D222" s="789"/>
      <c r="E222" s="789"/>
      <c r="F222" s="789"/>
      <c r="G222" s="789"/>
      <c r="H222" s="789"/>
      <c r="I222" s="789"/>
      <c r="J222" s="789"/>
      <c r="K222" s="789"/>
      <c r="L222" s="789"/>
      <c r="M222" s="789"/>
      <c r="N222" s="789"/>
      <c r="O222" s="789"/>
      <c r="P222" s="789"/>
      <c r="Q222" s="789"/>
      <c r="R222" s="789"/>
      <c r="S222" s="789"/>
      <c r="T222" s="789"/>
      <c r="U222" s="815"/>
      <c r="V222" s="14">
        <v>1500000</v>
      </c>
      <c r="W222" s="14" t="s">
        <v>59</v>
      </c>
      <c r="X222" s="9" t="s">
        <v>722</v>
      </c>
      <c r="Y222" s="2"/>
    </row>
    <row r="223" spans="1:25" ht="31.5" customHeight="1">
      <c r="A223" s="787">
        <v>8</v>
      </c>
      <c r="B223" s="787" t="s">
        <v>45</v>
      </c>
      <c r="C223" s="787" t="s">
        <v>723</v>
      </c>
      <c r="D223" s="787" t="s">
        <v>25</v>
      </c>
      <c r="E223" s="787" t="s">
        <v>47</v>
      </c>
      <c r="F223" s="787" t="s">
        <v>724</v>
      </c>
      <c r="G223" s="787" t="s">
        <v>560</v>
      </c>
      <c r="H223" s="790" t="s">
        <v>725</v>
      </c>
      <c r="I223" s="790" t="s">
        <v>726</v>
      </c>
      <c r="J223" s="787" t="s">
        <v>52</v>
      </c>
      <c r="K223" s="787" t="s">
        <v>201</v>
      </c>
      <c r="L223" s="796">
        <v>44658</v>
      </c>
      <c r="M223" s="878">
        <v>44667</v>
      </c>
      <c r="N223" s="796">
        <v>44669</v>
      </c>
      <c r="O223" s="796">
        <v>44670</v>
      </c>
      <c r="P223" s="796">
        <v>44612</v>
      </c>
      <c r="Q223" s="787" t="s">
        <v>711</v>
      </c>
      <c r="R223" s="796">
        <v>44690</v>
      </c>
      <c r="S223" s="787" t="s">
        <v>727</v>
      </c>
      <c r="T223" s="787" t="s">
        <v>465</v>
      </c>
      <c r="U223" s="815">
        <v>1111000</v>
      </c>
      <c r="V223" s="14">
        <v>50000</v>
      </c>
      <c r="W223" s="14" t="s">
        <v>290</v>
      </c>
      <c r="X223" s="12">
        <v>44626</v>
      </c>
      <c r="Y223" s="2"/>
    </row>
    <row r="224" spans="1:25" ht="31.5" customHeight="1">
      <c r="A224" s="789"/>
      <c r="B224" s="789"/>
      <c r="C224" s="789"/>
      <c r="D224" s="789"/>
      <c r="E224" s="789"/>
      <c r="F224" s="789"/>
      <c r="G224" s="789"/>
      <c r="H224" s="789"/>
      <c r="I224" s="789"/>
      <c r="J224" s="789"/>
      <c r="K224" s="789"/>
      <c r="L224" s="789"/>
      <c r="M224" s="789"/>
      <c r="N224" s="789"/>
      <c r="O224" s="789"/>
      <c r="P224" s="789"/>
      <c r="Q224" s="789"/>
      <c r="R224" s="789"/>
      <c r="S224" s="789"/>
      <c r="T224" s="789"/>
      <c r="U224" s="815"/>
      <c r="V224" s="14">
        <v>200000</v>
      </c>
      <c r="W224" s="14" t="s">
        <v>59</v>
      </c>
      <c r="X224" s="12">
        <v>44626</v>
      </c>
      <c r="Y224" s="2"/>
    </row>
    <row r="225" spans="1:25" ht="38.25" customHeight="1">
      <c r="A225" s="787">
        <v>9</v>
      </c>
      <c r="B225" s="787" t="s">
        <v>45</v>
      </c>
      <c r="C225" s="787" t="s">
        <v>728</v>
      </c>
      <c r="D225" s="787" t="s">
        <v>25</v>
      </c>
      <c r="E225" s="787" t="s">
        <v>729</v>
      </c>
      <c r="F225" s="787" t="s">
        <v>730</v>
      </c>
      <c r="G225" s="787" t="s">
        <v>49</v>
      </c>
      <c r="H225" s="790" t="s">
        <v>731</v>
      </c>
      <c r="I225" s="790" t="s">
        <v>732</v>
      </c>
      <c r="J225" s="787" t="s">
        <v>303</v>
      </c>
      <c r="K225" s="787" t="s">
        <v>304</v>
      </c>
      <c r="L225" s="796">
        <v>44639</v>
      </c>
      <c r="M225" s="878">
        <v>44672</v>
      </c>
      <c r="N225" s="796">
        <v>44672</v>
      </c>
      <c r="O225" s="796">
        <v>44672</v>
      </c>
      <c r="P225" s="796">
        <v>44673</v>
      </c>
      <c r="Q225" s="787" t="s">
        <v>55</v>
      </c>
      <c r="R225" s="796">
        <v>44693</v>
      </c>
      <c r="S225" s="787" t="s">
        <v>733</v>
      </c>
      <c r="T225" s="787" t="s">
        <v>465</v>
      </c>
      <c r="U225" s="815">
        <v>1011010</v>
      </c>
      <c r="V225" s="14">
        <v>50000</v>
      </c>
      <c r="W225" s="14" t="s">
        <v>290</v>
      </c>
      <c r="X225" s="12">
        <v>44626</v>
      </c>
      <c r="Y225" s="2"/>
    </row>
    <row r="226" spans="1:25" ht="38.25" customHeight="1">
      <c r="A226" s="789"/>
      <c r="B226" s="789"/>
      <c r="C226" s="789"/>
      <c r="D226" s="789"/>
      <c r="E226" s="789"/>
      <c r="F226" s="789"/>
      <c r="G226" s="789"/>
      <c r="H226" s="789"/>
      <c r="I226" s="789"/>
      <c r="J226" s="789"/>
      <c r="K226" s="789"/>
      <c r="L226" s="789"/>
      <c r="M226" s="789"/>
      <c r="N226" s="789"/>
      <c r="O226" s="789"/>
      <c r="P226" s="789"/>
      <c r="Q226" s="789"/>
      <c r="R226" s="789"/>
      <c r="S226" s="789"/>
      <c r="T226" s="789"/>
      <c r="U226" s="815"/>
      <c r="V226" s="14">
        <v>150000</v>
      </c>
      <c r="W226" s="14" t="s">
        <v>59</v>
      </c>
      <c r="X226" s="12">
        <v>44626</v>
      </c>
      <c r="Y226" s="2"/>
    </row>
    <row r="227" spans="1:25" ht="36" customHeight="1">
      <c r="A227" s="787">
        <v>10</v>
      </c>
      <c r="B227" s="787" t="s">
        <v>104</v>
      </c>
      <c r="C227" s="787" t="s">
        <v>734</v>
      </c>
      <c r="D227" s="787" t="s">
        <v>25</v>
      </c>
      <c r="E227" s="787" t="s">
        <v>190</v>
      </c>
      <c r="F227" s="787" t="s">
        <v>735</v>
      </c>
      <c r="G227" s="787" t="s">
        <v>71</v>
      </c>
      <c r="H227" s="790" t="s">
        <v>736</v>
      </c>
      <c r="I227" s="885" t="s">
        <v>737</v>
      </c>
      <c r="J227" s="787" t="s">
        <v>688</v>
      </c>
      <c r="K227" s="787" t="s">
        <v>194</v>
      </c>
      <c r="L227" s="796">
        <v>44650</v>
      </c>
      <c r="M227" s="878">
        <v>44674</v>
      </c>
      <c r="N227" s="796">
        <v>44673</v>
      </c>
      <c r="O227" s="796">
        <v>44675</v>
      </c>
      <c r="P227" s="796">
        <v>44676</v>
      </c>
      <c r="Q227" s="787" t="s">
        <v>78</v>
      </c>
      <c r="R227" s="787" t="s">
        <v>555</v>
      </c>
      <c r="S227" s="787" t="s">
        <v>738</v>
      </c>
      <c r="T227" s="787" t="s">
        <v>519</v>
      </c>
      <c r="U227" s="815">
        <v>411700</v>
      </c>
      <c r="V227" s="14">
        <v>50000</v>
      </c>
      <c r="W227" s="14" t="s">
        <v>290</v>
      </c>
      <c r="X227" s="9" t="s">
        <v>465</v>
      </c>
      <c r="Y227" s="2"/>
    </row>
    <row r="228" spans="1:25" ht="36" customHeight="1">
      <c r="A228" s="789"/>
      <c r="B228" s="789"/>
      <c r="C228" s="789"/>
      <c r="D228" s="789"/>
      <c r="E228" s="789"/>
      <c r="F228" s="789"/>
      <c r="G228" s="789"/>
      <c r="H228" s="789"/>
      <c r="I228" s="789"/>
      <c r="J228" s="789"/>
      <c r="K228" s="789"/>
      <c r="L228" s="789"/>
      <c r="M228" s="789"/>
      <c r="N228" s="789"/>
      <c r="O228" s="789"/>
      <c r="P228" s="789"/>
      <c r="Q228" s="789"/>
      <c r="R228" s="789"/>
      <c r="S228" s="789"/>
      <c r="T228" s="789"/>
      <c r="U228" s="815"/>
      <c r="V228" s="14">
        <v>50000</v>
      </c>
      <c r="W228" s="14" t="s">
        <v>59</v>
      </c>
      <c r="X228" s="9" t="s">
        <v>465</v>
      </c>
      <c r="Y228" s="2"/>
    </row>
    <row r="229" spans="1:25" ht="39" customHeight="1">
      <c r="A229" s="13">
        <v>11</v>
      </c>
      <c r="B229" s="13" t="s">
        <v>328</v>
      </c>
      <c r="C229" s="13" t="s">
        <v>739</v>
      </c>
      <c r="D229" s="13" t="s">
        <v>25</v>
      </c>
      <c r="E229" s="13" t="s">
        <v>740</v>
      </c>
      <c r="F229" s="13" t="s">
        <v>741</v>
      </c>
      <c r="G229" s="13" t="s">
        <v>30</v>
      </c>
      <c r="H229" s="16" t="s">
        <v>742</v>
      </c>
      <c r="I229" s="16" t="s">
        <v>743</v>
      </c>
      <c r="J229" s="13" t="s">
        <v>74</v>
      </c>
      <c r="K229" s="13" t="s">
        <v>376</v>
      </c>
      <c r="L229" s="17">
        <v>44665</v>
      </c>
      <c r="M229" s="18">
        <v>44672</v>
      </c>
      <c r="N229" s="17" t="s">
        <v>744</v>
      </c>
      <c r="O229" s="12" t="s">
        <v>745</v>
      </c>
      <c r="P229" s="12" t="s">
        <v>745</v>
      </c>
      <c r="Q229" s="9" t="s">
        <v>151</v>
      </c>
      <c r="R229" s="12" t="s">
        <v>746</v>
      </c>
      <c r="S229" s="9" t="s">
        <v>747</v>
      </c>
      <c r="T229" s="9" t="s">
        <v>748</v>
      </c>
      <c r="U229" s="14">
        <v>1272000</v>
      </c>
      <c r="V229" s="14">
        <v>500000</v>
      </c>
      <c r="W229" s="14" t="s">
        <v>59</v>
      </c>
      <c r="X229" s="12">
        <v>44568</v>
      </c>
      <c r="Y229" s="46"/>
    </row>
    <row r="230" spans="1:25" ht="32.25" customHeight="1">
      <c r="A230" s="47">
        <v>12</v>
      </c>
      <c r="B230" s="13" t="s">
        <v>749</v>
      </c>
      <c r="C230" s="13" t="s">
        <v>750</v>
      </c>
      <c r="D230" s="13" t="s">
        <v>25</v>
      </c>
      <c r="E230" s="13" t="s">
        <v>182</v>
      </c>
      <c r="F230" s="13" t="s">
        <v>751</v>
      </c>
      <c r="G230" s="13" t="s">
        <v>71</v>
      </c>
      <c r="H230" s="16" t="s">
        <v>752</v>
      </c>
      <c r="I230" s="16" t="s">
        <v>753</v>
      </c>
      <c r="J230" s="13" t="s">
        <v>754</v>
      </c>
      <c r="K230" s="13" t="s">
        <v>194</v>
      </c>
      <c r="L230" s="17">
        <v>44628</v>
      </c>
      <c r="M230" s="18">
        <v>44680</v>
      </c>
      <c r="N230" s="17" t="s">
        <v>755</v>
      </c>
      <c r="O230" s="12" t="s">
        <v>755</v>
      </c>
      <c r="P230" s="12" t="s">
        <v>755</v>
      </c>
      <c r="Q230" s="9" t="s">
        <v>756</v>
      </c>
      <c r="R230" s="9" t="s">
        <v>757</v>
      </c>
      <c r="S230" s="9" t="s">
        <v>758</v>
      </c>
      <c r="T230" s="9" t="s">
        <v>759</v>
      </c>
      <c r="U230" s="14">
        <v>2175000</v>
      </c>
      <c r="V230" s="14">
        <v>400000</v>
      </c>
      <c r="W230" s="14" t="s">
        <v>760</v>
      </c>
      <c r="X230" s="12">
        <v>44780</v>
      </c>
      <c r="Y230" s="46"/>
    </row>
    <row r="231" spans="1:25" ht="39" customHeight="1">
      <c r="A231" s="9">
        <v>13</v>
      </c>
      <c r="B231" s="9" t="s">
        <v>698</v>
      </c>
      <c r="C231" s="9" t="s">
        <v>761</v>
      </c>
      <c r="D231" s="9" t="s">
        <v>700</v>
      </c>
      <c r="E231" s="9" t="s">
        <v>701</v>
      </c>
      <c r="F231" s="9" t="s">
        <v>762</v>
      </c>
      <c r="G231" s="9" t="s">
        <v>30</v>
      </c>
      <c r="H231" s="16" t="s">
        <v>763</v>
      </c>
      <c r="I231" s="10" t="s">
        <v>40</v>
      </c>
      <c r="J231" s="9" t="s">
        <v>704</v>
      </c>
      <c r="K231" s="9" t="s">
        <v>40</v>
      </c>
      <c r="L231" s="12">
        <v>44674</v>
      </c>
      <c r="M231" s="11">
        <v>44678</v>
      </c>
      <c r="N231" s="12" t="s">
        <v>40</v>
      </c>
      <c r="O231" s="12" t="s">
        <v>40</v>
      </c>
      <c r="P231" s="12" t="s">
        <v>40</v>
      </c>
      <c r="Q231" s="9" t="s">
        <v>705</v>
      </c>
      <c r="R231" s="12">
        <v>44678</v>
      </c>
      <c r="S231" s="9" t="s">
        <v>764</v>
      </c>
      <c r="T231" s="12">
        <v>44691</v>
      </c>
      <c r="U231" s="14">
        <v>721550</v>
      </c>
      <c r="V231" s="14" t="s">
        <v>40</v>
      </c>
      <c r="W231" s="14" t="s">
        <v>40</v>
      </c>
      <c r="X231" s="9" t="s">
        <v>40</v>
      </c>
      <c r="Y231" s="2"/>
    </row>
    <row r="232" spans="1:25" ht="15" customHeight="1">
      <c r="A232" s="807" t="s">
        <v>128</v>
      </c>
      <c r="B232" s="817"/>
      <c r="C232" s="817"/>
      <c r="D232" s="817"/>
      <c r="E232" s="817"/>
      <c r="F232" s="817"/>
      <c r="G232" s="817"/>
      <c r="H232" s="817"/>
      <c r="I232" s="817"/>
      <c r="J232" s="817"/>
      <c r="K232" s="817"/>
      <c r="L232" s="817"/>
      <c r="M232" s="817"/>
      <c r="N232" s="817"/>
      <c r="O232" s="817"/>
      <c r="P232" s="817"/>
      <c r="Q232" s="817"/>
      <c r="R232" s="817"/>
      <c r="S232" s="817"/>
      <c r="T232" s="817"/>
      <c r="U232" s="817"/>
      <c r="V232" s="817"/>
      <c r="W232" s="817"/>
      <c r="X232" s="818"/>
      <c r="Y232" s="2"/>
    </row>
    <row r="233" spans="1:25" ht="30.75" customHeight="1">
      <c r="A233" s="787">
        <v>14</v>
      </c>
      <c r="B233" s="787" t="s">
        <v>45</v>
      </c>
      <c r="C233" s="787" t="s">
        <v>765</v>
      </c>
      <c r="D233" s="787" t="s">
        <v>128</v>
      </c>
      <c r="E233" s="787" t="s">
        <v>522</v>
      </c>
      <c r="F233" s="787" t="s">
        <v>766</v>
      </c>
      <c r="G233" s="787" t="s">
        <v>71</v>
      </c>
      <c r="H233" s="790" t="s">
        <v>767</v>
      </c>
      <c r="I233" s="790" t="s">
        <v>768</v>
      </c>
      <c r="J233" s="787" t="s">
        <v>526</v>
      </c>
      <c r="K233" s="787" t="s">
        <v>769</v>
      </c>
      <c r="L233" s="959">
        <v>44654</v>
      </c>
      <c r="M233" s="878">
        <v>44671</v>
      </c>
      <c r="N233" s="879" t="s">
        <v>770</v>
      </c>
      <c r="O233" s="880"/>
      <c r="P233" s="881"/>
      <c r="Q233" s="787" t="s">
        <v>78</v>
      </c>
      <c r="R233" s="796">
        <v>44665</v>
      </c>
      <c r="S233" s="787">
        <v>22040018</v>
      </c>
      <c r="T233" s="796">
        <v>44672</v>
      </c>
      <c r="U233" s="815">
        <v>1088935</v>
      </c>
      <c r="V233" s="14">
        <v>840000</v>
      </c>
      <c r="W233" s="14" t="s">
        <v>290</v>
      </c>
      <c r="X233" s="12">
        <v>44680</v>
      </c>
      <c r="Y233" s="2"/>
    </row>
    <row r="234" spans="1:25" ht="15.75" customHeight="1">
      <c r="A234" s="789"/>
      <c r="B234" s="789"/>
      <c r="C234" s="789"/>
      <c r="D234" s="789"/>
      <c r="E234" s="789"/>
      <c r="F234" s="789"/>
      <c r="G234" s="789"/>
      <c r="H234" s="789"/>
      <c r="I234" s="789"/>
      <c r="J234" s="789"/>
      <c r="K234" s="789"/>
      <c r="L234" s="789"/>
      <c r="M234" s="789"/>
      <c r="N234" s="882"/>
      <c r="O234" s="817"/>
      <c r="P234" s="818"/>
      <c r="Q234" s="789"/>
      <c r="R234" s="789"/>
      <c r="S234" s="789"/>
      <c r="T234" s="789"/>
      <c r="U234" s="815"/>
      <c r="V234" s="14">
        <v>800000</v>
      </c>
      <c r="W234" s="14" t="s">
        <v>59</v>
      </c>
      <c r="X234" s="12">
        <v>44680</v>
      </c>
      <c r="Y234" s="2"/>
    </row>
    <row r="235" spans="1:25" ht="30.75" customHeight="1">
      <c r="A235" s="787">
        <v>15</v>
      </c>
      <c r="B235" s="787" t="s">
        <v>45</v>
      </c>
      <c r="C235" s="787" t="s">
        <v>771</v>
      </c>
      <c r="D235" s="787" t="s">
        <v>128</v>
      </c>
      <c r="E235" s="787" t="s">
        <v>522</v>
      </c>
      <c r="F235" s="787" t="s">
        <v>772</v>
      </c>
      <c r="G235" s="787" t="s">
        <v>71</v>
      </c>
      <c r="H235" s="790" t="s">
        <v>773</v>
      </c>
      <c r="I235" s="790" t="s">
        <v>774</v>
      </c>
      <c r="J235" s="787" t="s">
        <v>540</v>
      </c>
      <c r="K235" s="787" t="s">
        <v>769</v>
      </c>
      <c r="L235" s="796">
        <v>44660</v>
      </c>
      <c r="M235" s="878">
        <v>44686</v>
      </c>
      <c r="N235" s="879" t="s">
        <v>775</v>
      </c>
      <c r="O235" s="880"/>
      <c r="P235" s="881"/>
      <c r="Q235" s="787" t="s">
        <v>78</v>
      </c>
      <c r="R235" s="796">
        <v>44693</v>
      </c>
      <c r="S235" s="787" t="s">
        <v>776</v>
      </c>
      <c r="T235" s="787" t="s">
        <v>465</v>
      </c>
      <c r="U235" s="815">
        <v>2454385</v>
      </c>
      <c r="V235" s="14">
        <v>840000</v>
      </c>
      <c r="W235" s="14" t="s">
        <v>290</v>
      </c>
      <c r="X235" s="9" t="s">
        <v>465</v>
      </c>
      <c r="Y235" s="2"/>
    </row>
    <row r="236" spans="1:25" ht="15.75" customHeight="1">
      <c r="A236" s="789"/>
      <c r="B236" s="789"/>
      <c r="C236" s="789"/>
      <c r="D236" s="789"/>
      <c r="E236" s="789"/>
      <c r="F236" s="789"/>
      <c r="G236" s="789"/>
      <c r="H236" s="789"/>
      <c r="I236" s="789"/>
      <c r="J236" s="789"/>
      <c r="K236" s="789"/>
      <c r="L236" s="789"/>
      <c r="M236" s="789"/>
      <c r="N236" s="882"/>
      <c r="O236" s="817"/>
      <c r="P236" s="818"/>
      <c r="Q236" s="789"/>
      <c r="R236" s="789"/>
      <c r="S236" s="789"/>
      <c r="T236" s="789"/>
      <c r="U236" s="816"/>
      <c r="V236" s="14">
        <v>1000000</v>
      </c>
      <c r="W236" s="14" t="s">
        <v>59</v>
      </c>
      <c r="X236" s="9" t="s">
        <v>465</v>
      </c>
      <c r="Y236" s="2"/>
    </row>
    <row r="237" spans="1:25" ht="33" customHeight="1">
      <c r="A237" s="13">
        <v>16</v>
      </c>
      <c r="B237" s="13" t="s">
        <v>137</v>
      </c>
      <c r="C237" s="13" t="s">
        <v>777</v>
      </c>
      <c r="D237" s="13" t="s">
        <v>128</v>
      </c>
      <c r="E237" s="13" t="s">
        <v>664</v>
      </c>
      <c r="F237" s="13" t="s">
        <v>778</v>
      </c>
      <c r="G237" s="13" t="s">
        <v>30</v>
      </c>
      <c r="H237" s="16" t="s">
        <v>779</v>
      </c>
      <c r="I237" s="16" t="s">
        <v>40</v>
      </c>
      <c r="J237" s="13" t="s">
        <v>668</v>
      </c>
      <c r="K237" s="13" t="s">
        <v>36</v>
      </c>
      <c r="L237" s="48">
        <v>44670</v>
      </c>
      <c r="M237" s="18">
        <v>44676</v>
      </c>
      <c r="N237" s="879" t="s">
        <v>780</v>
      </c>
      <c r="O237" s="880"/>
      <c r="P237" s="881"/>
      <c r="Q237" s="13" t="s">
        <v>144</v>
      </c>
      <c r="R237" s="17">
        <v>44669</v>
      </c>
      <c r="S237" s="13" t="s">
        <v>781</v>
      </c>
      <c r="T237" s="17">
        <v>44671</v>
      </c>
      <c r="U237" s="19">
        <v>2778882</v>
      </c>
      <c r="V237" s="19">
        <v>3088688</v>
      </c>
      <c r="W237" s="19" t="s">
        <v>145</v>
      </c>
      <c r="X237" s="17">
        <v>44673</v>
      </c>
      <c r="Y237" s="2"/>
    </row>
    <row r="238" spans="1:25" ht="30.75" customHeight="1">
      <c r="A238" s="787">
        <v>17</v>
      </c>
      <c r="B238" s="787" t="s">
        <v>45</v>
      </c>
      <c r="C238" s="787" t="s">
        <v>782</v>
      </c>
      <c r="D238" s="787" t="s">
        <v>128</v>
      </c>
      <c r="E238" s="787" t="s">
        <v>522</v>
      </c>
      <c r="F238" s="787" t="s">
        <v>783</v>
      </c>
      <c r="G238" s="787" t="s">
        <v>71</v>
      </c>
      <c r="H238" s="790" t="s">
        <v>784</v>
      </c>
      <c r="I238" s="790" t="s">
        <v>785</v>
      </c>
      <c r="J238" s="787" t="s">
        <v>533</v>
      </c>
      <c r="K238" s="787" t="s">
        <v>786</v>
      </c>
      <c r="L238" s="796">
        <v>44665</v>
      </c>
      <c r="M238" s="878">
        <v>44670</v>
      </c>
      <c r="N238" s="879" t="s">
        <v>787</v>
      </c>
      <c r="O238" s="880"/>
      <c r="P238" s="881"/>
      <c r="Q238" s="787" t="s">
        <v>78</v>
      </c>
      <c r="R238" s="796">
        <v>44690</v>
      </c>
      <c r="S238" s="787" t="s">
        <v>788</v>
      </c>
      <c r="T238" s="787" t="s">
        <v>465</v>
      </c>
      <c r="U238" s="815">
        <v>2225770</v>
      </c>
      <c r="V238" s="14">
        <v>700000</v>
      </c>
      <c r="W238" s="14" t="s">
        <v>290</v>
      </c>
      <c r="X238" s="9" t="s">
        <v>465</v>
      </c>
      <c r="Y238" s="2"/>
    </row>
    <row r="239" spans="1:25" ht="15.75" customHeight="1">
      <c r="A239" s="789"/>
      <c r="B239" s="789"/>
      <c r="C239" s="789"/>
      <c r="D239" s="789"/>
      <c r="E239" s="789"/>
      <c r="F239" s="789"/>
      <c r="G239" s="789"/>
      <c r="H239" s="789"/>
      <c r="I239" s="789"/>
      <c r="J239" s="789"/>
      <c r="K239" s="789"/>
      <c r="L239" s="789"/>
      <c r="M239" s="789"/>
      <c r="N239" s="882"/>
      <c r="O239" s="817"/>
      <c r="P239" s="818"/>
      <c r="Q239" s="789"/>
      <c r="R239" s="789"/>
      <c r="S239" s="789"/>
      <c r="T239" s="789"/>
      <c r="U239" s="816"/>
      <c r="V239" s="14">
        <v>800000</v>
      </c>
      <c r="W239" s="14" t="s">
        <v>59</v>
      </c>
      <c r="X239" s="9" t="s">
        <v>465</v>
      </c>
      <c r="Y239" s="2"/>
    </row>
    <row r="240" spans="1:25" ht="30.75" customHeight="1">
      <c r="A240" s="787">
        <v>18</v>
      </c>
      <c r="B240" s="787" t="s">
        <v>45</v>
      </c>
      <c r="C240" s="787" t="s">
        <v>789</v>
      </c>
      <c r="D240" s="787" t="s">
        <v>128</v>
      </c>
      <c r="E240" s="787" t="s">
        <v>522</v>
      </c>
      <c r="F240" s="787" t="s">
        <v>790</v>
      </c>
      <c r="G240" s="787" t="s">
        <v>71</v>
      </c>
      <c r="H240" s="790" t="s">
        <v>791</v>
      </c>
      <c r="I240" s="790" t="s">
        <v>193</v>
      </c>
      <c r="J240" s="787" t="s">
        <v>792</v>
      </c>
      <c r="K240" s="787" t="s">
        <v>793</v>
      </c>
      <c r="L240" s="796">
        <v>44669</v>
      </c>
      <c r="M240" s="878">
        <v>44684</v>
      </c>
      <c r="N240" s="879" t="s">
        <v>794</v>
      </c>
      <c r="O240" s="880"/>
      <c r="P240" s="881"/>
      <c r="Q240" s="787" t="s">
        <v>78</v>
      </c>
      <c r="R240" s="796">
        <v>44690</v>
      </c>
      <c r="S240" s="787" t="s">
        <v>795</v>
      </c>
      <c r="T240" s="787" t="s">
        <v>465</v>
      </c>
      <c r="U240" s="815">
        <v>2399385</v>
      </c>
      <c r="V240" s="14">
        <v>840000</v>
      </c>
      <c r="W240" s="14" t="s">
        <v>290</v>
      </c>
      <c r="X240" s="9" t="s">
        <v>465</v>
      </c>
      <c r="Y240" s="2"/>
    </row>
    <row r="241" spans="1:25" ht="15.75" customHeight="1">
      <c r="A241" s="789"/>
      <c r="B241" s="789"/>
      <c r="C241" s="789"/>
      <c r="D241" s="789"/>
      <c r="E241" s="789"/>
      <c r="F241" s="789"/>
      <c r="G241" s="789"/>
      <c r="H241" s="789"/>
      <c r="I241" s="789"/>
      <c r="J241" s="789"/>
      <c r="K241" s="789"/>
      <c r="L241" s="789"/>
      <c r="M241" s="789"/>
      <c r="N241" s="882"/>
      <c r="O241" s="817"/>
      <c r="P241" s="818"/>
      <c r="Q241" s="789"/>
      <c r="R241" s="789"/>
      <c r="S241" s="789"/>
      <c r="T241" s="789"/>
      <c r="U241" s="815"/>
      <c r="V241" s="14">
        <v>1000000</v>
      </c>
      <c r="W241" s="14" t="s">
        <v>59</v>
      </c>
      <c r="X241" s="9" t="s">
        <v>465</v>
      </c>
      <c r="Y241" s="2"/>
    </row>
    <row r="242" spans="1:25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35"/>
      <c r="N242" s="24"/>
      <c r="O242" s="24"/>
      <c r="P242" s="24"/>
      <c r="Q242" s="22"/>
      <c r="R242" s="22"/>
      <c r="S242" s="22"/>
      <c r="T242" s="25" t="s">
        <v>163</v>
      </c>
      <c r="U242" s="26">
        <f>SUM(U211:U241)</f>
        <v>60796158.200000003</v>
      </c>
      <c r="V242" s="26">
        <f>V213+V234+V211+V215+V236+V220+V241+V222+V239+V228+V224+V226+V229+V217</f>
        <v>27750000</v>
      </c>
      <c r="W242" s="29"/>
      <c r="X242" s="22"/>
      <c r="Y242" s="2"/>
    </row>
    <row r="243" spans="1:25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35"/>
      <c r="N243" s="24"/>
      <c r="O243" s="24"/>
      <c r="P243" s="24"/>
      <c r="Q243" s="22"/>
      <c r="R243" s="22"/>
      <c r="S243" s="22"/>
      <c r="T243" s="25" t="s">
        <v>544</v>
      </c>
      <c r="U243" s="30">
        <v>30000000</v>
      </c>
      <c r="V243" s="44" t="s">
        <v>278</v>
      </c>
      <c r="W243" s="29"/>
      <c r="X243" s="22"/>
      <c r="Y243" s="2"/>
    </row>
    <row r="244" spans="1:25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35"/>
      <c r="N244" s="24"/>
      <c r="O244" s="24"/>
      <c r="P244" s="24"/>
      <c r="Q244" s="22"/>
      <c r="R244" s="22"/>
      <c r="S244" s="22"/>
      <c r="T244" s="25"/>
      <c r="U244" s="26">
        <f>U242-U243</f>
        <v>30796158.200000003</v>
      </c>
      <c r="V244" s="44"/>
      <c r="W244" s="29"/>
      <c r="X244" s="22"/>
      <c r="Y244" s="2"/>
    </row>
    <row r="245" spans="1:2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35"/>
      <c r="N245" s="24"/>
      <c r="O245" s="24"/>
      <c r="P245" s="24"/>
      <c r="Q245" s="22"/>
      <c r="R245" s="22"/>
      <c r="S245" s="22"/>
      <c r="T245" s="888" t="s">
        <v>165</v>
      </c>
      <c r="U245" s="26">
        <f>U242*10/100</f>
        <v>6079615.8200000003</v>
      </c>
      <c r="V245" s="42"/>
      <c r="W245" s="29"/>
      <c r="X245" s="22"/>
      <c r="Y245" s="2"/>
    </row>
    <row r="246" spans="1:25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35"/>
      <c r="N246" s="24"/>
      <c r="O246" s="24"/>
      <c r="P246" s="24"/>
      <c r="Q246" s="22"/>
      <c r="R246" s="22"/>
      <c r="S246" s="22"/>
      <c r="T246" s="889"/>
      <c r="U246" s="30">
        <f>U244*5/100</f>
        <v>1539807.91</v>
      </c>
      <c r="V246" s="42" t="s">
        <v>282</v>
      </c>
      <c r="W246" s="29"/>
      <c r="X246" s="22"/>
      <c r="Y246" s="2"/>
    </row>
    <row r="247" spans="1:25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35"/>
      <c r="N247" s="24"/>
      <c r="O247" s="24"/>
      <c r="P247" s="24"/>
      <c r="Q247" s="22"/>
      <c r="R247" s="22"/>
      <c r="S247" s="22"/>
      <c r="T247" s="42"/>
      <c r="U247" s="45">
        <f>U245+U246</f>
        <v>7619423.7300000004</v>
      </c>
      <c r="V247" s="42"/>
      <c r="W247" s="29"/>
      <c r="X247" s="22"/>
      <c r="Y247" s="2"/>
    </row>
    <row r="248" spans="1:25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35"/>
      <c r="N248" s="24"/>
      <c r="O248" s="24"/>
      <c r="P248" s="24"/>
      <c r="Q248" s="22"/>
      <c r="R248" s="22"/>
      <c r="S248" s="22"/>
      <c r="T248" s="22"/>
      <c r="U248" s="29"/>
      <c r="V248" s="49"/>
      <c r="W248" s="29"/>
      <c r="X248" s="22"/>
      <c r="Y248" s="2"/>
    </row>
    <row r="249" spans="1:25" ht="15.75" customHeight="1">
      <c r="A249" s="886" t="s">
        <v>796</v>
      </c>
      <c r="B249" s="887"/>
      <c r="C249" s="887"/>
      <c r="D249" s="887"/>
      <c r="E249" s="887"/>
      <c r="F249" s="887"/>
      <c r="G249" s="887"/>
      <c r="H249" s="887"/>
      <c r="I249" s="887"/>
      <c r="J249" s="887"/>
      <c r="K249" s="887"/>
      <c r="L249" s="887"/>
      <c r="M249" s="887"/>
      <c r="N249" s="887"/>
      <c r="O249" s="887"/>
      <c r="P249" s="887"/>
      <c r="Q249" s="887"/>
      <c r="R249" s="887"/>
      <c r="S249" s="887"/>
      <c r="T249" s="887"/>
      <c r="U249" s="887"/>
      <c r="V249" s="887"/>
      <c r="W249" s="887"/>
      <c r="X249" s="887"/>
      <c r="Y249" s="2"/>
    </row>
    <row r="250" spans="1:25" ht="15.75" customHeight="1">
      <c r="A250" s="3" t="s">
        <v>1</v>
      </c>
      <c r="B250" s="4" t="s">
        <v>2</v>
      </c>
      <c r="C250" s="5" t="s">
        <v>3</v>
      </c>
      <c r="D250" s="5" t="s">
        <v>4</v>
      </c>
      <c r="E250" s="5" t="s">
        <v>5</v>
      </c>
      <c r="F250" s="5" t="s">
        <v>6</v>
      </c>
      <c r="G250" s="5" t="s">
        <v>7</v>
      </c>
      <c r="H250" s="5" t="s">
        <v>167</v>
      </c>
      <c r="I250" s="5" t="s">
        <v>9</v>
      </c>
      <c r="J250" s="5" t="s">
        <v>10</v>
      </c>
      <c r="K250" s="5" t="s">
        <v>11</v>
      </c>
      <c r="L250" s="5" t="s">
        <v>12</v>
      </c>
      <c r="M250" s="6" t="s">
        <v>13</v>
      </c>
      <c r="N250" s="5" t="s">
        <v>14</v>
      </c>
      <c r="O250" s="5" t="s">
        <v>15</v>
      </c>
      <c r="P250" s="5" t="s">
        <v>16</v>
      </c>
      <c r="Q250" s="7" t="s">
        <v>17</v>
      </c>
      <c r="R250" s="8" t="s">
        <v>18</v>
      </c>
      <c r="S250" s="8" t="s">
        <v>19</v>
      </c>
      <c r="T250" s="8" t="s">
        <v>20</v>
      </c>
      <c r="U250" s="5" t="s">
        <v>21</v>
      </c>
      <c r="V250" s="5" t="s">
        <v>22</v>
      </c>
      <c r="W250" s="5" t="s">
        <v>23</v>
      </c>
      <c r="X250" s="5" t="s">
        <v>24</v>
      </c>
      <c r="Y250" s="2"/>
    </row>
    <row r="251" spans="1:25" ht="15.75" customHeight="1">
      <c r="A251" s="807" t="s">
        <v>25</v>
      </c>
      <c r="B251" s="817"/>
      <c r="C251" s="817"/>
      <c r="D251" s="817"/>
      <c r="E251" s="817"/>
      <c r="F251" s="817"/>
      <c r="G251" s="817"/>
      <c r="H251" s="817"/>
      <c r="I251" s="817"/>
      <c r="J251" s="817"/>
      <c r="K251" s="817"/>
      <c r="L251" s="817"/>
      <c r="M251" s="817"/>
      <c r="N251" s="817"/>
      <c r="O251" s="817"/>
      <c r="P251" s="817"/>
      <c r="Q251" s="817"/>
      <c r="R251" s="817"/>
      <c r="S251" s="817"/>
      <c r="T251" s="817"/>
      <c r="U251" s="817"/>
      <c r="V251" s="817"/>
      <c r="W251" s="817"/>
      <c r="X251" s="818"/>
      <c r="Y251" s="2"/>
    </row>
    <row r="252" spans="1:25" ht="36" customHeight="1">
      <c r="A252" s="787">
        <v>1</v>
      </c>
      <c r="B252" s="787" t="s">
        <v>104</v>
      </c>
      <c r="C252" s="787" t="s">
        <v>797</v>
      </c>
      <c r="D252" s="787" t="s">
        <v>25</v>
      </c>
      <c r="E252" s="787" t="s">
        <v>798</v>
      </c>
      <c r="F252" s="787" t="s">
        <v>799</v>
      </c>
      <c r="G252" s="787" t="s">
        <v>800</v>
      </c>
      <c r="H252" s="790" t="s">
        <v>801</v>
      </c>
      <c r="I252" s="790" t="s">
        <v>802</v>
      </c>
      <c r="J252" s="787" t="s">
        <v>33</v>
      </c>
      <c r="K252" s="787" t="s">
        <v>194</v>
      </c>
      <c r="L252" s="796">
        <v>44669</v>
      </c>
      <c r="M252" s="878">
        <v>44684</v>
      </c>
      <c r="N252" s="796">
        <v>44839</v>
      </c>
      <c r="O252" s="796" t="s">
        <v>803</v>
      </c>
      <c r="P252" s="796" t="s">
        <v>804</v>
      </c>
      <c r="Q252" s="787" t="s">
        <v>805</v>
      </c>
      <c r="R252" s="787" t="s">
        <v>464</v>
      </c>
      <c r="S252" s="787" t="s">
        <v>806</v>
      </c>
      <c r="T252" s="787" t="s">
        <v>807</v>
      </c>
      <c r="U252" s="815">
        <v>29963500</v>
      </c>
      <c r="V252" s="14">
        <v>3500000</v>
      </c>
      <c r="W252" s="14" t="s">
        <v>290</v>
      </c>
      <c r="X252" s="12">
        <v>44626</v>
      </c>
      <c r="Y252" s="2"/>
    </row>
    <row r="253" spans="1:25" ht="36" customHeight="1">
      <c r="A253" s="789"/>
      <c r="B253" s="789"/>
      <c r="C253" s="789"/>
      <c r="D253" s="789"/>
      <c r="E253" s="789"/>
      <c r="F253" s="789"/>
      <c r="G253" s="789"/>
      <c r="H253" s="789"/>
      <c r="I253" s="789"/>
      <c r="J253" s="789"/>
      <c r="K253" s="789"/>
      <c r="L253" s="789"/>
      <c r="M253" s="789"/>
      <c r="N253" s="789"/>
      <c r="O253" s="789"/>
      <c r="P253" s="789"/>
      <c r="Q253" s="789"/>
      <c r="R253" s="789"/>
      <c r="S253" s="789"/>
      <c r="T253" s="789"/>
      <c r="U253" s="815"/>
      <c r="V253" s="14">
        <v>10000000</v>
      </c>
      <c r="W253" s="14" t="s">
        <v>59</v>
      </c>
      <c r="X253" s="12">
        <v>44626</v>
      </c>
      <c r="Y253" s="2"/>
    </row>
    <row r="254" spans="1:25" ht="39" customHeight="1">
      <c r="A254" s="13">
        <v>2</v>
      </c>
      <c r="B254" s="13" t="s">
        <v>328</v>
      </c>
      <c r="C254" s="13" t="s">
        <v>808</v>
      </c>
      <c r="D254" s="13" t="s">
        <v>25</v>
      </c>
      <c r="E254" s="13" t="s">
        <v>809</v>
      </c>
      <c r="F254" s="13" t="s">
        <v>810</v>
      </c>
      <c r="G254" s="13" t="s">
        <v>30</v>
      </c>
      <c r="H254" s="16" t="s">
        <v>811</v>
      </c>
      <c r="I254" s="16" t="s">
        <v>812</v>
      </c>
      <c r="J254" s="13" t="s">
        <v>52</v>
      </c>
      <c r="K254" s="13" t="s">
        <v>419</v>
      </c>
      <c r="L254" s="17">
        <v>44670</v>
      </c>
      <c r="M254" s="18">
        <v>44566</v>
      </c>
      <c r="N254" s="17" t="s">
        <v>757</v>
      </c>
      <c r="O254" s="12" t="s">
        <v>757</v>
      </c>
      <c r="P254" s="12" t="s">
        <v>757</v>
      </c>
      <c r="Q254" s="9" t="s">
        <v>151</v>
      </c>
      <c r="R254" s="12" t="s">
        <v>678</v>
      </c>
      <c r="S254" s="9" t="s">
        <v>813</v>
      </c>
      <c r="T254" s="12">
        <v>44780</v>
      </c>
      <c r="U254" s="14">
        <v>1074998</v>
      </c>
      <c r="V254" s="14">
        <v>500000</v>
      </c>
      <c r="W254" s="14" t="s">
        <v>59</v>
      </c>
      <c r="X254" s="9" t="s">
        <v>814</v>
      </c>
      <c r="Y254" s="2"/>
    </row>
    <row r="255" spans="1:25" ht="15.75" customHeight="1">
      <c r="A255" s="787">
        <v>3</v>
      </c>
      <c r="B255" s="787" t="s">
        <v>45</v>
      </c>
      <c r="C255" s="787" t="s">
        <v>815</v>
      </c>
      <c r="D255" s="787" t="s">
        <v>25</v>
      </c>
      <c r="E255" s="787" t="s">
        <v>816</v>
      </c>
      <c r="F255" s="787" t="s">
        <v>817</v>
      </c>
      <c r="G255" s="787" t="s">
        <v>818</v>
      </c>
      <c r="H255" s="790" t="s">
        <v>819</v>
      </c>
      <c r="I255" s="790" t="s">
        <v>820</v>
      </c>
      <c r="J255" s="796" t="s">
        <v>821</v>
      </c>
      <c r="K255" s="787" t="s">
        <v>194</v>
      </c>
      <c r="L255" s="796">
        <v>44654</v>
      </c>
      <c r="M255" s="878">
        <v>44686</v>
      </c>
      <c r="N255" s="796">
        <v>44690</v>
      </c>
      <c r="O255" s="796">
        <v>44690</v>
      </c>
      <c r="P255" s="796">
        <v>44691</v>
      </c>
      <c r="Q255" s="787" t="s">
        <v>78</v>
      </c>
      <c r="R255" s="787" t="s">
        <v>696</v>
      </c>
      <c r="S255" s="787" t="s">
        <v>822</v>
      </c>
      <c r="T255" s="796">
        <v>44810</v>
      </c>
      <c r="U255" s="815">
        <v>411000</v>
      </c>
      <c r="V255" s="14">
        <v>50000</v>
      </c>
      <c r="W255" s="14" t="s">
        <v>290</v>
      </c>
      <c r="X255" s="9" t="s">
        <v>722</v>
      </c>
      <c r="Y255" s="2"/>
    </row>
    <row r="256" spans="1:25" ht="15.75" customHeight="1">
      <c r="A256" s="789"/>
      <c r="B256" s="789"/>
      <c r="C256" s="789"/>
      <c r="D256" s="789"/>
      <c r="E256" s="789"/>
      <c r="F256" s="789"/>
      <c r="G256" s="789"/>
      <c r="H256" s="789"/>
      <c r="I256" s="789"/>
      <c r="J256" s="789"/>
      <c r="K256" s="789"/>
      <c r="L256" s="789"/>
      <c r="M256" s="789"/>
      <c r="N256" s="789"/>
      <c r="O256" s="789"/>
      <c r="P256" s="789"/>
      <c r="Q256" s="789"/>
      <c r="R256" s="789"/>
      <c r="S256" s="789"/>
      <c r="T256" s="789"/>
      <c r="U256" s="815"/>
      <c r="V256" s="14">
        <v>50000</v>
      </c>
      <c r="W256" s="14" t="s">
        <v>59</v>
      </c>
      <c r="X256" s="9" t="s">
        <v>722</v>
      </c>
      <c r="Y256" s="2"/>
    </row>
    <row r="257" spans="1:25" ht="39" customHeight="1">
      <c r="A257" s="13">
        <v>4</v>
      </c>
      <c r="B257" s="13" t="s">
        <v>328</v>
      </c>
      <c r="C257" s="13" t="s">
        <v>823</v>
      </c>
      <c r="D257" s="13" t="s">
        <v>25</v>
      </c>
      <c r="E257" s="13" t="s">
        <v>824</v>
      </c>
      <c r="F257" s="13" t="s">
        <v>825</v>
      </c>
      <c r="G257" s="13" t="s">
        <v>30</v>
      </c>
      <c r="H257" s="16" t="s">
        <v>826</v>
      </c>
      <c r="I257" s="16" t="s">
        <v>827</v>
      </c>
      <c r="J257" s="13" t="s">
        <v>172</v>
      </c>
      <c r="K257" s="13" t="s">
        <v>34</v>
      </c>
      <c r="L257" s="17">
        <v>44900</v>
      </c>
      <c r="M257" s="18" t="s">
        <v>464</v>
      </c>
      <c r="N257" s="17" t="s">
        <v>828</v>
      </c>
      <c r="O257" s="12" t="s">
        <v>828</v>
      </c>
      <c r="P257" s="12" t="s">
        <v>828</v>
      </c>
      <c r="Q257" s="9" t="s">
        <v>151</v>
      </c>
      <c r="R257" s="12">
        <v>44261</v>
      </c>
      <c r="S257" s="9" t="s">
        <v>829</v>
      </c>
      <c r="T257" s="12">
        <v>44780</v>
      </c>
      <c r="U257" s="14">
        <v>2025000</v>
      </c>
      <c r="V257" s="14">
        <v>500000</v>
      </c>
      <c r="W257" s="14" t="s">
        <v>59</v>
      </c>
      <c r="X257" s="9" t="s">
        <v>814</v>
      </c>
      <c r="Y257" s="2"/>
    </row>
    <row r="258" spans="1:25" ht="39" customHeight="1">
      <c r="A258" s="13">
        <v>5</v>
      </c>
      <c r="B258" s="13" t="s">
        <v>328</v>
      </c>
      <c r="C258" s="13" t="s">
        <v>830</v>
      </c>
      <c r="D258" s="13" t="s">
        <v>25</v>
      </c>
      <c r="E258" s="13" t="s">
        <v>831</v>
      </c>
      <c r="F258" s="13" t="s">
        <v>832</v>
      </c>
      <c r="G258" s="13" t="s">
        <v>833</v>
      </c>
      <c r="H258" s="16" t="s">
        <v>834</v>
      </c>
      <c r="I258" s="16" t="s">
        <v>835</v>
      </c>
      <c r="J258" s="13" t="s">
        <v>836</v>
      </c>
      <c r="K258" s="13" t="s">
        <v>837</v>
      </c>
      <c r="L258" s="17" t="s">
        <v>838</v>
      </c>
      <c r="M258" s="18" t="s">
        <v>838</v>
      </c>
      <c r="N258" s="17" t="s">
        <v>678</v>
      </c>
      <c r="O258" s="12" t="s">
        <v>839</v>
      </c>
      <c r="P258" s="12" t="s">
        <v>839</v>
      </c>
      <c r="Q258" s="9" t="s">
        <v>239</v>
      </c>
      <c r="R258" s="12">
        <v>44261</v>
      </c>
      <c r="S258" s="9" t="s">
        <v>840</v>
      </c>
      <c r="T258" s="12">
        <v>44780</v>
      </c>
      <c r="U258" s="14">
        <v>565400</v>
      </c>
      <c r="V258" s="14">
        <v>500000</v>
      </c>
      <c r="W258" s="14" t="s">
        <v>59</v>
      </c>
      <c r="X258" s="9" t="s">
        <v>814</v>
      </c>
      <c r="Y258" s="2"/>
    </row>
    <row r="259" spans="1:25" ht="39" customHeight="1">
      <c r="A259" s="9">
        <v>6</v>
      </c>
      <c r="B259" s="9" t="s">
        <v>328</v>
      </c>
      <c r="C259" s="9" t="s">
        <v>841</v>
      </c>
      <c r="D259" s="9" t="s">
        <v>25</v>
      </c>
      <c r="E259" s="9" t="s">
        <v>809</v>
      </c>
      <c r="F259" s="9" t="s">
        <v>842</v>
      </c>
      <c r="G259" s="9" t="s">
        <v>30</v>
      </c>
      <c r="H259" s="10" t="s">
        <v>843</v>
      </c>
      <c r="I259" s="10" t="s">
        <v>844</v>
      </c>
      <c r="J259" s="9" t="s">
        <v>52</v>
      </c>
      <c r="K259" s="9" t="s">
        <v>419</v>
      </c>
      <c r="L259" s="12" t="s">
        <v>845</v>
      </c>
      <c r="M259" s="11" t="s">
        <v>696</v>
      </c>
      <c r="N259" s="12" t="s">
        <v>465</v>
      </c>
      <c r="O259" s="12" t="s">
        <v>846</v>
      </c>
      <c r="P259" s="12" t="s">
        <v>846</v>
      </c>
      <c r="Q259" s="9" t="s">
        <v>151</v>
      </c>
      <c r="R259" s="12">
        <v>44261</v>
      </c>
      <c r="S259" s="9" t="s">
        <v>847</v>
      </c>
      <c r="T259" s="12">
        <v>44780</v>
      </c>
      <c r="U259" s="14">
        <v>1210000</v>
      </c>
      <c r="V259" s="14">
        <v>500000</v>
      </c>
      <c r="W259" s="14" t="s">
        <v>59</v>
      </c>
      <c r="X259" s="9" t="s">
        <v>814</v>
      </c>
      <c r="Y259" s="2"/>
    </row>
    <row r="260" spans="1:25" ht="15" customHeight="1">
      <c r="A260" s="807" t="s">
        <v>128</v>
      </c>
      <c r="B260" s="817"/>
      <c r="C260" s="817"/>
      <c r="D260" s="817"/>
      <c r="E260" s="817"/>
      <c r="F260" s="817"/>
      <c r="G260" s="817"/>
      <c r="H260" s="817"/>
      <c r="I260" s="817"/>
      <c r="J260" s="817"/>
      <c r="K260" s="817"/>
      <c r="L260" s="817"/>
      <c r="M260" s="817"/>
      <c r="N260" s="817"/>
      <c r="O260" s="817"/>
      <c r="P260" s="817"/>
      <c r="Q260" s="817"/>
      <c r="R260" s="817"/>
      <c r="S260" s="817"/>
      <c r="T260" s="817"/>
      <c r="U260" s="817"/>
      <c r="V260" s="817"/>
      <c r="W260" s="817"/>
      <c r="X260" s="818"/>
      <c r="Y260" s="2"/>
    </row>
    <row r="261" spans="1:25" ht="30.75" customHeight="1">
      <c r="A261" s="787">
        <v>7</v>
      </c>
      <c r="B261" s="787" t="s">
        <v>45</v>
      </c>
      <c r="C261" s="787" t="s">
        <v>848</v>
      </c>
      <c r="D261" s="787" t="s">
        <v>128</v>
      </c>
      <c r="E261" s="787" t="s">
        <v>849</v>
      </c>
      <c r="F261" s="787" t="s">
        <v>850</v>
      </c>
      <c r="G261" s="787" t="s">
        <v>71</v>
      </c>
      <c r="H261" s="790" t="s">
        <v>851</v>
      </c>
      <c r="I261" s="790" t="s">
        <v>288</v>
      </c>
      <c r="J261" s="787" t="s">
        <v>533</v>
      </c>
      <c r="K261" s="787" t="s">
        <v>852</v>
      </c>
      <c r="L261" s="796">
        <v>44711</v>
      </c>
      <c r="M261" s="878">
        <v>44714</v>
      </c>
      <c r="N261" s="879" t="s">
        <v>853</v>
      </c>
      <c r="O261" s="880"/>
      <c r="P261" s="881"/>
      <c r="Q261" s="787" t="s">
        <v>78</v>
      </c>
      <c r="R261" s="796">
        <v>44748</v>
      </c>
      <c r="S261" s="787" t="s">
        <v>854</v>
      </c>
      <c r="T261" s="787" t="s">
        <v>855</v>
      </c>
      <c r="U261" s="815">
        <v>4528920</v>
      </c>
      <c r="V261" s="14">
        <v>490000</v>
      </c>
      <c r="W261" s="14" t="s">
        <v>290</v>
      </c>
      <c r="X261" s="9"/>
      <c r="Y261" s="2"/>
    </row>
    <row r="262" spans="1:25" ht="15.75" customHeight="1">
      <c r="A262" s="789"/>
      <c r="B262" s="789"/>
      <c r="C262" s="789"/>
      <c r="D262" s="789"/>
      <c r="E262" s="789"/>
      <c r="F262" s="789"/>
      <c r="G262" s="789"/>
      <c r="H262" s="789"/>
      <c r="I262" s="789"/>
      <c r="J262" s="789"/>
      <c r="K262" s="789"/>
      <c r="L262" s="789"/>
      <c r="M262" s="789"/>
      <c r="N262" s="882"/>
      <c r="O262" s="817"/>
      <c r="P262" s="818"/>
      <c r="Q262" s="789"/>
      <c r="R262" s="789"/>
      <c r="S262" s="789"/>
      <c r="T262" s="789"/>
      <c r="U262" s="815"/>
      <c r="V262" s="14">
        <v>50000</v>
      </c>
      <c r="W262" s="14" t="s">
        <v>59</v>
      </c>
      <c r="X262" s="9"/>
      <c r="Y262" s="2"/>
    </row>
    <row r="263" spans="1:25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35"/>
      <c r="N263" s="24"/>
      <c r="O263" s="24"/>
      <c r="P263" s="24"/>
      <c r="Q263" s="22"/>
      <c r="R263" s="22"/>
      <c r="S263" s="22"/>
      <c r="T263" s="25" t="s">
        <v>163</v>
      </c>
      <c r="U263" s="26">
        <f>SUM(U252:U262)</f>
        <v>39778818</v>
      </c>
      <c r="V263" s="26">
        <f>V254+V253+V256+V262+V258+V257+V259</f>
        <v>12100000</v>
      </c>
      <c r="W263" s="29"/>
      <c r="X263" s="22"/>
      <c r="Y263" s="2"/>
    </row>
    <row r="264" spans="1:25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35"/>
      <c r="N264" s="24"/>
      <c r="O264" s="24"/>
      <c r="P264" s="24"/>
      <c r="Q264" s="22"/>
      <c r="R264" s="22"/>
      <c r="S264" s="22"/>
      <c r="T264" s="25" t="s">
        <v>544</v>
      </c>
      <c r="U264" s="30">
        <v>30000000</v>
      </c>
      <c r="V264" s="44" t="s">
        <v>278</v>
      </c>
      <c r="W264" s="29"/>
      <c r="X264" s="22"/>
      <c r="Y264" s="2"/>
    </row>
    <row r="265" spans="1:2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35"/>
      <c r="N265" s="24"/>
      <c r="O265" s="24"/>
      <c r="P265" s="24"/>
      <c r="Q265" s="22"/>
      <c r="R265" s="22"/>
      <c r="S265" s="22"/>
      <c r="T265" s="25"/>
      <c r="U265" s="26">
        <f>U263-U264</f>
        <v>9778818</v>
      </c>
      <c r="V265" s="44"/>
      <c r="W265" s="29"/>
      <c r="X265" s="22"/>
      <c r="Y265" s="2"/>
    </row>
    <row r="266" spans="1:25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35"/>
      <c r="N266" s="24"/>
      <c r="O266" s="24"/>
      <c r="P266" s="24"/>
      <c r="Q266" s="22"/>
      <c r="R266" s="22"/>
      <c r="S266" s="22"/>
      <c r="T266" s="888" t="s">
        <v>165</v>
      </c>
      <c r="U266" s="26">
        <f>U263*10/100</f>
        <v>3977881.8</v>
      </c>
      <c r="V266" s="42"/>
      <c r="W266" s="29"/>
      <c r="X266" s="22"/>
      <c r="Y266" s="2"/>
    </row>
    <row r="267" spans="1:25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35"/>
      <c r="N267" s="24"/>
      <c r="O267" s="24"/>
      <c r="P267" s="24"/>
      <c r="Q267" s="22"/>
      <c r="R267" s="22"/>
      <c r="S267" s="22"/>
      <c r="T267" s="889"/>
      <c r="U267" s="30">
        <v>0</v>
      </c>
      <c r="V267" s="42" t="s">
        <v>282</v>
      </c>
      <c r="W267" s="29"/>
      <c r="X267" s="22"/>
      <c r="Y267" s="2"/>
    </row>
    <row r="268" spans="1:25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35"/>
      <c r="N268" s="24"/>
      <c r="O268" s="24"/>
      <c r="P268" s="24"/>
      <c r="Q268" s="22"/>
      <c r="R268" s="22"/>
      <c r="S268" s="22"/>
      <c r="T268" s="42"/>
      <c r="U268" s="45">
        <f>U266+U267</f>
        <v>3977881.8</v>
      </c>
      <c r="V268" s="42"/>
      <c r="W268" s="29"/>
      <c r="X268" s="22"/>
      <c r="Y268" s="2"/>
    </row>
    <row r="269" spans="1:25" ht="34.5" customHeight="1">
      <c r="A269" s="886" t="s">
        <v>856</v>
      </c>
      <c r="B269" s="887"/>
      <c r="C269" s="887"/>
      <c r="D269" s="887"/>
      <c r="E269" s="887"/>
      <c r="F269" s="887"/>
      <c r="G269" s="887"/>
      <c r="H269" s="887"/>
      <c r="I269" s="887"/>
      <c r="J269" s="887"/>
      <c r="K269" s="887"/>
      <c r="L269" s="887"/>
      <c r="M269" s="887"/>
      <c r="N269" s="887"/>
      <c r="O269" s="887"/>
      <c r="P269" s="887"/>
      <c r="Q269" s="887"/>
      <c r="R269" s="887"/>
      <c r="S269" s="887"/>
      <c r="T269" s="887"/>
      <c r="U269" s="887"/>
      <c r="V269" s="887"/>
      <c r="W269" s="887"/>
      <c r="X269" s="887"/>
      <c r="Y269" s="2"/>
    </row>
    <row r="270" spans="1:25" ht="15.75" customHeight="1">
      <c r="A270" s="3" t="s">
        <v>1</v>
      </c>
      <c r="B270" s="4" t="s">
        <v>2</v>
      </c>
      <c r="C270" s="5" t="s">
        <v>3</v>
      </c>
      <c r="D270" s="5" t="s">
        <v>4</v>
      </c>
      <c r="E270" s="5" t="s">
        <v>5</v>
      </c>
      <c r="F270" s="5" t="s">
        <v>6</v>
      </c>
      <c r="G270" s="5" t="s">
        <v>7</v>
      </c>
      <c r="H270" s="5" t="s">
        <v>167</v>
      </c>
      <c r="I270" s="5" t="s">
        <v>9</v>
      </c>
      <c r="J270" s="5" t="s">
        <v>10</v>
      </c>
      <c r="K270" s="5" t="s">
        <v>11</v>
      </c>
      <c r="L270" s="5" t="s">
        <v>12</v>
      </c>
      <c r="M270" s="6" t="s">
        <v>13</v>
      </c>
      <c r="N270" s="5" t="s">
        <v>14</v>
      </c>
      <c r="O270" s="5" t="s">
        <v>15</v>
      </c>
      <c r="P270" s="5" t="s">
        <v>16</v>
      </c>
      <c r="Q270" s="7" t="s">
        <v>17</v>
      </c>
      <c r="R270" s="8" t="s">
        <v>18</v>
      </c>
      <c r="S270" s="8" t="s">
        <v>19</v>
      </c>
      <c r="T270" s="8" t="s">
        <v>20</v>
      </c>
      <c r="U270" s="5" t="s">
        <v>21</v>
      </c>
      <c r="V270" s="5" t="s">
        <v>22</v>
      </c>
      <c r="W270" s="5" t="s">
        <v>23</v>
      </c>
      <c r="X270" s="5" t="s">
        <v>24</v>
      </c>
      <c r="Y270" s="2"/>
    </row>
    <row r="271" spans="1:25" ht="15.75" customHeight="1">
      <c r="A271" s="807" t="s">
        <v>25</v>
      </c>
      <c r="B271" s="817"/>
      <c r="C271" s="817"/>
      <c r="D271" s="817"/>
      <c r="E271" s="817"/>
      <c r="F271" s="817"/>
      <c r="G271" s="817"/>
      <c r="H271" s="817"/>
      <c r="I271" s="817"/>
      <c r="J271" s="817"/>
      <c r="K271" s="817"/>
      <c r="L271" s="817"/>
      <c r="M271" s="817"/>
      <c r="N271" s="817"/>
      <c r="O271" s="817"/>
      <c r="P271" s="817"/>
      <c r="Q271" s="817"/>
      <c r="R271" s="817"/>
      <c r="S271" s="817"/>
      <c r="T271" s="817"/>
      <c r="U271" s="817"/>
      <c r="V271" s="817"/>
      <c r="W271" s="817"/>
      <c r="X271" s="818"/>
      <c r="Y271" s="2"/>
    </row>
    <row r="272" spans="1:25" ht="39" customHeight="1">
      <c r="A272" s="13">
        <v>2</v>
      </c>
      <c r="B272" s="13" t="s">
        <v>328</v>
      </c>
      <c r="C272" s="13" t="s">
        <v>857</v>
      </c>
      <c r="D272" s="13" t="s">
        <v>25</v>
      </c>
      <c r="E272" s="13" t="s">
        <v>824</v>
      </c>
      <c r="F272" s="13" t="s">
        <v>858</v>
      </c>
      <c r="G272" s="13" t="s">
        <v>30</v>
      </c>
      <c r="H272" s="16" t="s">
        <v>859</v>
      </c>
      <c r="I272" s="16" t="s">
        <v>860</v>
      </c>
      <c r="J272" s="13" t="s">
        <v>52</v>
      </c>
      <c r="K272" s="13" t="s">
        <v>34</v>
      </c>
      <c r="L272" s="17" t="s">
        <v>678</v>
      </c>
      <c r="M272" s="18">
        <v>44598</v>
      </c>
      <c r="N272" s="17">
        <v>44748</v>
      </c>
      <c r="O272" s="12">
        <v>44779</v>
      </c>
      <c r="P272" s="12">
        <v>44779</v>
      </c>
      <c r="Q272" s="9" t="s">
        <v>239</v>
      </c>
      <c r="R272" s="12" t="s">
        <v>650</v>
      </c>
      <c r="S272" s="9" t="s">
        <v>861</v>
      </c>
      <c r="T272" s="9" t="s">
        <v>862</v>
      </c>
      <c r="U272" s="14">
        <v>1225000</v>
      </c>
      <c r="V272" s="14">
        <v>500000</v>
      </c>
      <c r="W272" s="14" t="s">
        <v>59</v>
      </c>
      <c r="X272" s="9" t="s">
        <v>863</v>
      </c>
      <c r="Y272" s="2"/>
    </row>
    <row r="273" spans="1:25" ht="39" customHeight="1">
      <c r="A273" s="13">
        <v>3</v>
      </c>
      <c r="B273" s="13" t="s">
        <v>328</v>
      </c>
      <c r="C273" s="13" t="s">
        <v>864</v>
      </c>
      <c r="D273" s="13" t="s">
        <v>25</v>
      </c>
      <c r="E273" s="13" t="s">
        <v>865</v>
      </c>
      <c r="F273" s="13" t="s">
        <v>866</v>
      </c>
      <c r="G273" s="13" t="s">
        <v>30</v>
      </c>
      <c r="H273" s="16" t="s">
        <v>867</v>
      </c>
      <c r="I273" s="16" t="s">
        <v>868</v>
      </c>
      <c r="J273" s="13" t="s">
        <v>52</v>
      </c>
      <c r="K273" s="13" t="s">
        <v>34</v>
      </c>
      <c r="L273" s="17" t="s">
        <v>678</v>
      </c>
      <c r="M273" s="18">
        <v>44626</v>
      </c>
      <c r="N273" s="17">
        <v>44779</v>
      </c>
      <c r="O273" s="12">
        <v>44779</v>
      </c>
      <c r="P273" s="12">
        <v>44779</v>
      </c>
      <c r="Q273" s="9" t="s">
        <v>151</v>
      </c>
      <c r="R273" s="12" t="s">
        <v>650</v>
      </c>
      <c r="S273" s="9" t="s">
        <v>869</v>
      </c>
      <c r="T273" s="12" t="s">
        <v>863</v>
      </c>
      <c r="U273" s="14">
        <v>925000</v>
      </c>
      <c r="V273" s="14">
        <v>500000</v>
      </c>
      <c r="W273" s="14" t="s">
        <v>59</v>
      </c>
      <c r="X273" s="12">
        <v>44689</v>
      </c>
      <c r="Y273" s="2"/>
    </row>
    <row r="274" spans="1:25" ht="39" customHeight="1">
      <c r="A274" s="13">
        <v>4</v>
      </c>
      <c r="B274" s="13" t="s">
        <v>328</v>
      </c>
      <c r="C274" s="13" t="s">
        <v>870</v>
      </c>
      <c r="D274" s="13" t="s">
        <v>25</v>
      </c>
      <c r="E274" s="13" t="s">
        <v>824</v>
      </c>
      <c r="F274" s="13" t="s">
        <v>871</v>
      </c>
      <c r="G274" s="13" t="s">
        <v>30</v>
      </c>
      <c r="H274" s="16" t="s">
        <v>872</v>
      </c>
      <c r="I274" s="16" t="s">
        <v>873</v>
      </c>
      <c r="J274" s="13" t="s">
        <v>74</v>
      </c>
      <c r="K274" s="13" t="s">
        <v>34</v>
      </c>
      <c r="L274" s="17" t="s">
        <v>464</v>
      </c>
      <c r="M274" s="18">
        <v>44687</v>
      </c>
      <c r="N274" s="17" t="s">
        <v>855</v>
      </c>
      <c r="O274" s="12" t="s">
        <v>855</v>
      </c>
      <c r="P274" s="12" t="s">
        <v>855</v>
      </c>
      <c r="Q274" s="9" t="s">
        <v>151</v>
      </c>
      <c r="R274" s="12" t="s">
        <v>650</v>
      </c>
      <c r="S274" s="9" t="s">
        <v>874</v>
      </c>
      <c r="T274" s="9" t="s">
        <v>862</v>
      </c>
      <c r="U274" s="14">
        <v>2125000</v>
      </c>
      <c r="V274" s="14">
        <v>500000</v>
      </c>
      <c r="W274" s="14" t="s">
        <v>59</v>
      </c>
      <c r="X274" s="9" t="s">
        <v>863</v>
      </c>
      <c r="Y274" s="2"/>
    </row>
    <row r="275" spans="1:25" ht="39" customHeight="1">
      <c r="A275" s="9">
        <v>1</v>
      </c>
      <c r="B275" s="9" t="s">
        <v>698</v>
      </c>
      <c r="C275" s="9" t="s">
        <v>875</v>
      </c>
      <c r="D275" s="9" t="s">
        <v>700</v>
      </c>
      <c r="E275" s="9" t="s">
        <v>701</v>
      </c>
      <c r="F275" s="9" t="s">
        <v>876</v>
      </c>
      <c r="G275" s="9" t="s">
        <v>30</v>
      </c>
      <c r="H275" s="10" t="s">
        <v>877</v>
      </c>
      <c r="I275" s="10" t="s">
        <v>40</v>
      </c>
      <c r="J275" s="9" t="s">
        <v>704</v>
      </c>
      <c r="K275" s="9" t="s">
        <v>40</v>
      </c>
      <c r="L275" s="12" t="s">
        <v>757</v>
      </c>
      <c r="M275" s="11">
        <v>44567</v>
      </c>
      <c r="N275" s="12" t="s">
        <v>40</v>
      </c>
      <c r="O275" s="12" t="s">
        <v>40</v>
      </c>
      <c r="P275" s="12" t="s">
        <v>40</v>
      </c>
      <c r="Q275" s="9" t="s">
        <v>40</v>
      </c>
      <c r="R275" s="12">
        <v>44748</v>
      </c>
      <c r="S275" s="9" t="s">
        <v>878</v>
      </c>
      <c r="T275" s="12" t="s">
        <v>879</v>
      </c>
      <c r="U275" s="14">
        <v>1178117</v>
      </c>
      <c r="V275" s="14">
        <v>0</v>
      </c>
      <c r="W275" s="14" t="s">
        <v>40</v>
      </c>
      <c r="X275" s="9" t="s">
        <v>40</v>
      </c>
      <c r="Y275" s="2"/>
    </row>
    <row r="276" spans="1:25" ht="32.25" customHeight="1">
      <c r="A276" s="9">
        <v>5</v>
      </c>
      <c r="B276" s="9" t="s">
        <v>749</v>
      </c>
      <c r="C276" s="9" t="s">
        <v>880</v>
      </c>
      <c r="D276" s="9" t="s">
        <v>25</v>
      </c>
      <c r="E276" s="9" t="s">
        <v>106</v>
      </c>
      <c r="F276" s="9" t="s">
        <v>881</v>
      </c>
      <c r="G276" s="9" t="s">
        <v>882</v>
      </c>
      <c r="H276" s="10" t="s">
        <v>883</v>
      </c>
      <c r="I276" s="10" t="s">
        <v>884</v>
      </c>
      <c r="J276" s="9" t="s">
        <v>885</v>
      </c>
      <c r="K276" s="9" t="s">
        <v>201</v>
      </c>
      <c r="L276" s="12">
        <v>44676</v>
      </c>
      <c r="M276" s="11">
        <v>44810</v>
      </c>
      <c r="N276" s="12">
        <v>44840</v>
      </c>
      <c r="O276" s="12">
        <v>44871</v>
      </c>
      <c r="P276" s="12">
        <v>44871</v>
      </c>
      <c r="Q276" s="9" t="s">
        <v>886</v>
      </c>
      <c r="R276" s="9" t="s">
        <v>650</v>
      </c>
      <c r="S276" s="9" t="s">
        <v>887</v>
      </c>
      <c r="T276" s="9" t="s">
        <v>863</v>
      </c>
      <c r="U276" s="14">
        <v>1475000</v>
      </c>
      <c r="V276" s="14">
        <v>400000</v>
      </c>
      <c r="W276" s="14" t="s">
        <v>760</v>
      </c>
      <c r="X276" s="12">
        <v>44689</v>
      </c>
      <c r="Y276" s="2"/>
    </row>
    <row r="277" spans="1:25" ht="15.75" customHeight="1">
      <c r="A277" s="787">
        <v>6</v>
      </c>
      <c r="B277" s="787" t="s">
        <v>45</v>
      </c>
      <c r="C277" s="787" t="s">
        <v>888</v>
      </c>
      <c r="D277" s="787" t="s">
        <v>25</v>
      </c>
      <c r="E277" s="787" t="s">
        <v>889</v>
      </c>
      <c r="F277" s="787" t="s">
        <v>890</v>
      </c>
      <c r="G277" s="787" t="s">
        <v>63</v>
      </c>
      <c r="H277" s="790" t="s">
        <v>891</v>
      </c>
      <c r="I277" s="790" t="s">
        <v>892</v>
      </c>
      <c r="J277" s="796" t="s">
        <v>66</v>
      </c>
      <c r="K277" s="787" t="s">
        <v>201</v>
      </c>
      <c r="L277" s="796">
        <v>44626</v>
      </c>
      <c r="M277" s="878">
        <v>44840</v>
      </c>
      <c r="N277" s="796">
        <v>44840</v>
      </c>
      <c r="O277" s="796">
        <v>44901</v>
      </c>
      <c r="P277" s="796" t="s">
        <v>879</v>
      </c>
      <c r="Q277" s="787" t="s">
        <v>893</v>
      </c>
      <c r="R277" s="787" t="s">
        <v>748</v>
      </c>
      <c r="S277" s="787" t="s">
        <v>894</v>
      </c>
      <c r="T277" s="796">
        <v>44719</v>
      </c>
      <c r="U277" s="815">
        <v>1255000</v>
      </c>
      <c r="V277" s="14">
        <v>50000</v>
      </c>
      <c r="W277" s="14" t="s">
        <v>290</v>
      </c>
      <c r="X277" s="9" t="s">
        <v>814</v>
      </c>
      <c r="Y277" s="2"/>
    </row>
    <row r="278" spans="1:25" ht="15.75" customHeight="1">
      <c r="A278" s="789"/>
      <c r="B278" s="789"/>
      <c r="C278" s="789"/>
      <c r="D278" s="789"/>
      <c r="E278" s="789"/>
      <c r="F278" s="789"/>
      <c r="G278" s="789"/>
      <c r="H278" s="789"/>
      <c r="I278" s="789"/>
      <c r="J278" s="789"/>
      <c r="K278" s="789"/>
      <c r="L278" s="789"/>
      <c r="M278" s="789"/>
      <c r="N278" s="789"/>
      <c r="O278" s="789"/>
      <c r="P278" s="789"/>
      <c r="Q278" s="789"/>
      <c r="R278" s="789"/>
      <c r="S278" s="789"/>
      <c r="T278" s="789"/>
      <c r="U278" s="815"/>
      <c r="V278" s="14">
        <v>100000</v>
      </c>
      <c r="W278" s="14" t="s">
        <v>59</v>
      </c>
      <c r="X278" s="9" t="s">
        <v>814</v>
      </c>
      <c r="Y278" s="2"/>
    </row>
    <row r="279" spans="1:25" ht="39" customHeight="1">
      <c r="A279" s="9">
        <v>7</v>
      </c>
      <c r="B279" s="9" t="s">
        <v>328</v>
      </c>
      <c r="C279" s="9" t="s">
        <v>895</v>
      </c>
      <c r="D279" s="9" t="s">
        <v>25</v>
      </c>
      <c r="E279" s="9"/>
      <c r="F279" s="9" t="s">
        <v>896</v>
      </c>
      <c r="G279" s="9" t="s">
        <v>833</v>
      </c>
      <c r="H279" s="10" t="s">
        <v>897</v>
      </c>
      <c r="I279" s="10" t="s">
        <v>898</v>
      </c>
      <c r="J279" s="9" t="s">
        <v>899</v>
      </c>
      <c r="K279" s="9" t="s">
        <v>900</v>
      </c>
      <c r="L279" s="12">
        <v>44840</v>
      </c>
      <c r="M279" s="11">
        <v>44840</v>
      </c>
      <c r="N279" s="12" t="s">
        <v>901</v>
      </c>
      <c r="O279" s="12" t="s">
        <v>901</v>
      </c>
      <c r="P279" s="12" t="s">
        <v>901</v>
      </c>
      <c r="Q279" s="9" t="s">
        <v>239</v>
      </c>
      <c r="R279" s="12" t="s">
        <v>650</v>
      </c>
      <c r="S279" s="9" t="s">
        <v>902</v>
      </c>
      <c r="T279" s="12" t="s">
        <v>863</v>
      </c>
      <c r="U279" s="14">
        <v>560000</v>
      </c>
      <c r="V279" s="14">
        <v>500000</v>
      </c>
      <c r="W279" s="14" t="s">
        <v>59</v>
      </c>
      <c r="X279" s="12">
        <v>44689</v>
      </c>
      <c r="Y279" s="2"/>
    </row>
    <row r="280" spans="1:25" ht="32.25" customHeight="1">
      <c r="A280" s="9">
        <v>8</v>
      </c>
      <c r="B280" s="9" t="s">
        <v>749</v>
      </c>
      <c r="C280" s="9" t="s">
        <v>903</v>
      </c>
      <c r="D280" s="9" t="s">
        <v>25</v>
      </c>
      <c r="E280" s="9" t="s">
        <v>106</v>
      </c>
      <c r="F280" s="9" t="s">
        <v>904</v>
      </c>
      <c r="G280" s="9" t="s">
        <v>882</v>
      </c>
      <c r="H280" s="10" t="s">
        <v>905</v>
      </c>
      <c r="I280" s="10" t="s">
        <v>906</v>
      </c>
      <c r="J280" s="9" t="s">
        <v>110</v>
      </c>
      <c r="K280" s="9" t="s">
        <v>501</v>
      </c>
      <c r="L280" s="12">
        <v>44626</v>
      </c>
      <c r="M280" s="11">
        <v>44871</v>
      </c>
      <c r="N280" s="12">
        <v>44871</v>
      </c>
      <c r="O280" s="12">
        <v>44901</v>
      </c>
      <c r="P280" s="12" t="s">
        <v>879</v>
      </c>
      <c r="Q280" s="9" t="s">
        <v>907</v>
      </c>
      <c r="R280" s="9" t="s">
        <v>908</v>
      </c>
      <c r="S280" s="9" t="s">
        <v>909</v>
      </c>
      <c r="T280" s="12">
        <v>44872</v>
      </c>
      <c r="U280" s="14">
        <v>2336900</v>
      </c>
      <c r="V280" s="14">
        <v>700000</v>
      </c>
      <c r="W280" s="14" t="s">
        <v>760</v>
      </c>
      <c r="X280" s="12">
        <v>44903</v>
      </c>
      <c r="Y280" s="2"/>
    </row>
    <row r="281" spans="1:25" ht="39" customHeight="1">
      <c r="A281" s="9">
        <v>9</v>
      </c>
      <c r="B281" s="9" t="s">
        <v>910</v>
      </c>
      <c r="C281" s="9" t="s">
        <v>911</v>
      </c>
      <c r="D281" s="9" t="s">
        <v>25</v>
      </c>
      <c r="E281" s="9" t="s">
        <v>912</v>
      </c>
      <c r="F281" s="9" t="s">
        <v>913</v>
      </c>
      <c r="G281" s="9" t="s">
        <v>914</v>
      </c>
      <c r="H281" s="10" t="s">
        <v>915</v>
      </c>
      <c r="I281" s="10" t="s">
        <v>40</v>
      </c>
      <c r="J281" s="9" t="s">
        <v>200</v>
      </c>
      <c r="K281" s="9" t="s">
        <v>201</v>
      </c>
      <c r="L281" s="12" t="s">
        <v>916</v>
      </c>
      <c r="M281" s="11" t="s">
        <v>917</v>
      </c>
      <c r="N281" s="12" t="s">
        <v>40</v>
      </c>
      <c r="O281" s="12" t="s">
        <v>40</v>
      </c>
      <c r="P281" s="12" t="s">
        <v>40</v>
      </c>
      <c r="Q281" s="9" t="s">
        <v>40</v>
      </c>
      <c r="R281" s="12" t="s">
        <v>908</v>
      </c>
      <c r="S281" s="9" t="s">
        <v>918</v>
      </c>
      <c r="T281" s="12" t="s">
        <v>917</v>
      </c>
      <c r="U281" s="14">
        <v>8736000</v>
      </c>
      <c r="V281" s="14">
        <v>6500000</v>
      </c>
      <c r="W281" s="14" t="s">
        <v>760</v>
      </c>
      <c r="X281" s="12">
        <v>44568</v>
      </c>
      <c r="Y281" s="46"/>
    </row>
    <row r="282" spans="1:25" ht="54.75" customHeight="1">
      <c r="A282" s="787">
        <v>10</v>
      </c>
      <c r="B282" s="787" t="s">
        <v>104</v>
      </c>
      <c r="C282" s="787" t="s">
        <v>919</v>
      </c>
      <c r="D282" s="787" t="s">
        <v>25</v>
      </c>
      <c r="E282" s="787" t="s">
        <v>798</v>
      </c>
      <c r="F282" s="787" t="s">
        <v>920</v>
      </c>
      <c r="G282" s="787" t="s">
        <v>921</v>
      </c>
      <c r="H282" s="790" t="s">
        <v>922</v>
      </c>
      <c r="I282" s="790" t="s">
        <v>923</v>
      </c>
      <c r="J282" s="787" t="s">
        <v>33</v>
      </c>
      <c r="K282" s="787" t="s">
        <v>194</v>
      </c>
      <c r="L282" s="796">
        <v>44712</v>
      </c>
      <c r="M282" s="878" t="s">
        <v>924</v>
      </c>
      <c r="N282" s="796" t="s">
        <v>748</v>
      </c>
      <c r="O282" s="796" t="s">
        <v>925</v>
      </c>
      <c r="P282" s="796" t="s">
        <v>926</v>
      </c>
      <c r="Q282" s="787" t="s">
        <v>927</v>
      </c>
      <c r="R282" s="796">
        <v>44872</v>
      </c>
      <c r="S282" s="787" t="s">
        <v>928</v>
      </c>
      <c r="T282" s="787" t="s">
        <v>929</v>
      </c>
      <c r="U282" s="815">
        <v>36613900</v>
      </c>
      <c r="V282" s="14">
        <v>10640000</v>
      </c>
      <c r="W282" s="14" t="s">
        <v>290</v>
      </c>
      <c r="X282" s="9"/>
      <c r="Y282" s="2"/>
    </row>
    <row r="283" spans="1:25" ht="54.75" customHeight="1">
      <c r="A283" s="789"/>
      <c r="B283" s="789"/>
      <c r="C283" s="789"/>
      <c r="D283" s="789"/>
      <c r="E283" s="789"/>
      <c r="F283" s="789"/>
      <c r="G283" s="789"/>
      <c r="H283" s="789"/>
      <c r="I283" s="789"/>
      <c r="J283" s="789"/>
      <c r="K283" s="789"/>
      <c r="L283" s="789"/>
      <c r="M283" s="789"/>
      <c r="N283" s="789"/>
      <c r="O283" s="789"/>
      <c r="P283" s="789"/>
      <c r="Q283" s="789"/>
      <c r="R283" s="789"/>
      <c r="S283" s="789"/>
      <c r="T283" s="789"/>
      <c r="U283" s="815"/>
      <c r="V283" s="14">
        <v>28000000</v>
      </c>
      <c r="W283" s="14" t="s">
        <v>59</v>
      </c>
      <c r="X283" s="9"/>
      <c r="Y283" s="2"/>
    </row>
    <row r="284" spans="1:25" ht="39" customHeight="1">
      <c r="A284" s="9">
        <v>11</v>
      </c>
      <c r="B284" s="9" t="s">
        <v>328</v>
      </c>
      <c r="C284" s="9" t="s">
        <v>930</v>
      </c>
      <c r="D284" s="9" t="s">
        <v>25</v>
      </c>
      <c r="E284" s="9" t="s">
        <v>330</v>
      </c>
      <c r="F284" s="9" t="s">
        <v>931</v>
      </c>
      <c r="G284" s="9" t="s">
        <v>30</v>
      </c>
      <c r="H284" s="10" t="s">
        <v>932</v>
      </c>
      <c r="I284" s="10" t="s">
        <v>933</v>
      </c>
      <c r="J284" s="9" t="s">
        <v>934</v>
      </c>
      <c r="K284" s="9" t="s">
        <v>935</v>
      </c>
      <c r="L284" s="12">
        <v>44810</v>
      </c>
      <c r="M284" s="11" t="s">
        <v>924</v>
      </c>
      <c r="N284" s="12">
        <v>44688</v>
      </c>
      <c r="O284" s="12">
        <v>44719</v>
      </c>
      <c r="P284" s="12">
        <v>44719</v>
      </c>
      <c r="Q284" s="9" t="s">
        <v>151</v>
      </c>
      <c r="R284" s="12" t="s">
        <v>936</v>
      </c>
      <c r="S284" s="9" t="s">
        <v>937</v>
      </c>
      <c r="T284" s="12" t="s">
        <v>938</v>
      </c>
      <c r="U284" s="14">
        <v>1882800</v>
      </c>
      <c r="V284" s="14">
        <v>500000</v>
      </c>
      <c r="W284" s="14" t="s">
        <v>59</v>
      </c>
      <c r="X284" s="12">
        <v>44812</v>
      </c>
      <c r="Y284" s="2"/>
    </row>
    <row r="285" spans="1:25" ht="15.75" customHeight="1">
      <c r="A285" s="787">
        <v>12</v>
      </c>
      <c r="B285" s="787" t="s">
        <v>45</v>
      </c>
      <c r="C285" s="787" t="s">
        <v>939</v>
      </c>
      <c r="D285" s="787" t="s">
        <v>25</v>
      </c>
      <c r="E285" s="787" t="s">
        <v>258</v>
      </c>
      <c r="F285" s="787" t="s">
        <v>940</v>
      </c>
      <c r="G285" s="787" t="s">
        <v>30</v>
      </c>
      <c r="H285" s="790" t="s">
        <v>941</v>
      </c>
      <c r="I285" s="790" t="s">
        <v>942</v>
      </c>
      <c r="J285" s="796" t="s">
        <v>365</v>
      </c>
      <c r="K285" s="787" t="s">
        <v>943</v>
      </c>
      <c r="L285" s="796">
        <v>44901</v>
      </c>
      <c r="M285" s="878" t="s">
        <v>908</v>
      </c>
      <c r="N285" s="796" t="s">
        <v>650</v>
      </c>
      <c r="O285" s="796" t="s">
        <v>944</v>
      </c>
      <c r="P285" s="796" t="s">
        <v>944</v>
      </c>
      <c r="Q285" s="787" t="s">
        <v>151</v>
      </c>
      <c r="R285" s="787" t="s">
        <v>759</v>
      </c>
      <c r="S285" s="787" t="s">
        <v>945</v>
      </c>
      <c r="T285" s="796">
        <v>44749</v>
      </c>
      <c r="U285" s="815">
        <v>1580000</v>
      </c>
      <c r="V285" s="14">
        <v>2800000</v>
      </c>
      <c r="W285" s="14" t="s">
        <v>290</v>
      </c>
      <c r="X285" s="9" t="s">
        <v>814</v>
      </c>
      <c r="Y285" s="2"/>
    </row>
    <row r="286" spans="1:25" ht="15.75" customHeight="1">
      <c r="A286" s="789"/>
      <c r="B286" s="789"/>
      <c r="C286" s="789"/>
      <c r="D286" s="789"/>
      <c r="E286" s="789"/>
      <c r="F286" s="789"/>
      <c r="G286" s="789"/>
      <c r="H286" s="789"/>
      <c r="I286" s="789"/>
      <c r="J286" s="789"/>
      <c r="K286" s="789"/>
      <c r="L286" s="789"/>
      <c r="M286" s="789"/>
      <c r="N286" s="789"/>
      <c r="O286" s="789"/>
      <c r="P286" s="789"/>
      <c r="Q286" s="789"/>
      <c r="R286" s="789"/>
      <c r="S286" s="789"/>
      <c r="T286" s="789"/>
      <c r="U286" s="815"/>
      <c r="V286" s="14">
        <v>1000000</v>
      </c>
      <c r="W286" s="14" t="s">
        <v>59</v>
      </c>
      <c r="X286" s="9" t="s">
        <v>814</v>
      </c>
      <c r="Y286" s="2"/>
    </row>
    <row r="287" spans="1:25" ht="39" customHeight="1">
      <c r="A287" s="9">
        <v>13</v>
      </c>
      <c r="B287" s="9" t="s">
        <v>328</v>
      </c>
      <c r="C287" s="9" t="s">
        <v>946</v>
      </c>
      <c r="D287" s="9" t="s">
        <v>25</v>
      </c>
      <c r="E287" s="9" t="s">
        <v>824</v>
      </c>
      <c r="F287" s="9" t="s">
        <v>947</v>
      </c>
      <c r="G287" s="9" t="s">
        <v>30</v>
      </c>
      <c r="H287" s="10" t="s">
        <v>948</v>
      </c>
      <c r="I287" s="10" t="s">
        <v>949</v>
      </c>
      <c r="J287" s="9" t="s">
        <v>52</v>
      </c>
      <c r="K287" s="9" t="s">
        <v>34</v>
      </c>
      <c r="L287" s="12" t="s">
        <v>950</v>
      </c>
      <c r="M287" s="11" t="s">
        <v>951</v>
      </c>
      <c r="N287" s="12">
        <v>44568</v>
      </c>
      <c r="O287" s="12">
        <v>44568</v>
      </c>
      <c r="P287" s="12">
        <v>44568</v>
      </c>
      <c r="Q287" s="9" t="s">
        <v>952</v>
      </c>
      <c r="R287" s="12" t="s">
        <v>953</v>
      </c>
      <c r="S287" s="9" t="s">
        <v>954</v>
      </c>
      <c r="T287" s="12" t="s">
        <v>955</v>
      </c>
      <c r="U287" s="14">
        <v>625000</v>
      </c>
      <c r="V287" s="14">
        <v>500000</v>
      </c>
      <c r="W287" s="14" t="s">
        <v>59</v>
      </c>
      <c r="X287" s="12">
        <v>44601</v>
      </c>
      <c r="Y287" s="2"/>
    </row>
    <row r="288" spans="1:25" ht="13.5" customHeight="1">
      <c r="A288" s="807" t="s">
        <v>128</v>
      </c>
      <c r="B288" s="817"/>
      <c r="C288" s="817"/>
      <c r="D288" s="817"/>
      <c r="E288" s="817"/>
      <c r="F288" s="817"/>
      <c r="G288" s="817"/>
      <c r="H288" s="817"/>
      <c r="I288" s="817"/>
      <c r="J288" s="817"/>
      <c r="K288" s="817"/>
      <c r="L288" s="817"/>
      <c r="M288" s="817"/>
      <c r="N288" s="817"/>
      <c r="O288" s="817"/>
      <c r="P288" s="817"/>
      <c r="Q288" s="817"/>
      <c r="R288" s="817"/>
      <c r="S288" s="817"/>
      <c r="T288" s="817"/>
      <c r="U288" s="817"/>
      <c r="V288" s="817"/>
      <c r="W288" s="817"/>
      <c r="X288" s="818"/>
      <c r="Y288" s="2"/>
    </row>
    <row r="289" spans="1:25" ht="30.75" customHeight="1">
      <c r="A289" s="787">
        <v>14</v>
      </c>
      <c r="B289" s="787" t="s">
        <v>45</v>
      </c>
      <c r="C289" s="787" t="s">
        <v>956</v>
      </c>
      <c r="D289" s="787" t="s">
        <v>128</v>
      </c>
      <c r="E289" s="787" t="s">
        <v>849</v>
      </c>
      <c r="F289" s="787" t="s">
        <v>957</v>
      </c>
      <c r="G289" s="787" t="s">
        <v>71</v>
      </c>
      <c r="H289" s="790" t="s">
        <v>958</v>
      </c>
      <c r="I289" s="790" t="s">
        <v>235</v>
      </c>
      <c r="J289" s="787" t="s">
        <v>533</v>
      </c>
      <c r="K289" s="787" t="s">
        <v>959</v>
      </c>
      <c r="L289" s="796" t="s">
        <v>879</v>
      </c>
      <c r="M289" s="878" t="s">
        <v>950</v>
      </c>
      <c r="N289" s="879" t="s">
        <v>960</v>
      </c>
      <c r="O289" s="880"/>
      <c r="P289" s="881"/>
      <c r="Q289" s="787" t="s">
        <v>78</v>
      </c>
      <c r="R289" s="796" t="s">
        <v>908</v>
      </c>
      <c r="S289" s="787" t="s">
        <v>961</v>
      </c>
      <c r="T289" s="787" t="s">
        <v>962</v>
      </c>
      <c r="U289" s="815">
        <v>2464600</v>
      </c>
      <c r="V289" s="14">
        <v>840000</v>
      </c>
      <c r="W289" s="14" t="s">
        <v>290</v>
      </c>
      <c r="X289" s="12">
        <v>44780</v>
      </c>
      <c r="Y289" s="2"/>
    </row>
    <row r="290" spans="1:25" ht="15.75" customHeight="1">
      <c r="A290" s="789"/>
      <c r="B290" s="789"/>
      <c r="C290" s="789"/>
      <c r="D290" s="789"/>
      <c r="E290" s="789"/>
      <c r="F290" s="789"/>
      <c r="G290" s="789"/>
      <c r="H290" s="789"/>
      <c r="I290" s="789"/>
      <c r="J290" s="789"/>
      <c r="K290" s="789"/>
      <c r="L290" s="789"/>
      <c r="M290" s="789"/>
      <c r="N290" s="882"/>
      <c r="O290" s="817"/>
      <c r="P290" s="818"/>
      <c r="Q290" s="789"/>
      <c r="R290" s="789"/>
      <c r="S290" s="789"/>
      <c r="T290" s="789"/>
      <c r="U290" s="816"/>
      <c r="V290" s="14">
        <v>2000000</v>
      </c>
      <c r="W290" s="14" t="s">
        <v>59</v>
      </c>
      <c r="X290" s="12">
        <v>44780</v>
      </c>
      <c r="Y290" s="2"/>
    </row>
    <row r="291" spans="1:25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4"/>
      <c r="M291" s="35"/>
      <c r="N291" s="24"/>
      <c r="O291" s="24"/>
      <c r="P291" s="24"/>
      <c r="Q291" s="22"/>
      <c r="R291" s="22"/>
      <c r="S291" s="22"/>
      <c r="T291" s="25" t="s">
        <v>163</v>
      </c>
      <c r="U291" s="26">
        <f>SUM(U272:U290)</f>
        <v>62982317</v>
      </c>
      <c r="V291" s="26">
        <f>V280+V276+V290+V286+V283+V282+V308</f>
        <v>42740000</v>
      </c>
      <c r="W291" s="29"/>
      <c r="X291" s="22"/>
      <c r="Y291" s="2"/>
    </row>
    <row r="292" spans="1:25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4"/>
      <c r="M292" s="35"/>
      <c r="N292" s="24"/>
      <c r="O292" s="24"/>
      <c r="P292" s="24"/>
      <c r="Q292" s="22"/>
      <c r="R292" s="22"/>
      <c r="S292" s="22"/>
      <c r="T292" s="25" t="s">
        <v>544</v>
      </c>
      <c r="U292" s="30">
        <v>30000000</v>
      </c>
      <c r="V292" s="44" t="s">
        <v>278</v>
      </c>
      <c r="W292" s="29"/>
      <c r="X292" s="22"/>
      <c r="Y292" s="2"/>
    </row>
    <row r="293" spans="1:25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4"/>
      <c r="M293" s="35"/>
      <c r="N293" s="24"/>
      <c r="O293" s="24"/>
      <c r="P293" s="24"/>
      <c r="Q293" s="22"/>
      <c r="R293" s="22"/>
      <c r="S293" s="22"/>
      <c r="T293" s="25"/>
      <c r="U293" s="26">
        <f>U291-U292</f>
        <v>32982317</v>
      </c>
      <c r="V293" s="44"/>
      <c r="W293" s="29"/>
      <c r="X293" s="22"/>
      <c r="Y293" s="2"/>
    </row>
    <row r="294" spans="1:25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4"/>
      <c r="M294" s="35"/>
      <c r="N294" s="24"/>
      <c r="O294" s="24"/>
      <c r="P294" s="24"/>
      <c r="Q294" s="22"/>
      <c r="R294" s="22"/>
      <c r="S294" s="22"/>
      <c r="T294" s="888" t="s">
        <v>165</v>
      </c>
      <c r="U294" s="26">
        <f>U291*10/100</f>
        <v>6298231.7000000002</v>
      </c>
      <c r="V294" s="42"/>
      <c r="W294" s="29"/>
      <c r="X294" s="22"/>
      <c r="Y294" s="2"/>
    </row>
    <row r="295" spans="1:2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3"/>
      <c r="N295" s="22"/>
      <c r="O295" s="22"/>
      <c r="P295" s="22"/>
      <c r="Q295" s="22"/>
      <c r="R295" s="22"/>
      <c r="S295" s="22"/>
      <c r="T295" s="889"/>
      <c r="U295" s="30">
        <f>U293*5/100</f>
        <v>1649115.85</v>
      </c>
      <c r="V295" s="42" t="s">
        <v>282</v>
      </c>
      <c r="W295" s="22"/>
      <c r="X295" s="22"/>
      <c r="Y295" s="2"/>
    </row>
    <row r="296" spans="1:25" ht="1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3"/>
      <c r="N296" s="22"/>
      <c r="O296" s="22"/>
      <c r="P296" s="22"/>
      <c r="Q296" s="22"/>
      <c r="R296" s="22"/>
      <c r="S296" s="22"/>
      <c r="T296" s="42"/>
      <c r="U296" s="45">
        <f>U294+U295</f>
        <v>7947347.5500000007</v>
      </c>
      <c r="V296" s="928" t="s">
        <v>963</v>
      </c>
      <c r="W296" s="928"/>
      <c r="X296" s="22"/>
      <c r="Y296" s="2"/>
    </row>
    <row r="297" spans="1:25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3"/>
      <c r="N297" s="22"/>
      <c r="O297" s="22"/>
      <c r="P297" s="22"/>
      <c r="Q297" s="22"/>
      <c r="R297" s="22"/>
      <c r="S297" s="22"/>
      <c r="T297" s="42"/>
      <c r="U297" s="45">
        <f>U296-1250000</f>
        <v>6697347.5500000007</v>
      </c>
      <c r="V297" s="42"/>
      <c r="W297" s="22"/>
      <c r="X297" s="22"/>
      <c r="Y297" s="2"/>
    </row>
    <row r="298" spans="1:25" ht="34.5" customHeight="1">
      <c r="A298" s="886" t="s">
        <v>964</v>
      </c>
      <c r="B298" s="887"/>
      <c r="C298" s="887"/>
      <c r="D298" s="887"/>
      <c r="E298" s="887"/>
      <c r="F298" s="887"/>
      <c r="G298" s="887"/>
      <c r="H298" s="887"/>
      <c r="I298" s="887"/>
      <c r="J298" s="887"/>
      <c r="K298" s="887"/>
      <c r="L298" s="887"/>
      <c r="M298" s="887"/>
      <c r="N298" s="887"/>
      <c r="O298" s="887"/>
      <c r="P298" s="887"/>
      <c r="Q298" s="887"/>
      <c r="R298" s="887"/>
      <c r="S298" s="887"/>
      <c r="T298" s="887"/>
      <c r="U298" s="887"/>
      <c r="V298" s="887"/>
      <c r="W298" s="887"/>
      <c r="X298" s="887"/>
      <c r="Y298" s="2"/>
    </row>
    <row r="299" spans="1:25" ht="15.75" customHeight="1">
      <c r="A299" s="3" t="s">
        <v>1</v>
      </c>
      <c r="B299" s="4" t="s">
        <v>2</v>
      </c>
      <c r="C299" s="5" t="s">
        <v>3</v>
      </c>
      <c r="D299" s="5" t="s">
        <v>4</v>
      </c>
      <c r="E299" s="5" t="s">
        <v>5</v>
      </c>
      <c r="F299" s="5" t="s">
        <v>6</v>
      </c>
      <c r="G299" s="5" t="s">
        <v>7</v>
      </c>
      <c r="H299" s="5" t="s">
        <v>167</v>
      </c>
      <c r="I299" s="5" t="s">
        <v>9</v>
      </c>
      <c r="J299" s="5" t="s">
        <v>10</v>
      </c>
      <c r="K299" s="5" t="s">
        <v>11</v>
      </c>
      <c r="L299" s="5" t="s">
        <v>12</v>
      </c>
      <c r="M299" s="6" t="s">
        <v>13</v>
      </c>
      <c r="N299" s="5" t="s">
        <v>14</v>
      </c>
      <c r="O299" s="5" t="s">
        <v>15</v>
      </c>
      <c r="P299" s="5" t="s">
        <v>16</v>
      </c>
      <c r="Q299" s="7" t="s">
        <v>17</v>
      </c>
      <c r="R299" s="8" t="s">
        <v>18</v>
      </c>
      <c r="S299" s="8" t="s">
        <v>19</v>
      </c>
      <c r="T299" s="8" t="s">
        <v>20</v>
      </c>
      <c r="U299" s="5" t="s">
        <v>21</v>
      </c>
      <c r="V299" s="5" t="s">
        <v>22</v>
      </c>
      <c r="W299" s="5" t="s">
        <v>23</v>
      </c>
      <c r="X299" s="5" t="s">
        <v>24</v>
      </c>
      <c r="Y299" s="2"/>
    </row>
    <row r="300" spans="1:25" ht="15.75" customHeight="1">
      <c r="A300" s="807" t="s">
        <v>25</v>
      </c>
      <c r="B300" s="817"/>
      <c r="C300" s="817"/>
      <c r="D300" s="817"/>
      <c r="E300" s="817"/>
      <c r="F300" s="817"/>
      <c r="G300" s="817"/>
      <c r="H300" s="817"/>
      <c r="I300" s="817"/>
      <c r="J300" s="817"/>
      <c r="K300" s="817"/>
      <c r="L300" s="817"/>
      <c r="M300" s="817"/>
      <c r="N300" s="817"/>
      <c r="O300" s="817"/>
      <c r="P300" s="817"/>
      <c r="Q300" s="817"/>
      <c r="R300" s="817"/>
      <c r="S300" s="817"/>
      <c r="T300" s="817"/>
      <c r="U300" s="817"/>
      <c r="V300" s="817"/>
      <c r="W300" s="817"/>
      <c r="X300" s="818"/>
      <c r="Y300" s="2"/>
    </row>
    <row r="301" spans="1:25" ht="31.5" customHeight="1">
      <c r="A301" s="787">
        <v>1</v>
      </c>
      <c r="B301" s="787" t="s">
        <v>45</v>
      </c>
      <c r="C301" s="787" t="s">
        <v>965</v>
      </c>
      <c r="D301" s="787" t="s">
        <v>25</v>
      </c>
      <c r="E301" s="787" t="s">
        <v>182</v>
      </c>
      <c r="F301" s="787" t="s">
        <v>966</v>
      </c>
      <c r="G301" s="787" t="s">
        <v>71</v>
      </c>
      <c r="H301" s="790" t="s">
        <v>967</v>
      </c>
      <c r="I301" s="790" t="s">
        <v>968</v>
      </c>
      <c r="J301" s="796" t="s">
        <v>186</v>
      </c>
      <c r="K301" s="787" t="s">
        <v>99</v>
      </c>
      <c r="L301" s="796" t="s">
        <v>722</v>
      </c>
      <c r="M301" s="878">
        <v>44811</v>
      </c>
      <c r="N301" s="796">
        <v>44658</v>
      </c>
      <c r="O301" s="796">
        <v>44658</v>
      </c>
      <c r="P301" s="796">
        <v>44688</v>
      </c>
      <c r="Q301" s="787" t="s">
        <v>78</v>
      </c>
      <c r="R301" s="787" t="s">
        <v>953</v>
      </c>
      <c r="S301" s="787" t="s">
        <v>969</v>
      </c>
      <c r="T301" s="787" t="s">
        <v>970</v>
      </c>
      <c r="U301" s="815">
        <v>375000</v>
      </c>
      <c r="V301" s="14">
        <v>50000</v>
      </c>
      <c r="W301" s="14" t="s">
        <v>290</v>
      </c>
      <c r="X301" s="12">
        <v>44903</v>
      </c>
      <c r="Y301" s="2"/>
    </row>
    <row r="302" spans="1:25" ht="30.75" customHeight="1">
      <c r="A302" s="789"/>
      <c r="B302" s="789"/>
      <c r="C302" s="789"/>
      <c r="D302" s="789"/>
      <c r="E302" s="789"/>
      <c r="F302" s="789"/>
      <c r="G302" s="789"/>
      <c r="H302" s="789"/>
      <c r="I302" s="789"/>
      <c r="J302" s="789"/>
      <c r="K302" s="789"/>
      <c r="L302" s="789"/>
      <c r="M302" s="789"/>
      <c r="N302" s="789"/>
      <c r="O302" s="789"/>
      <c r="P302" s="789"/>
      <c r="Q302" s="789"/>
      <c r="R302" s="789"/>
      <c r="S302" s="789"/>
      <c r="T302" s="789"/>
      <c r="U302" s="816"/>
      <c r="V302" s="14">
        <v>50000</v>
      </c>
      <c r="W302" s="14" t="s">
        <v>59</v>
      </c>
      <c r="X302" s="9" t="s">
        <v>863</v>
      </c>
      <c r="Y302" s="2"/>
    </row>
    <row r="303" spans="1:25" ht="15.75" customHeight="1">
      <c r="A303" s="787">
        <v>2</v>
      </c>
      <c r="B303" s="787" t="s">
        <v>104</v>
      </c>
      <c r="C303" s="787" t="s">
        <v>971</v>
      </c>
      <c r="D303" s="787" t="s">
        <v>25</v>
      </c>
      <c r="E303" s="787" t="s">
        <v>972</v>
      </c>
      <c r="F303" s="787" t="s">
        <v>973</v>
      </c>
      <c r="G303" s="787" t="s">
        <v>833</v>
      </c>
      <c r="H303" s="790" t="s">
        <v>974</v>
      </c>
      <c r="I303" s="790" t="s">
        <v>975</v>
      </c>
      <c r="J303" s="796" t="s">
        <v>976</v>
      </c>
      <c r="K303" s="787" t="s">
        <v>977</v>
      </c>
      <c r="L303" s="796">
        <v>44568</v>
      </c>
      <c r="M303" s="878">
        <v>44658</v>
      </c>
      <c r="N303" s="796">
        <v>44719</v>
      </c>
      <c r="O303" s="796">
        <v>44719</v>
      </c>
      <c r="P303" s="796">
        <v>44719</v>
      </c>
      <c r="Q303" s="787" t="s">
        <v>239</v>
      </c>
      <c r="R303" s="787" t="s">
        <v>863</v>
      </c>
      <c r="S303" s="787" t="s">
        <v>978</v>
      </c>
      <c r="T303" s="796">
        <v>44903</v>
      </c>
      <c r="U303" s="815">
        <v>40418265</v>
      </c>
      <c r="V303" s="14">
        <v>18428000</v>
      </c>
      <c r="W303" s="14" t="s">
        <v>290</v>
      </c>
      <c r="X303" s="12">
        <v>44903</v>
      </c>
      <c r="Y303" s="2"/>
    </row>
    <row r="304" spans="1:25" ht="15.75" customHeight="1">
      <c r="A304" s="789"/>
      <c r="B304" s="789"/>
      <c r="C304" s="789"/>
      <c r="D304" s="789"/>
      <c r="E304" s="789"/>
      <c r="F304" s="789"/>
      <c r="G304" s="789"/>
      <c r="H304" s="789"/>
      <c r="I304" s="789"/>
      <c r="J304" s="789"/>
      <c r="K304" s="789"/>
      <c r="L304" s="789"/>
      <c r="M304" s="789"/>
      <c r="N304" s="789"/>
      <c r="O304" s="789"/>
      <c r="P304" s="789"/>
      <c r="Q304" s="789"/>
      <c r="R304" s="789"/>
      <c r="S304" s="789"/>
      <c r="T304" s="789"/>
      <c r="U304" s="815"/>
      <c r="V304" s="14">
        <v>25550000</v>
      </c>
      <c r="W304" s="14" t="s">
        <v>59</v>
      </c>
      <c r="X304" s="12">
        <v>44903</v>
      </c>
      <c r="Y304" s="2"/>
    </row>
    <row r="305" spans="1:25" ht="15.75" customHeight="1">
      <c r="A305" s="787">
        <v>3</v>
      </c>
      <c r="B305" s="787" t="s">
        <v>45</v>
      </c>
      <c r="C305" s="787" t="s">
        <v>979</v>
      </c>
      <c r="D305" s="787" t="s">
        <v>25</v>
      </c>
      <c r="E305" s="787" t="s">
        <v>313</v>
      </c>
      <c r="F305" s="787" t="s">
        <v>980</v>
      </c>
      <c r="G305" s="787" t="s">
        <v>71</v>
      </c>
      <c r="H305" s="790" t="s">
        <v>981</v>
      </c>
      <c r="I305" s="790" t="s">
        <v>982</v>
      </c>
      <c r="J305" s="796" t="s">
        <v>74</v>
      </c>
      <c r="K305" s="787" t="s">
        <v>201</v>
      </c>
      <c r="L305" s="796">
        <v>44658</v>
      </c>
      <c r="M305" s="878">
        <v>44902</v>
      </c>
      <c r="N305" s="796" t="s">
        <v>929</v>
      </c>
      <c r="O305" s="796" t="s">
        <v>929</v>
      </c>
      <c r="P305" s="796" t="s">
        <v>814</v>
      </c>
      <c r="Q305" s="787" t="s">
        <v>983</v>
      </c>
      <c r="R305" s="787" t="s">
        <v>984</v>
      </c>
      <c r="S305" s="787" t="s">
        <v>985</v>
      </c>
      <c r="T305" s="787" t="s">
        <v>986</v>
      </c>
      <c r="U305" s="815">
        <v>325000</v>
      </c>
      <c r="V305" s="14">
        <v>50000</v>
      </c>
      <c r="W305" s="14" t="s">
        <v>290</v>
      </c>
      <c r="X305" s="12" t="s">
        <v>987</v>
      </c>
      <c r="Y305" s="2"/>
    </row>
    <row r="306" spans="1:25" ht="15.75" customHeight="1">
      <c r="A306" s="789"/>
      <c r="B306" s="789"/>
      <c r="C306" s="789"/>
      <c r="D306" s="789"/>
      <c r="E306" s="789"/>
      <c r="F306" s="789"/>
      <c r="G306" s="789"/>
      <c r="H306" s="789"/>
      <c r="I306" s="789"/>
      <c r="J306" s="789"/>
      <c r="K306" s="789"/>
      <c r="L306" s="789"/>
      <c r="M306" s="789"/>
      <c r="N306" s="789"/>
      <c r="O306" s="789"/>
      <c r="P306" s="789"/>
      <c r="Q306" s="789"/>
      <c r="R306" s="789"/>
      <c r="S306" s="789"/>
      <c r="T306" s="789"/>
      <c r="U306" s="815"/>
      <c r="V306" s="14">
        <v>50000</v>
      </c>
      <c r="W306" s="14" t="s">
        <v>59</v>
      </c>
      <c r="X306" s="12">
        <v>44601</v>
      </c>
      <c r="Y306" s="2"/>
    </row>
    <row r="307" spans="1:25" ht="39" customHeight="1">
      <c r="A307" s="9">
        <v>4</v>
      </c>
      <c r="B307" s="9" t="s">
        <v>328</v>
      </c>
      <c r="C307" s="9" t="s">
        <v>988</v>
      </c>
      <c r="D307" s="9" t="s">
        <v>25</v>
      </c>
      <c r="E307" s="9" t="s">
        <v>989</v>
      </c>
      <c r="F307" s="9" t="s">
        <v>990</v>
      </c>
      <c r="G307" s="9" t="s">
        <v>30</v>
      </c>
      <c r="H307" s="10" t="s">
        <v>991</v>
      </c>
      <c r="I307" s="10" t="s">
        <v>992</v>
      </c>
      <c r="J307" s="9" t="s">
        <v>52</v>
      </c>
      <c r="K307" s="9" t="s">
        <v>34</v>
      </c>
      <c r="L307" s="12">
        <v>44688</v>
      </c>
      <c r="M307" s="11" t="s">
        <v>993</v>
      </c>
      <c r="N307" s="12" t="s">
        <v>936</v>
      </c>
      <c r="O307" s="12" t="s">
        <v>970</v>
      </c>
      <c r="P307" s="12" t="s">
        <v>970</v>
      </c>
      <c r="Q307" s="9" t="s">
        <v>36</v>
      </c>
      <c r="R307" s="12" t="s">
        <v>984</v>
      </c>
      <c r="S307" s="9" t="s">
        <v>994</v>
      </c>
      <c r="T307" s="12">
        <v>44844</v>
      </c>
      <c r="U307" s="14">
        <v>1525000</v>
      </c>
      <c r="V307" s="14">
        <v>500000</v>
      </c>
      <c r="W307" s="14" t="s">
        <v>59</v>
      </c>
      <c r="X307" s="9" t="s">
        <v>995</v>
      </c>
      <c r="Y307" s="2"/>
    </row>
    <row r="308" spans="1:25" ht="39" customHeight="1">
      <c r="A308" s="9">
        <v>5</v>
      </c>
      <c r="B308" s="9" t="s">
        <v>698</v>
      </c>
      <c r="C308" s="9" t="s">
        <v>996</v>
      </c>
      <c r="D308" s="9" t="s">
        <v>700</v>
      </c>
      <c r="E308" s="9" t="s">
        <v>701</v>
      </c>
      <c r="F308" s="9" t="s">
        <v>997</v>
      </c>
      <c r="G308" s="9" t="s">
        <v>30</v>
      </c>
      <c r="H308" s="10" t="s">
        <v>998</v>
      </c>
      <c r="I308" s="10" t="s">
        <v>40</v>
      </c>
      <c r="J308" s="9" t="s">
        <v>999</v>
      </c>
      <c r="K308" s="9" t="s">
        <v>40</v>
      </c>
      <c r="L308" s="12" t="s">
        <v>908</v>
      </c>
      <c r="M308" s="11" t="s">
        <v>953</v>
      </c>
      <c r="N308" s="12" t="s">
        <v>40</v>
      </c>
      <c r="O308" s="12" t="s">
        <v>40</v>
      </c>
      <c r="P308" s="12" t="s">
        <v>40</v>
      </c>
      <c r="Q308" s="9" t="s">
        <v>40</v>
      </c>
      <c r="R308" s="12" t="s">
        <v>936</v>
      </c>
      <c r="S308" s="9" t="s">
        <v>1000</v>
      </c>
      <c r="T308" s="12" t="s">
        <v>862</v>
      </c>
      <c r="U308" s="14">
        <v>461980</v>
      </c>
      <c r="V308" s="14">
        <v>0</v>
      </c>
      <c r="W308" s="14" t="s">
        <v>40</v>
      </c>
      <c r="X308" s="9" t="s">
        <v>40</v>
      </c>
      <c r="Y308" s="2"/>
    </row>
    <row r="309" spans="1:25" ht="15.75" customHeight="1">
      <c r="A309" s="787">
        <v>6</v>
      </c>
      <c r="B309" s="787" t="s">
        <v>45</v>
      </c>
      <c r="C309" s="787" t="s">
        <v>1001</v>
      </c>
      <c r="D309" s="787" t="s">
        <v>25</v>
      </c>
      <c r="E309" s="787" t="s">
        <v>299</v>
      </c>
      <c r="F309" s="787" t="s">
        <v>1002</v>
      </c>
      <c r="G309" s="787" t="s">
        <v>71</v>
      </c>
      <c r="H309" s="790" t="s">
        <v>1003</v>
      </c>
      <c r="I309" s="790" t="s">
        <v>1004</v>
      </c>
      <c r="J309" s="796" t="s">
        <v>200</v>
      </c>
      <c r="K309" s="787" t="s">
        <v>201</v>
      </c>
      <c r="L309" s="796" t="s">
        <v>936</v>
      </c>
      <c r="M309" s="878" t="s">
        <v>1005</v>
      </c>
      <c r="N309" s="796" t="s">
        <v>1006</v>
      </c>
      <c r="O309" s="796" t="s">
        <v>1006</v>
      </c>
      <c r="P309" s="796" t="s">
        <v>1007</v>
      </c>
      <c r="Q309" s="787" t="s">
        <v>78</v>
      </c>
      <c r="R309" s="787" t="s">
        <v>1008</v>
      </c>
      <c r="S309" s="787" t="s">
        <v>1009</v>
      </c>
      <c r="T309" s="787" t="s">
        <v>984</v>
      </c>
      <c r="U309" s="815">
        <v>1915000</v>
      </c>
      <c r="V309" s="14">
        <v>50000</v>
      </c>
      <c r="W309" s="14" t="s">
        <v>290</v>
      </c>
      <c r="X309" s="9" t="s">
        <v>987</v>
      </c>
      <c r="Y309" s="2"/>
    </row>
    <row r="310" spans="1:25" ht="15.75" customHeight="1">
      <c r="A310" s="789"/>
      <c r="B310" s="789"/>
      <c r="C310" s="789"/>
      <c r="D310" s="789"/>
      <c r="E310" s="789"/>
      <c r="F310" s="789"/>
      <c r="G310" s="789"/>
      <c r="H310" s="789"/>
      <c r="I310" s="789"/>
      <c r="J310" s="789"/>
      <c r="K310" s="789"/>
      <c r="L310" s="789"/>
      <c r="M310" s="789"/>
      <c r="N310" s="789"/>
      <c r="O310" s="789"/>
      <c r="P310" s="789"/>
      <c r="Q310" s="789"/>
      <c r="R310" s="789"/>
      <c r="S310" s="789"/>
      <c r="T310" s="789"/>
      <c r="U310" s="816"/>
      <c r="V310" s="14">
        <v>50000</v>
      </c>
      <c r="W310" s="14" t="s">
        <v>59</v>
      </c>
      <c r="X310" s="12">
        <v>44601</v>
      </c>
      <c r="Y310" s="2"/>
    </row>
    <row r="311" spans="1:25" ht="39" customHeight="1">
      <c r="A311" s="9">
        <v>7</v>
      </c>
      <c r="B311" s="9" t="s">
        <v>328</v>
      </c>
      <c r="C311" s="9" t="s">
        <v>1010</v>
      </c>
      <c r="D311" s="9" t="s">
        <v>25</v>
      </c>
      <c r="E311" s="9" t="s">
        <v>701</v>
      </c>
      <c r="F311" s="9" t="s">
        <v>1011</v>
      </c>
      <c r="G311" s="9" t="s">
        <v>30</v>
      </c>
      <c r="H311" s="10" t="s">
        <v>1012</v>
      </c>
      <c r="I311" s="10" t="s">
        <v>1013</v>
      </c>
      <c r="J311" s="9" t="s">
        <v>1014</v>
      </c>
      <c r="K311" s="9" t="s">
        <v>143</v>
      </c>
      <c r="L311" s="12" t="s">
        <v>1015</v>
      </c>
      <c r="M311" s="11" t="s">
        <v>1005</v>
      </c>
      <c r="N311" s="12">
        <v>44689</v>
      </c>
      <c r="O311" s="12">
        <v>44689</v>
      </c>
      <c r="P311" s="12">
        <v>44720</v>
      </c>
      <c r="Q311" s="9" t="s">
        <v>36</v>
      </c>
      <c r="R311" s="12" t="s">
        <v>1016</v>
      </c>
      <c r="S311" s="9" t="s">
        <v>1017</v>
      </c>
      <c r="T311" s="12" t="s">
        <v>1018</v>
      </c>
      <c r="U311" s="14">
        <v>18325000</v>
      </c>
      <c r="V311" s="14">
        <v>12537500</v>
      </c>
      <c r="W311" s="14" t="s">
        <v>59</v>
      </c>
      <c r="X311" s="12">
        <v>44752</v>
      </c>
      <c r="Y311" s="2"/>
    </row>
    <row r="312" spans="1:25" ht="15.75" customHeight="1">
      <c r="A312" s="787">
        <v>8</v>
      </c>
      <c r="B312" s="787" t="s">
        <v>45</v>
      </c>
      <c r="C312" s="787" t="s">
        <v>1019</v>
      </c>
      <c r="D312" s="787" t="s">
        <v>25</v>
      </c>
      <c r="E312" s="787" t="s">
        <v>1020</v>
      </c>
      <c r="F312" s="787" t="s">
        <v>1021</v>
      </c>
      <c r="G312" s="787" t="s">
        <v>833</v>
      </c>
      <c r="H312" s="790" t="s">
        <v>1022</v>
      </c>
      <c r="I312" s="790" t="s">
        <v>1023</v>
      </c>
      <c r="J312" s="796" t="s">
        <v>1024</v>
      </c>
      <c r="K312" s="787" t="s">
        <v>1025</v>
      </c>
      <c r="L312" s="796">
        <v>44902</v>
      </c>
      <c r="M312" s="878" t="s">
        <v>970</v>
      </c>
      <c r="N312" s="796" t="s">
        <v>862</v>
      </c>
      <c r="O312" s="796" t="s">
        <v>862</v>
      </c>
      <c r="P312" s="796" t="s">
        <v>862</v>
      </c>
      <c r="Q312" s="787" t="s">
        <v>239</v>
      </c>
      <c r="R312" s="787" t="s">
        <v>839</v>
      </c>
      <c r="S312" s="787" t="s">
        <v>1026</v>
      </c>
      <c r="T312" s="787" t="s">
        <v>986</v>
      </c>
      <c r="U312" s="815">
        <v>625000</v>
      </c>
      <c r="V312" s="14">
        <v>50000</v>
      </c>
      <c r="W312" s="14" t="s">
        <v>290</v>
      </c>
      <c r="X312" s="12">
        <v>44601</v>
      </c>
      <c r="Y312" s="2"/>
    </row>
    <row r="313" spans="1:25" ht="15.75" customHeight="1">
      <c r="A313" s="789"/>
      <c r="B313" s="789"/>
      <c r="C313" s="789"/>
      <c r="D313" s="789"/>
      <c r="E313" s="789"/>
      <c r="F313" s="789"/>
      <c r="G313" s="789"/>
      <c r="H313" s="789"/>
      <c r="I313" s="789"/>
      <c r="J313" s="789"/>
      <c r="K313" s="789"/>
      <c r="L313" s="789"/>
      <c r="M313" s="789"/>
      <c r="N313" s="789"/>
      <c r="O313" s="789"/>
      <c r="P313" s="789"/>
      <c r="Q313" s="789"/>
      <c r="R313" s="789"/>
      <c r="S313" s="789"/>
      <c r="T313" s="789"/>
      <c r="U313" s="816"/>
      <c r="V313" s="14">
        <v>50000</v>
      </c>
      <c r="W313" s="14" t="s">
        <v>59</v>
      </c>
      <c r="X313" s="12">
        <v>44601</v>
      </c>
      <c r="Y313" s="2"/>
    </row>
    <row r="314" spans="1:25" ht="15.75" customHeight="1">
      <c r="A314" s="807" t="s">
        <v>128</v>
      </c>
      <c r="B314" s="817"/>
      <c r="C314" s="817"/>
      <c r="D314" s="817"/>
      <c r="E314" s="817"/>
      <c r="F314" s="817"/>
      <c r="G314" s="817"/>
      <c r="H314" s="817"/>
      <c r="I314" s="817"/>
      <c r="J314" s="817"/>
      <c r="K314" s="817"/>
      <c r="L314" s="817"/>
      <c r="M314" s="817"/>
      <c r="N314" s="817"/>
      <c r="O314" s="817"/>
      <c r="P314" s="817"/>
      <c r="Q314" s="817"/>
      <c r="R314" s="817"/>
      <c r="S314" s="817"/>
      <c r="T314" s="817"/>
      <c r="U314" s="817"/>
      <c r="V314" s="817"/>
      <c r="W314" s="817"/>
      <c r="X314" s="818"/>
      <c r="Y314" s="51"/>
    </row>
    <row r="315" spans="1:25" ht="39" customHeight="1">
      <c r="A315" s="9">
        <v>9</v>
      </c>
      <c r="B315" s="9" t="s">
        <v>129</v>
      </c>
      <c r="C315" s="9" t="s">
        <v>1027</v>
      </c>
      <c r="D315" s="9" t="s">
        <v>128</v>
      </c>
      <c r="E315" s="9" t="s">
        <v>1028</v>
      </c>
      <c r="F315" s="9" t="s">
        <v>1029</v>
      </c>
      <c r="G315" s="9" t="s">
        <v>30</v>
      </c>
      <c r="H315" s="10" t="s">
        <v>1030</v>
      </c>
      <c r="I315" s="10" t="s">
        <v>40</v>
      </c>
      <c r="J315" s="9" t="s">
        <v>149</v>
      </c>
      <c r="K315" s="9" t="s">
        <v>40</v>
      </c>
      <c r="L315" s="12" t="s">
        <v>1031</v>
      </c>
      <c r="M315" s="11" t="s">
        <v>1032</v>
      </c>
      <c r="N315" s="846" t="s">
        <v>1033</v>
      </c>
      <c r="O315" s="895"/>
      <c r="P315" s="896"/>
      <c r="Q315" s="9" t="s">
        <v>40</v>
      </c>
      <c r="R315" s="12" t="s">
        <v>1034</v>
      </c>
      <c r="S315" s="9" t="s">
        <v>1035</v>
      </c>
      <c r="T315" s="12" t="s">
        <v>1034</v>
      </c>
      <c r="U315" s="14">
        <v>963225</v>
      </c>
      <c r="V315" s="14" t="s">
        <v>40</v>
      </c>
      <c r="W315" s="14" t="s">
        <v>40</v>
      </c>
      <c r="X315" s="12" t="s">
        <v>40</v>
      </c>
      <c r="Y315" s="46"/>
    </row>
    <row r="316" spans="1:25" ht="30.75" customHeight="1">
      <c r="A316" s="787">
        <v>10</v>
      </c>
      <c r="B316" s="787" t="s">
        <v>45</v>
      </c>
      <c r="C316" s="787" t="s">
        <v>1036</v>
      </c>
      <c r="D316" s="787" t="s">
        <v>128</v>
      </c>
      <c r="E316" s="787" t="s">
        <v>1037</v>
      </c>
      <c r="F316" s="787" t="s">
        <v>1038</v>
      </c>
      <c r="G316" s="787" t="s">
        <v>71</v>
      </c>
      <c r="H316" s="790" t="s">
        <v>1039</v>
      </c>
      <c r="I316" s="790" t="s">
        <v>478</v>
      </c>
      <c r="J316" s="787" t="s">
        <v>1040</v>
      </c>
      <c r="K316" s="787" t="s">
        <v>201</v>
      </c>
      <c r="L316" s="796" t="s">
        <v>1041</v>
      </c>
      <c r="M316" s="878" t="s">
        <v>1042</v>
      </c>
      <c r="N316" s="879" t="s">
        <v>1043</v>
      </c>
      <c r="O316" s="880"/>
      <c r="P316" s="881"/>
      <c r="Q316" s="787" t="s">
        <v>78</v>
      </c>
      <c r="R316" s="796" t="s">
        <v>863</v>
      </c>
      <c r="S316" s="787" t="s">
        <v>1044</v>
      </c>
      <c r="T316" s="796">
        <v>44904</v>
      </c>
      <c r="U316" s="815">
        <v>2930800</v>
      </c>
      <c r="V316" s="14">
        <v>1400000</v>
      </c>
      <c r="W316" s="14" t="s">
        <v>290</v>
      </c>
      <c r="X316" s="9" t="s">
        <v>987</v>
      </c>
      <c r="Y316" s="2"/>
    </row>
    <row r="317" spans="1:25" ht="15.75" customHeight="1">
      <c r="A317" s="789"/>
      <c r="B317" s="789"/>
      <c r="C317" s="789"/>
      <c r="D317" s="789"/>
      <c r="E317" s="789"/>
      <c r="F317" s="789"/>
      <c r="G317" s="789"/>
      <c r="H317" s="789"/>
      <c r="I317" s="789"/>
      <c r="J317" s="789"/>
      <c r="K317" s="789"/>
      <c r="L317" s="789"/>
      <c r="M317" s="789"/>
      <c r="N317" s="882"/>
      <c r="O317" s="817"/>
      <c r="P317" s="818"/>
      <c r="Q317" s="789"/>
      <c r="R317" s="789"/>
      <c r="S317" s="789"/>
      <c r="T317" s="789"/>
      <c r="U317" s="815"/>
      <c r="V317" s="14">
        <v>1000000</v>
      </c>
      <c r="W317" s="14" t="s">
        <v>59</v>
      </c>
      <c r="X317" s="9" t="s">
        <v>1045</v>
      </c>
      <c r="Y317" s="2"/>
    </row>
    <row r="318" spans="1:25" ht="24.75" customHeight="1">
      <c r="A318" s="787">
        <v>11</v>
      </c>
      <c r="B318" s="787" t="s">
        <v>45</v>
      </c>
      <c r="C318" s="787" t="s">
        <v>1046</v>
      </c>
      <c r="D318" s="787" t="s">
        <v>128</v>
      </c>
      <c r="E318" s="787" t="s">
        <v>1047</v>
      </c>
      <c r="F318" s="787" t="s">
        <v>1048</v>
      </c>
      <c r="G318" s="787" t="s">
        <v>30</v>
      </c>
      <c r="H318" s="790" t="s">
        <v>1049</v>
      </c>
      <c r="I318" s="790" t="s">
        <v>339</v>
      </c>
      <c r="J318" s="787" t="s">
        <v>1050</v>
      </c>
      <c r="K318" s="787" t="s">
        <v>36</v>
      </c>
      <c r="L318" s="796" t="s">
        <v>1051</v>
      </c>
      <c r="M318" s="878" t="s">
        <v>863</v>
      </c>
      <c r="N318" s="879" t="s">
        <v>1052</v>
      </c>
      <c r="O318" s="880"/>
      <c r="P318" s="881"/>
      <c r="Q318" s="787" t="s">
        <v>1053</v>
      </c>
      <c r="R318" s="796">
        <v>44812</v>
      </c>
      <c r="S318" s="787" t="s">
        <v>1054</v>
      </c>
      <c r="T318" s="787" t="s">
        <v>1055</v>
      </c>
      <c r="U318" s="815">
        <v>3902638</v>
      </c>
      <c r="V318" s="14">
        <v>1400000</v>
      </c>
      <c r="W318" s="14" t="s">
        <v>290</v>
      </c>
      <c r="X318" s="9" t="s">
        <v>1045</v>
      </c>
      <c r="Y318" s="2"/>
    </row>
    <row r="319" spans="1:25" ht="24.75" customHeight="1">
      <c r="A319" s="789"/>
      <c r="B319" s="789"/>
      <c r="C319" s="789"/>
      <c r="D319" s="789"/>
      <c r="E319" s="789"/>
      <c r="F319" s="789"/>
      <c r="G319" s="789"/>
      <c r="H319" s="789"/>
      <c r="I319" s="789"/>
      <c r="J319" s="789"/>
      <c r="K319" s="789"/>
      <c r="L319" s="789"/>
      <c r="M319" s="789"/>
      <c r="N319" s="882"/>
      <c r="O319" s="817"/>
      <c r="P319" s="818"/>
      <c r="Q319" s="789"/>
      <c r="R319" s="789"/>
      <c r="S319" s="789"/>
      <c r="T319" s="789"/>
      <c r="U319" s="815"/>
      <c r="V319" s="14">
        <v>1000000</v>
      </c>
      <c r="W319" s="14" t="s">
        <v>59</v>
      </c>
      <c r="X319" s="9" t="s">
        <v>1045</v>
      </c>
      <c r="Y319" s="2"/>
    </row>
    <row r="320" spans="1:25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4"/>
      <c r="M320" s="35"/>
      <c r="N320" s="24"/>
      <c r="O320" s="24"/>
      <c r="P320" s="24"/>
      <c r="Q320" s="22"/>
      <c r="R320" s="22"/>
      <c r="S320" s="22"/>
      <c r="T320" s="25" t="s">
        <v>163</v>
      </c>
      <c r="U320" s="26">
        <f>SUM(U301:U319)</f>
        <v>71766908</v>
      </c>
      <c r="V320" s="26">
        <f>V302+V304+V306+V307+V310+V311+V313+V317+V319</f>
        <v>40787500</v>
      </c>
      <c r="W320" s="29"/>
      <c r="X320" s="22"/>
      <c r="Y320" s="2"/>
    </row>
    <row r="321" spans="1:25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4"/>
      <c r="M321" s="35"/>
      <c r="N321" s="24"/>
      <c r="O321" s="24"/>
      <c r="P321" s="24"/>
      <c r="Q321" s="22"/>
      <c r="R321" s="22"/>
      <c r="S321" s="22"/>
      <c r="T321" s="25" t="s">
        <v>544</v>
      </c>
      <c r="U321" s="30">
        <v>30000000</v>
      </c>
      <c r="V321" s="44" t="s">
        <v>278</v>
      </c>
      <c r="W321" s="29"/>
      <c r="X321" s="22"/>
      <c r="Y321" s="2"/>
    </row>
    <row r="322" spans="1:25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4"/>
      <c r="M322" s="35"/>
      <c r="N322" s="24"/>
      <c r="O322" s="24"/>
      <c r="P322" s="24"/>
      <c r="Q322" s="22"/>
      <c r="R322" s="22"/>
      <c r="S322" s="22"/>
      <c r="T322" s="25"/>
      <c r="U322" s="26">
        <f>U320-U321</f>
        <v>41766908</v>
      </c>
      <c r="V322" s="44"/>
      <c r="W322" s="29"/>
      <c r="X322" s="22"/>
      <c r="Y322" s="2"/>
    </row>
    <row r="323" spans="1:25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4"/>
      <c r="M323" s="35"/>
      <c r="N323" s="24"/>
      <c r="O323" s="24"/>
      <c r="P323" s="24"/>
      <c r="Q323" s="22"/>
      <c r="R323" s="22"/>
      <c r="S323" s="22"/>
      <c r="T323" s="888" t="s">
        <v>165</v>
      </c>
      <c r="U323" s="26">
        <f>U320*10/100</f>
        <v>7176690.7999999998</v>
      </c>
      <c r="V323" s="42"/>
      <c r="W323" s="29"/>
      <c r="X323" s="22"/>
      <c r="Y323" s="2"/>
    </row>
    <row r="324" spans="1:25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4"/>
      <c r="M324" s="35"/>
      <c r="N324" s="24"/>
      <c r="O324" s="24"/>
      <c r="P324" s="24"/>
      <c r="Q324" s="22"/>
      <c r="R324" s="22"/>
      <c r="S324" s="22"/>
      <c r="T324" s="889"/>
      <c r="U324" s="30">
        <f>U322*5/100</f>
        <v>2088345.4</v>
      </c>
      <c r="V324" s="42" t="s">
        <v>282</v>
      </c>
      <c r="W324" s="29"/>
      <c r="X324" s="22"/>
      <c r="Y324" s="2"/>
    </row>
    <row r="325" spans="1: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35"/>
      <c r="N325" s="24"/>
      <c r="O325" s="24"/>
      <c r="P325" s="24"/>
      <c r="Q325" s="22"/>
      <c r="R325" s="22"/>
      <c r="S325" s="22"/>
      <c r="T325" s="42"/>
      <c r="U325" s="45">
        <f>U323+U324</f>
        <v>9265036.1999999993</v>
      </c>
      <c r="V325" s="42"/>
      <c r="W325" s="29"/>
      <c r="X325" s="22"/>
      <c r="Y325" s="2"/>
    </row>
    <row r="326" spans="1:25" ht="42" customHeight="1">
      <c r="A326" s="886" t="s">
        <v>1056</v>
      </c>
      <c r="B326" s="887"/>
      <c r="C326" s="887"/>
      <c r="D326" s="887"/>
      <c r="E326" s="887"/>
      <c r="F326" s="887"/>
      <c r="G326" s="887"/>
      <c r="H326" s="887"/>
      <c r="I326" s="887"/>
      <c r="J326" s="887"/>
      <c r="K326" s="887"/>
      <c r="L326" s="887"/>
      <c r="M326" s="887"/>
      <c r="N326" s="887"/>
      <c r="O326" s="887"/>
      <c r="P326" s="887"/>
      <c r="Q326" s="887"/>
      <c r="R326" s="887"/>
      <c r="S326" s="887"/>
      <c r="T326" s="887"/>
      <c r="U326" s="887"/>
      <c r="V326" s="887"/>
      <c r="W326" s="887"/>
      <c r="X326" s="887"/>
      <c r="Y326" s="2"/>
    </row>
    <row r="327" spans="1:25" ht="15.75" customHeight="1">
      <c r="A327" s="3" t="s">
        <v>1</v>
      </c>
      <c r="B327" s="4" t="s">
        <v>2</v>
      </c>
      <c r="C327" s="5" t="s">
        <v>3</v>
      </c>
      <c r="D327" s="5" t="s">
        <v>4</v>
      </c>
      <c r="E327" s="5" t="s">
        <v>5</v>
      </c>
      <c r="F327" s="5" t="s">
        <v>6</v>
      </c>
      <c r="G327" s="5" t="s">
        <v>7</v>
      </c>
      <c r="H327" s="5" t="s">
        <v>167</v>
      </c>
      <c r="I327" s="5" t="s">
        <v>9</v>
      </c>
      <c r="J327" s="5" t="s">
        <v>10</v>
      </c>
      <c r="K327" s="5" t="s">
        <v>11</v>
      </c>
      <c r="L327" s="5" t="s">
        <v>12</v>
      </c>
      <c r="M327" s="6" t="s">
        <v>13</v>
      </c>
      <c r="N327" s="5" t="s">
        <v>14</v>
      </c>
      <c r="O327" s="5" t="s">
        <v>15</v>
      </c>
      <c r="P327" s="5" t="s">
        <v>16</v>
      </c>
      <c r="Q327" s="7" t="s">
        <v>17</v>
      </c>
      <c r="R327" s="8" t="s">
        <v>18</v>
      </c>
      <c r="S327" s="8" t="s">
        <v>19</v>
      </c>
      <c r="T327" s="8" t="s">
        <v>20</v>
      </c>
      <c r="U327" s="5" t="s">
        <v>21</v>
      </c>
      <c r="V327" s="5" t="s">
        <v>22</v>
      </c>
      <c r="W327" s="5" t="s">
        <v>23</v>
      </c>
      <c r="X327" s="5" t="s">
        <v>24</v>
      </c>
      <c r="Y327" s="2"/>
    </row>
    <row r="328" spans="1:25" ht="15.75" customHeight="1">
      <c r="A328" s="807" t="s">
        <v>25</v>
      </c>
      <c r="B328" s="817"/>
      <c r="C328" s="817"/>
      <c r="D328" s="817"/>
      <c r="E328" s="817"/>
      <c r="F328" s="817"/>
      <c r="G328" s="817"/>
      <c r="H328" s="817"/>
      <c r="I328" s="817"/>
      <c r="J328" s="817"/>
      <c r="K328" s="817"/>
      <c r="L328" s="817"/>
      <c r="M328" s="817"/>
      <c r="N328" s="817"/>
      <c r="O328" s="817"/>
      <c r="P328" s="817"/>
      <c r="Q328" s="817"/>
      <c r="R328" s="817"/>
      <c r="S328" s="817"/>
      <c r="T328" s="817"/>
      <c r="U328" s="817"/>
      <c r="V328" s="817"/>
      <c r="W328" s="817"/>
      <c r="X328" s="818"/>
      <c r="Y328" s="2"/>
    </row>
    <row r="329" spans="1:25" ht="31.5" customHeight="1">
      <c r="A329" s="9"/>
      <c r="B329" s="9" t="s">
        <v>328</v>
      </c>
      <c r="C329" s="9" t="s">
        <v>1057</v>
      </c>
      <c r="D329" s="9" t="s">
        <v>25</v>
      </c>
      <c r="E329" s="9" t="s">
        <v>989</v>
      </c>
      <c r="F329" s="9" t="s">
        <v>1058</v>
      </c>
      <c r="G329" s="9" t="s">
        <v>30</v>
      </c>
      <c r="H329" s="10" t="s">
        <v>1059</v>
      </c>
      <c r="I329" s="9">
        <v>100007</v>
      </c>
      <c r="J329" s="9" t="s">
        <v>52</v>
      </c>
      <c r="K329" s="9" t="s">
        <v>34</v>
      </c>
      <c r="L329" s="12" t="s">
        <v>1005</v>
      </c>
      <c r="M329" s="12">
        <v>44628</v>
      </c>
      <c r="N329" s="12">
        <v>44689</v>
      </c>
      <c r="O329" s="12">
        <v>44812</v>
      </c>
      <c r="P329" s="12">
        <v>44812</v>
      </c>
      <c r="Q329" s="9" t="s">
        <v>1060</v>
      </c>
      <c r="R329" s="12">
        <v>44782</v>
      </c>
      <c r="S329" s="9" t="s">
        <v>1061</v>
      </c>
      <c r="T329" s="12" t="s">
        <v>1062</v>
      </c>
      <c r="U329" s="14">
        <v>1575000</v>
      </c>
      <c r="V329" s="14">
        <v>500000</v>
      </c>
      <c r="W329" s="14" t="s">
        <v>59</v>
      </c>
      <c r="X329" s="9" t="s">
        <v>1063</v>
      </c>
      <c r="Y329" s="2"/>
    </row>
    <row r="330" spans="1:25" ht="21.75" customHeight="1">
      <c r="A330" s="9"/>
      <c r="B330" s="9" t="s">
        <v>328</v>
      </c>
      <c r="C330" s="9" t="s">
        <v>1064</v>
      </c>
      <c r="D330" s="9" t="s">
        <v>25</v>
      </c>
      <c r="E330" s="9" t="s">
        <v>1065</v>
      </c>
      <c r="F330" s="9" t="s">
        <v>1066</v>
      </c>
      <c r="G330" s="9" t="s">
        <v>30</v>
      </c>
      <c r="H330" s="10" t="s">
        <v>1067</v>
      </c>
      <c r="I330" s="9">
        <v>200010</v>
      </c>
      <c r="J330" s="9" t="s">
        <v>52</v>
      </c>
      <c r="K330" s="9" t="s">
        <v>143</v>
      </c>
      <c r="L330" s="12" t="s">
        <v>1005</v>
      </c>
      <c r="M330" s="12">
        <v>44628</v>
      </c>
      <c r="N330" s="12">
        <v>44689</v>
      </c>
      <c r="O330" s="12">
        <v>44781</v>
      </c>
      <c r="P330" s="12">
        <v>44781</v>
      </c>
      <c r="Q330" s="9" t="s">
        <v>1068</v>
      </c>
      <c r="R330" s="12" t="s">
        <v>1069</v>
      </c>
      <c r="S330" s="9" t="s">
        <v>1070</v>
      </c>
      <c r="T330" s="12" t="s">
        <v>1062</v>
      </c>
      <c r="U330" s="14">
        <v>1675000</v>
      </c>
      <c r="V330" s="14">
        <v>500000</v>
      </c>
      <c r="W330" s="14" t="s">
        <v>59</v>
      </c>
      <c r="X330" s="9" t="s">
        <v>1063</v>
      </c>
      <c r="Y330" s="2"/>
    </row>
    <row r="331" spans="1:25" ht="39" customHeight="1">
      <c r="A331" s="9"/>
      <c r="B331" s="9" t="s">
        <v>328</v>
      </c>
      <c r="C331" s="9" t="s">
        <v>1071</v>
      </c>
      <c r="D331" s="9" t="s">
        <v>25</v>
      </c>
      <c r="E331" s="9" t="s">
        <v>1072</v>
      </c>
      <c r="F331" s="9" t="s">
        <v>1073</v>
      </c>
      <c r="G331" s="9" t="s">
        <v>270</v>
      </c>
      <c r="H331" s="10" t="s">
        <v>1074</v>
      </c>
      <c r="I331" s="9">
        <v>100006</v>
      </c>
      <c r="J331" s="9" t="s">
        <v>172</v>
      </c>
      <c r="K331" s="9" t="s">
        <v>501</v>
      </c>
      <c r="L331" s="12" t="s">
        <v>953</v>
      </c>
      <c r="M331" s="12">
        <v>44628</v>
      </c>
      <c r="N331" s="12">
        <v>44689</v>
      </c>
      <c r="O331" s="12">
        <v>44750</v>
      </c>
      <c r="P331" s="12">
        <v>44781</v>
      </c>
      <c r="Q331" s="9" t="s">
        <v>1075</v>
      </c>
      <c r="R331" s="12" t="s">
        <v>1076</v>
      </c>
      <c r="S331" s="9" t="s">
        <v>1077</v>
      </c>
      <c r="T331" s="12">
        <v>44662</v>
      </c>
      <c r="U331" s="14">
        <v>30937500</v>
      </c>
      <c r="V331" s="14">
        <v>17500000</v>
      </c>
      <c r="W331" s="14" t="s">
        <v>59</v>
      </c>
      <c r="X331" s="12">
        <v>44876</v>
      </c>
      <c r="Y331" s="2"/>
    </row>
    <row r="332" spans="1:25" ht="39.75" customHeight="1">
      <c r="A332" s="9"/>
      <c r="B332" s="9" t="s">
        <v>328</v>
      </c>
      <c r="C332" s="9" t="s">
        <v>1078</v>
      </c>
      <c r="D332" s="9" t="s">
        <v>25</v>
      </c>
      <c r="E332" s="9" t="s">
        <v>1079</v>
      </c>
      <c r="F332" s="9" t="s">
        <v>1080</v>
      </c>
      <c r="G332" s="9" t="s">
        <v>1081</v>
      </c>
      <c r="H332" s="10" t="s">
        <v>1082</v>
      </c>
      <c r="I332" s="9">
        <v>200011</v>
      </c>
      <c r="J332" s="9" t="s">
        <v>1083</v>
      </c>
      <c r="K332" s="9" t="s">
        <v>194</v>
      </c>
      <c r="L332" s="12" t="s">
        <v>917</v>
      </c>
      <c r="M332" s="12">
        <v>44812</v>
      </c>
      <c r="N332" s="12" t="s">
        <v>1084</v>
      </c>
      <c r="O332" s="12" t="s">
        <v>984</v>
      </c>
      <c r="P332" s="12" t="s">
        <v>839</v>
      </c>
      <c r="Q332" s="9" t="s">
        <v>102</v>
      </c>
      <c r="R332" s="12" t="s">
        <v>1069</v>
      </c>
      <c r="S332" s="9" t="s">
        <v>1085</v>
      </c>
      <c r="T332" s="12">
        <v>44894</v>
      </c>
      <c r="U332" s="14">
        <v>4699973</v>
      </c>
      <c r="V332" s="14">
        <v>1000000</v>
      </c>
      <c r="W332" s="14" t="s">
        <v>59</v>
      </c>
      <c r="X332" s="12">
        <v>44897</v>
      </c>
      <c r="Y332" s="2"/>
    </row>
    <row r="333" spans="1:25" ht="27" customHeight="1">
      <c r="A333" s="9"/>
      <c r="B333" s="9" t="s">
        <v>1086</v>
      </c>
      <c r="C333" s="9" t="s">
        <v>1087</v>
      </c>
      <c r="D333" s="9" t="s">
        <v>25</v>
      </c>
      <c r="E333" s="9" t="s">
        <v>182</v>
      </c>
      <c r="F333" s="9" t="s">
        <v>1088</v>
      </c>
      <c r="G333" s="9" t="s">
        <v>71</v>
      </c>
      <c r="H333" s="10" t="s">
        <v>1089</v>
      </c>
      <c r="I333" s="10" t="s">
        <v>1090</v>
      </c>
      <c r="J333" s="9" t="s">
        <v>172</v>
      </c>
      <c r="K333" s="9" t="s">
        <v>201</v>
      </c>
      <c r="L333" s="12" t="s">
        <v>863</v>
      </c>
      <c r="M333" s="12">
        <v>44842</v>
      </c>
      <c r="N333" s="12" t="s">
        <v>1091</v>
      </c>
      <c r="O333" s="12" t="s">
        <v>1092</v>
      </c>
      <c r="P333" s="12" t="s">
        <v>1093</v>
      </c>
      <c r="Q333" s="9" t="s">
        <v>102</v>
      </c>
      <c r="R333" s="12">
        <v>44721</v>
      </c>
      <c r="S333" s="9" t="s">
        <v>1094</v>
      </c>
      <c r="T333" s="12" t="s">
        <v>1095</v>
      </c>
      <c r="U333" s="14">
        <v>1325000</v>
      </c>
      <c r="V333" s="14">
        <v>350000</v>
      </c>
      <c r="W333" s="14" t="s">
        <v>1096</v>
      </c>
      <c r="X333" s="9" t="s">
        <v>987</v>
      </c>
      <c r="Y333" s="2"/>
    </row>
    <row r="334" spans="1:25" ht="24.75" customHeight="1">
      <c r="A334" s="9"/>
      <c r="B334" s="9" t="s">
        <v>328</v>
      </c>
      <c r="C334" s="9" t="s">
        <v>1097</v>
      </c>
      <c r="D334" s="9" t="s">
        <v>25</v>
      </c>
      <c r="E334" s="9" t="s">
        <v>740</v>
      </c>
      <c r="F334" s="9" t="s">
        <v>1098</v>
      </c>
      <c r="G334" s="9" t="s">
        <v>30</v>
      </c>
      <c r="H334" s="10" t="s">
        <v>1099</v>
      </c>
      <c r="I334" s="9">
        <v>200012</v>
      </c>
      <c r="J334" s="9" t="s">
        <v>66</v>
      </c>
      <c r="K334" s="9" t="s">
        <v>376</v>
      </c>
      <c r="L334" s="12">
        <v>44569</v>
      </c>
      <c r="M334" s="12">
        <v>44903</v>
      </c>
      <c r="N334" s="12" t="s">
        <v>1093</v>
      </c>
      <c r="O334" s="12" t="s">
        <v>1093</v>
      </c>
      <c r="P334" s="12" t="s">
        <v>1093</v>
      </c>
      <c r="Q334" s="9" t="s">
        <v>1100</v>
      </c>
      <c r="R334" s="12">
        <v>44782</v>
      </c>
      <c r="S334" s="9" t="s">
        <v>1101</v>
      </c>
      <c r="T334" s="12" t="s">
        <v>1062</v>
      </c>
      <c r="U334" s="14">
        <v>1675000</v>
      </c>
      <c r="V334" s="14">
        <v>500000</v>
      </c>
      <c r="W334" s="14" t="s">
        <v>59</v>
      </c>
      <c r="X334" s="9" t="s">
        <v>1063</v>
      </c>
      <c r="Y334" s="2"/>
    </row>
    <row r="335" spans="1:25" ht="26.25" customHeight="1">
      <c r="A335" s="787"/>
      <c r="B335" s="787" t="s">
        <v>45</v>
      </c>
      <c r="C335" s="787" t="s">
        <v>1102</v>
      </c>
      <c r="D335" s="787" t="s">
        <v>25</v>
      </c>
      <c r="E335" s="787" t="s">
        <v>1103</v>
      </c>
      <c r="F335" s="787" t="s">
        <v>1104</v>
      </c>
      <c r="G335" s="787" t="s">
        <v>71</v>
      </c>
      <c r="H335" s="790" t="s">
        <v>1105</v>
      </c>
      <c r="I335" s="790" t="s">
        <v>1106</v>
      </c>
      <c r="J335" s="796" t="s">
        <v>255</v>
      </c>
      <c r="K335" s="787" t="s">
        <v>99</v>
      </c>
      <c r="L335" s="796" t="s">
        <v>970</v>
      </c>
      <c r="M335" s="796" t="s">
        <v>1092</v>
      </c>
      <c r="N335" s="796" t="s">
        <v>1093</v>
      </c>
      <c r="O335" s="796" t="s">
        <v>1093</v>
      </c>
      <c r="P335" s="796" t="s">
        <v>1093</v>
      </c>
      <c r="Q335" s="787" t="s">
        <v>78</v>
      </c>
      <c r="R335" s="796" t="s">
        <v>40</v>
      </c>
      <c r="S335" s="787" t="s">
        <v>1107</v>
      </c>
      <c r="T335" s="796">
        <v>44844</v>
      </c>
      <c r="U335" s="815">
        <v>300000</v>
      </c>
      <c r="V335" s="14">
        <v>50000</v>
      </c>
      <c r="W335" s="14" t="s">
        <v>290</v>
      </c>
      <c r="X335" s="9" t="s">
        <v>995</v>
      </c>
      <c r="Y335" s="2"/>
    </row>
    <row r="336" spans="1:25" ht="26.25" customHeight="1">
      <c r="A336" s="789"/>
      <c r="B336" s="789"/>
      <c r="C336" s="789"/>
      <c r="D336" s="789"/>
      <c r="E336" s="789"/>
      <c r="F336" s="789"/>
      <c r="G336" s="789"/>
      <c r="H336" s="789"/>
      <c r="I336" s="789"/>
      <c r="J336" s="789"/>
      <c r="K336" s="789"/>
      <c r="L336" s="789"/>
      <c r="M336" s="789"/>
      <c r="N336" s="789"/>
      <c r="O336" s="789"/>
      <c r="P336" s="789"/>
      <c r="Q336" s="789"/>
      <c r="R336" s="789"/>
      <c r="S336" s="789"/>
      <c r="T336" s="789"/>
      <c r="U336" s="815"/>
      <c r="V336" s="14">
        <v>50000</v>
      </c>
      <c r="W336" s="14" t="s">
        <v>59</v>
      </c>
      <c r="X336" s="9" t="s">
        <v>995</v>
      </c>
      <c r="Y336" s="2"/>
    </row>
    <row r="337" spans="1:25" ht="22.5" customHeight="1">
      <c r="A337" s="787"/>
      <c r="B337" s="787" t="s">
        <v>45</v>
      </c>
      <c r="C337" s="787" t="s">
        <v>1108</v>
      </c>
      <c r="D337" s="787" t="s">
        <v>25</v>
      </c>
      <c r="E337" s="787" t="s">
        <v>313</v>
      </c>
      <c r="F337" s="787" t="s">
        <v>1109</v>
      </c>
      <c r="G337" s="787" t="s">
        <v>63</v>
      </c>
      <c r="H337" s="790" t="s">
        <v>1110</v>
      </c>
      <c r="I337" s="790" t="s">
        <v>1111</v>
      </c>
      <c r="J337" s="796" t="s">
        <v>66</v>
      </c>
      <c r="K337" s="787" t="s">
        <v>304</v>
      </c>
      <c r="L337" s="796" t="s">
        <v>1042</v>
      </c>
      <c r="M337" s="796" t="s">
        <v>984</v>
      </c>
      <c r="N337" s="796" t="s">
        <v>984</v>
      </c>
      <c r="O337" s="796" t="s">
        <v>839</v>
      </c>
      <c r="P337" s="796" t="s">
        <v>1112</v>
      </c>
      <c r="Q337" s="787" t="s">
        <v>102</v>
      </c>
      <c r="R337" s="787" t="s">
        <v>1069</v>
      </c>
      <c r="S337" s="787" t="s">
        <v>1113</v>
      </c>
      <c r="T337" s="796">
        <v>44875</v>
      </c>
      <c r="U337" s="815">
        <v>575000</v>
      </c>
      <c r="V337" s="14">
        <v>50000</v>
      </c>
      <c r="W337" s="14" t="s">
        <v>290</v>
      </c>
      <c r="X337" s="9" t="s">
        <v>995</v>
      </c>
      <c r="Y337" s="46"/>
    </row>
    <row r="338" spans="1:25" ht="34.5" customHeight="1">
      <c r="A338" s="789"/>
      <c r="B338" s="789"/>
      <c r="C338" s="789"/>
      <c r="D338" s="789"/>
      <c r="E338" s="789"/>
      <c r="F338" s="789"/>
      <c r="G338" s="789"/>
      <c r="H338" s="789"/>
      <c r="I338" s="789"/>
      <c r="J338" s="789"/>
      <c r="K338" s="789"/>
      <c r="L338" s="789"/>
      <c r="M338" s="789"/>
      <c r="N338" s="789"/>
      <c r="O338" s="789"/>
      <c r="P338" s="789"/>
      <c r="Q338" s="789"/>
      <c r="R338" s="789"/>
      <c r="S338" s="789"/>
      <c r="T338" s="789"/>
      <c r="U338" s="815"/>
      <c r="V338" s="14">
        <v>100000</v>
      </c>
      <c r="W338" s="14" t="s">
        <v>59</v>
      </c>
      <c r="X338" s="9" t="s">
        <v>995</v>
      </c>
      <c r="Y338" s="46"/>
    </row>
    <row r="339" spans="1:25" ht="15.75" customHeight="1">
      <c r="A339" s="9"/>
      <c r="B339" s="9" t="s">
        <v>328</v>
      </c>
      <c r="C339" s="9" t="s">
        <v>1114</v>
      </c>
      <c r="D339" s="9" t="s">
        <v>25</v>
      </c>
      <c r="E339" s="9" t="s">
        <v>865</v>
      </c>
      <c r="F339" s="9" t="s">
        <v>1115</v>
      </c>
      <c r="G339" s="9" t="s">
        <v>30</v>
      </c>
      <c r="H339" s="10" t="s">
        <v>1116</v>
      </c>
      <c r="I339" s="9">
        <v>200017</v>
      </c>
      <c r="J339" s="9" t="s">
        <v>66</v>
      </c>
      <c r="K339" s="9" t="s">
        <v>34</v>
      </c>
      <c r="L339" s="12" t="s">
        <v>1093</v>
      </c>
      <c r="M339" s="12" t="s">
        <v>984</v>
      </c>
      <c r="N339" s="12" t="s">
        <v>1117</v>
      </c>
      <c r="O339" s="12" t="s">
        <v>1117</v>
      </c>
      <c r="P339" s="12" t="s">
        <v>1117</v>
      </c>
      <c r="Q339" s="9" t="s">
        <v>1118</v>
      </c>
      <c r="R339" s="12" t="s">
        <v>1069</v>
      </c>
      <c r="S339" s="9" t="s">
        <v>1119</v>
      </c>
      <c r="T339" s="12">
        <v>44894</v>
      </c>
      <c r="U339" s="14">
        <v>1375000</v>
      </c>
      <c r="V339" s="14">
        <v>500000</v>
      </c>
      <c r="W339" s="14" t="s">
        <v>59</v>
      </c>
      <c r="X339" s="12">
        <v>44897</v>
      </c>
      <c r="Y339" s="46"/>
    </row>
    <row r="340" spans="1:25" ht="31.5" customHeight="1">
      <c r="A340" s="9"/>
      <c r="B340" s="9" t="s">
        <v>328</v>
      </c>
      <c r="C340" s="9" t="s">
        <v>1120</v>
      </c>
      <c r="D340" s="9" t="s">
        <v>25</v>
      </c>
      <c r="E340" s="9" t="s">
        <v>989</v>
      </c>
      <c r="F340" s="9" t="s">
        <v>1121</v>
      </c>
      <c r="G340" s="9" t="s">
        <v>30</v>
      </c>
      <c r="H340" s="10" t="s">
        <v>1122</v>
      </c>
      <c r="I340" s="9">
        <v>200021</v>
      </c>
      <c r="J340" s="9" t="s">
        <v>52</v>
      </c>
      <c r="K340" s="9" t="s">
        <v>34</v>
      </c>
      <c r="L340" s="12" t="s">
        <v>1016</v>
      </c>
      <c r="M340" s="12" t="s">
        <v>1123</v>
      </c>
      <c r="N340" s="12" t="s">
        <v>986</v>
      </c>
      <c r="O340" s="12">
        <v>44570</v>
      </c>
      <c r="P340" s="12">
        <v>44570</v>
      </c>
      <c r="Q340" s="9" t="s">
        <v>1124</v>
      </c>
      <c r="R340" s="12" t="s">
        <v>1069</v>
      </c>
      <c r="S340" s="9" t="s">
        <v>1125</v>
      </c>
      <c r="T340" s="12">
        <v>44883</v>
      </c>
      <c r="U340" s="14">
        <v>1830000</v>
      </c>
      <c r="V340" s="14">
        <v>500000</v>
      </c>
      <c r="W340" s="14" t="s">
        <v>59</v>
      </c>
      <c r="X340" s="12">
        <v>44897</v>
      </c>
      <c r="Y340" s="2"/>
    </row>
    <row r="341" spans="1:25" ht="39" customHeight="1">
      <c r="A341" s="9"/>
      <c r="B341" s="9" t="s">
        <v>328</v>
      </c>
      <c r="C341" s="9" t="s">
        <v>1126</v>
      </c>
      <c r="D341" s="9" t="s">
        <v>25</v>
      </c>
      <c r="E341" s="9" t="s">
        <v>1127</v>
      </c>
      <c r="F341" s="9" t="s">
        <v>1128</v>
      </c>
      <c r="G341" s="9" t="s">
        <v>833</v>
      </c>
      <c r="H341" s="10" t="s">
        <v>1129</v>
      </c>
      <c r="I341" s="9">
        <v>200018</v>
      </c>
      <c r="J341" s="9" t="s">
        <v>429</v>
      </c>
      <c r="K341" s="9" t="s">
        <v>510</v>
      </c>
      <c r="L341" s="12" t="s">
        <v>839</v>
      </c>
      <c r="M341" s="12" t="s">
        <v>1117</v>
      </c>
      <c r="N341" s="12" t="s">
        <v>1117</v>
      </c>
      <c r="O341" s="12" t="s">
        <v>1117</v>
      </c>
      <c r="P341" s="12" t="s">
        <v>1117</v>
      </c>
      <c r="Q341" s="9" t="s">
        <v>1130</v>
      </c>
      <c r="R341" s="12" t="s">
        <v>1131</v>
      </c>
      <c r="S341" s="9" t="s">
        <v>1132</v>
      </c>
      <c r="T341" s="12">
        <v>44883</v>
      </c>
      <c r="U341" s="14">
        <v>941600</v>
      </c>
      <c r="V341" s="14">
        <v>500000</v>
      </c>
      <c r="W341" s="14" t="s">
        <v>59</v>
      </c>
      <c r="X341" s="12">
        <v>44897</v>
      </c>
      <c r="Y341" s="2"/>
    </row>
    <row r="342" spans="1:25" ht="25.5" customHeight="1">
      <c r="A342" s="9"/>
      <c r="B342" s="9" t="s">
        <v>328</v>
      </c>
      <c r="C342" s="9" t="s">
        <v>1133</v>
      </c>
      <c r="D342" s="9" t="s">
        <v>25</v>
      </c>
      <c r="E342" s="9" t="s">
        <v>701</v>
      </c>
      <c r="F342" s="9" t="s">
        <v>1134</v>
      </c>
      <c r="G342" s="9" t="s">
        <v>30</v>
      </c>
      <c r="H342" s="10" t="s">
        <v>1135</v>
      </c>
      <c r="I342" s="9">
        <v>200014</v>
      </c>
      <c r="J342" s="9" t="s">
        <v>52</v>
      </c>
      <c r="K342" s="9" t="s">
        <v>143</v>
      </c>
      <c r="L342" s="12" t="s">
        <v>1042</v>
      </c>
      <c r="M342" s="12" t="s">
        <v>986</v>
      </c>
      <c r="N342" s="12" t="s">
        <v>40</v>
      </c>
      <c r="O342" s="12" t="s">
        <v>40</v>
      </c>
      <c r="P342" s="12" t="s">
        <v>40</v>
      </c>
      <c r="Q342" s="9" t="s">
        <v>40</v>
      </c>
      <c r="R342" s="12">
        <v>44690</v>
      </c>
      <c r="S342" s="9" t="s">
        <v>1136</v>
      </c>
      <c r="T342" s="12">
        <v>44904</v>
      </c>
      <c r="U342" s="14">
        <v>3745000</v>
      </c>
      <c r="V342" s="14">
        <v>1500000</v>
      </c>
      <c r="W342" s="14" t="s">
        <v>59</v>
      </c>
      <c r="X342" s="9" t="s">
        <v>1045</v>
      </c>
      <c r="Y342" s="46"/>
    </row>
    <row r="343" spans="1:25" ht="26.25" customHeight="1">
      <c r="A343" s="787"/>
      <c r="B343" s="787" t="s">
        <v>45</v>
      </c>
      <c r="C343" s="787" t="s">
        <v>1137</v>
      </c>
      <c r="D343" s="787" t="s">
        <v>25</v>
      </c>
      <c r="E343" s="787" t="s">
        <v>40</v>
      </c>
      <c r="F343" s="787" t="s">
        <v>1138</v>
      </c>
      <c r="G343" s="787" t="s">
        <v>833</v>
      </c>
      <c r="H343" s="790" t="s">
        <v>1139</v>
      </c>
      <c r="I343" s="790" t="s">
        <v>1140</v>
      </c>
      <c r="J343" s="796" t="s">
        <v>365</v>
      </c>
      <c r="K343" s="787" t="s">
        <v>977</v>
      </c>
      <c r="L343" s="796" t="s">
        <v>955</v>
      </c>
      <c r="M343" s="796" t="s">
        <v>1141</v>
      </c>
      <c r="N343" s="796" t="s">
        <v>1141</v>
      </c>
      <c r="O343" s="796" t="s">
        <v>986</v>
      </c>
      <c r="P343" s="796" t="s">
        <v>986</v>
      </c>
      <c r="Q343" s="787" t="s">
        <v>1142</v>
      </c>
      <c r="R343" s="787" t="s">
        <v>1069</v>
      </c>
      <c r="S343" s="787" t="s">
        <v>1143</v>
      </c>
      <c r="T343" s="796">
        <v>44844</v>
      </c>
      <c r="U343" s="815">
        <v>1185000</v>
      </c>
      <c r="V343" s="14" t="s">
        <v>40</v>
      </c>
      <c r="W343" s="14" t="s">
        <v>40</v>
      </c>
      <c r="X343" s="9" t="s">
        <v>40</v>
      </c>
      <c r="Y343" s="2"/>
    </row>
    <row r="344" spans="1:25" ht="15.75" customHeight="1">
      <c r="A344" s="789"/>
      <c r="B344" s="789"/>
      <c r="C344" s="789"/>
      <c r="D344" s="789"/>
      <c r="E344" s="789"/>
      <c r="F344" s="789"/>
      <c r="G344" s="789"/>
      <c r="H344" s="789"/>
      <c r="I344" s="789"/>
      <c r="J344" s="789"/>
      <c r="K344" s="789"/>
      <c r="L344" s="789"/>
      <c r="M344" s="789"/>
      <c r="N344" s="789"/>
      <c r="O344" s="789"/>
      <c r="P344" s="789"/>
      <c r="Q344" s="789"/>
      <c r="R344" s="789"/>
      <c r="S344" s="789"/>
      <c r="T344" s="789"/>
      <c r="U344" s="815"/>
      <c r="V344" s="14" t="s">
        <v>40</v>
      </c>
      <c r="W344" s="14" t="s">
        <v>40</v>
      </c>
      <c r="X344" s="9" t="s">
        <v>40</v>
      </c>
      <c r="Y344" s="2"/>
    </row>
    <row r="345" spans="1:25" ht="15.75" customHeight="1">
      <c r="A345" s="807" t="s">
        <v>128</v>
      </c>
      <c r="B345" s="817"/>
      <c r="C345" s="817"/>
      <c r="D345" s="817"/>
      <c r="E345" s="817"/>
      <c r="F345" s="817"/>
      <c r="G345" s="817"/>
      <c r="H345" s="817"/>
      <c r="I345" s="817"/>
      <c r="J345" s="817"/>
      <c r="K345" s="817"/>
      <c r="L345" s="817"/>
      <c r="M345" s="817"/>
      <c r="N345" s="817"/>
      <c r="O345" s="817"/>
      <c r="P345" s="817"/>
      <c r="Q345" s="817"/>
      <c r="R345" s="817"/>
      <c r="S345" s="817"/>
      <c r="T345" s="817"/>
      <c r="U345" s="817"/>
      <c r="V345" s="817"/>
      <c r="W345" s="817"/>
      <c r="X345" s="818"/>
      <c r="Y345" s="52"/>
    </row>
    <row r="346" spans="1:25" ht="39" customHeight="1">
      <c r="A346" s="9"/>
      <c r="B346" s="9" t="s">
        <v>129</v>
      </c>
      <c r="C346" s="9" t="s">
        <v>1144</v>
      </c>
      <c r="D346" s="9" t="s">
        <v>128</v>
      </c>
      <c r="E346" s="9" t="s">
        <v>1145</v>
      </c>
      <c r="F346" s="9" t="s">
        <v>1146</v>
      </c>
      <c r="G346" s="9" t="s">
        <v>30</v>
      </c>
      <c r="H346" s="10" t="s">
        <v>1147</v>
      </c>
      <c r="I346" s="10" t="s">
        <v>40</v>
      </c>
      <c r="J346" s="9" t="s">
        <v>1050</v>
      </c>
      <c r="K346" s="9" t="s">
        <v>40</v>
      </c>
      <c r="L346" s="12">
        <v>44720</v>
      </c>
      <c r="M346" s="12">
        <v>44781</v>
      </c>
      <c r="N346" s="846" t="s">
        <v>1148</v>
      </c>
      <c r="O346" s="895"/>
      <c r="P346" s="896"/>
      <c r="Q346" s="9" t="s">
        <v>40</v>
      </c>
      <c r="R346" s="12">
        <v>44873</v>
      </c>
      <c r="S346" s="9" t="s">
        <v>1149</v>
      </c>
      <c r="T346" s="12">
        <v>44903</v>
      </c>
      <c r="U346" s="14">
        <v>1502200</v>
      </c>
      <c r="V346" s="14" t="s">
        <v>40</v>
      </c>
      <c r="W346" s="14" t="s">
        <v>40</v>
      </c>
      <c r="X346" s="12" t="s">
        <v>40</v>
      </c>
      <c r="Y346" s="46"/>
    </row>
    <row r="347" spans="1:25" ht="30.75" customHeight="1">
      <c r="A347" s="787"/>
      <c r="B347" s="787" t="s">
        <v>45</v>
      </c>
      <c r="C347" s="787" t="s">
        <v>1150</v>
      </c>
      <c r="D347" s="787" t="s">
        <v>128</v>
      </c>
      <c r="E347" s="787" t="s">
        <v>1037</v>
      </c>
      <c r="F347" s="787" t="s">
        <v>1151</v>
      </c>
      <c r="G347" s="787" t="s">
        <v>71</v>
      </c>
      <c r="H347" s="790" t="s">
        <v>1152</v>
      </c>
      <c r="I347" s="790" t="s">
        <v>458</v>
      </c>
      <c r="J347" s="787" t="s">
        <v>1050</v>
      </c>
      <c r="K347" s="787" t="s">
        <v>1153</v>
      </c>
      <c r="L347" s="796" t="s">
        <v>1008</v>
      </c>
      <c r="M347" s="796" t="s">
        <v>1092</v>
      </c>
      <c r="N347" s="879" t="s">
        <v>1154</v>
      </c>
      <c r="O347" s="880"/>
      <c r="P347" s="881"/>
      <c r="Q347" s="787" t="s">
        <v>102</v>
      </c>
      <c r="R347" s="796" t="s">
        <v>1016</v>
      </c>
      <c r="S347" s="787" t="s">
        <v>1155</v>
      </c>
      <c r="T347" s="796">
        <v>44904</v>
      </c>
      <c r="U347" s="815">
        <v>3768235</v>
      </c>
      <c r="V347" s="14">
        <v>1400000</v>
      </c>
      <c r="W347" s="14" t="s">
        <v>290</v>
      </c>
      <c r="X347" s="9" t="s">
        <v>987</v>
      </c>
      <c r="Y347" s="2"/>
    </row>
    <row r="348" spans="1:25" ht="15.75" customHeight="1">
      <c r="A348" s="789"/>
      <c r="B348" s="789"/>
      <c r="C348" s="789"/>
      <c r="D348" s="789"/>
      <c r="E348" s="789"/>
      <c r="F348" s="789"/>
      <c r="G348" s="789"/>
      <c r="H348" s="789"/>
      <c r="I348" s="789"/>
      <c r="J348" s="789"/>
      <c r="K348" s="789"/>
      <c r="L348" s="789"/>
      <c r="M348" s="789"/>
      <c r="N348" s="882"/>
      <c r="O348" s="817"/>
      <c r="P348" s="818"/>
      <c r="Q348" s="789"/>
      <c r="R348" s="789"/>
      <c r="S348" s="789"/>
      <c r="T348" s="789"/>
      <c r="U348" s="815"/>
      <c r="V348" s="14">
        <v>500000</v>
      </c>
      <c r="W348" s="14" t="s">
        <v>59</v>
      </c>
      <c r="X348" s="9" t="s">
        <v>1045</v>
      </c>
      <c r="Y348" s="2"/>
    </row>
    <row r="349" spans="1:25" ht="15.75" customHeight="1">
      <c r="A349" s="9"/>
      <c r="B349" s="9" t="s">
        <v>129</v>
      </c>
      <c r="C349" s="9" t="s">
        <v>1156</v>
      </c>
      <c r="D349" s="9" t="s">
        <v>128</v>
      </c>
      <c r="E349" s="9" t="s">
        <v>1157</v>
      </c>
      <c r="F349" s="9" t="s">
        <v>1158</v>
      </c>
      <c r="G349" s="9" t="s">
        <v>30</v>
      </c>
      <c r="H349" s="10" t="s">
        <v>1159</v>
      </c>
      <c r="I349" s="10" t="s">
        <v>40</v>
      </c>
      <c r="J349" s="9" t="s">
        <v>1160</v>
      </c>
      <c r="K349" s="9" t="s">
        <v>40</v>
      </c>
      <c r="L349" s="12">
        <v>44750</v>
      </c>
      <c r="M349" s="12"/>
      <c r="N349" s="846" t="s">
        <v>1148</v>
      </c>
      <c r="O349" s="895"/>
      <c r="P349" s="896"/>
      <c r="Q349" s="9" t="s">
        <v>40</v>
      </c>
      <c r="R349" s="12">
        <v>44873</v>
      </c>
      <c r="S349" s="9" t="s">
        <v>1161</v>
      </c>
      <c r="T349" s="12">
        <v>44903</v>
      </c>
      <c r="U349" s="14">
        <v>1378420</v>
      </c>
      <c r="V349" s="14" t="s">
        <v>40</v>
      </c>
      <c r="W349" s="14"/>
      <c r="X349" s="9"/>
      <c r="Y349" s="2"/>
    </row>
    <row r="350" spans="1:25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4"/>
      <c r="M350" s="35"/>
      <c r="N350" s="54"/>
      <c r="O350" s="54"/>
      <c r="P350" s="54"/>
      <c r="Q350" s="53"/>
      <c r="R350" s="53"/>
      <c r="S350" s="53"/>
      <c r="T350" s="25" t="s">
        <v>163</v>
      </c>
      <c r="U350" s="26">
        <f>SUM(U329:U349)</f>
        <v>58487928</v>
      </c>
      <c r="V350" s="26">
        <f>V329+V330+V331+V332+V334+V336+V338+V339+V340+V341+V342+V348</f>
        <v>23650000</v>
      </c>
      <c r="W350" s="49"/>
      <c r="X350" s="53"/>
      <c r="Y350" s="2"/>
    </row>
    <row r="351" spans="1:25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4"/>
      <c r="M351" s="35"/>
      <c r="N351" s="54"/>
      <c r="O351" s="54"/>
      <c r="P351" s="54"/>
      <c r="Q351" s="53"/>
      <c r="R351" s="53"/>
      <c r="S351" s="53"/>
      <c r="T351" s="25" t="s">
        <v>544</v>
      </c>
      <c r="U351" s="30">
        <v>30000000</v>
      </c>
      <c r="V351" s="44" t="s">
        <v>278</v>
      </c>
      <c r="W351" s="49"/>
      <c r="X351" s="53"/>
      <c r="Y351" s="2"/>
    </row>
    <row r="352" spans="1:25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35"/>
      <c r="N352" s="35"/>
      <c r="O352" s="35"/>
      <c r="P352" s="35"/>
      <c r="Q352" s="23"/>
      <c r="R352" s="23"/>
      <c r="S352" s="23"/>
      <c r="T352" s="25"/>
      <c r="U352" s="26">
        <f>U350-U351</f>
        <v>28487928</v>
      </c>
      <c r="V352" s="44"/>
      <c r="W352" s="55"/>
      <c r="X352" s="23"/>
      <c r="Y352" s="2"/>
    </row>
    <row r="353" spans="1:25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3"/>
      <c r="N353" s="22"/>
      <c r="O353" s="22"/>
      <c r="P353" s="22"/>
      <c r="Q353" s="22"/>
      <c r="R353" s="22"/>
      <c r="S353" s="22"/>
      <c r="T353" s="888" t="s">
        <v>165</v>
      </c>
      <c r="U353" s="26">
        <f>U350*10/100</f>
        <v>5848792.7999999998</v>
      </c>
      <c r="V353" s="42"/>
      <c r="W353" s="22"/>
      <c r="X353" s="22"/>
      <c r="Y353" s="2"/>
    </row>
    <row r="354" spans="1:25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3"/>
      <c r="N354" s="22"/>
      <c r="O354" s="22"/>
      <c r="P354" s="22"/>
      <c r="Q354" s="22"/>
      <c r="R354" s="22"/>
      <c r="S354" s="22"/>
      <c r="T354" s="889"/>
      <c r="U354" s="30">
        <f>U352*5/100</f>
        <v>1424396.4</v>
      </c>
      <c r="V354" s="42" t="s">
        <v>282</v>
      </c>
      <c r="W354" s="22"/>
      <c r="X354" s="22"/>
      <c r="Y354" s="2"/>
    </row>
    <row r="355" spans="1:25" ht="22.5" customHeight="1">
      <c r="A355" s="886" t="s">
        <v>1162</v>
      </c>
      <c r="B355" s="887"/>
      <c r="C355" s="887"/>
      <c r="D355" s="887"/>
      <c r="E355" s="887"/>
      <c r="F355" s="887"/>
      <c r="G355" s="887"/>
      <c r="H355" s="887"/>
      <c r="I355" s="887"/>
      <c r="J355" s="887"/>
      <c r="K355" s="887"/>
      <c r="L355" s="887"/>
      <c r="M355" s="887"/>
      <c r="N355" s="887"/>
      <c r="O355" s="887"/>
      <c r="P355" s="887"/>
      <c r="Q355" s="887"/>
      <c r="R355" s="887"/>
      <c r="S355" s="887"/>
      <c r="T355" s="887"/>
      <c r="U355" s="887"/>
      <c r="V355" s="887"/>
      <c r="W355" s="887"/>
      <c r="X355" s="887"/>
      <c r="Y355" s="2"/>
    </row>
    <row r="356" spans="1:25" ht="15.75" customHeight="1">
      <c r="A356" s="3" t="s">
        <v>1</v>
      </c>
      <c r="B356" s="4" t="s">
        <v>2</v>
      </c>
      <c r="C356" s="5" t="s">
        <v>3</v>
      </c>
      <c r="D356" s="5" t="s">
        <v>4</v>
      </c>
      <c r="E356" s="5" t="s">
        <v>5</v>
      </c>
      <c r="F356" s="5" t="s">
        <v>6</v>
      </c>
      <c r="G356" s="5" t="s">
        <v>7</v>
      </c>
      <c r="H356" s="5" t="s">
        <v>167</v>
      </c>
      <c r="I356" s="5" t="s">
        <v>9</v>
      </c>
      <c r="J356" s="5" t="s">
        <v>10</v>
      </c>
      <c r="K356" s="5" t="s">
        <v>11</v>
      </c>
      <c r="L356" s="5" t="s">
        <v>12</v>
      </c>
      <c r="M356" s="6" t="s">
        <v>13</v>
      </c>
      <c r="N356" s="5" t="s">
        <v>14</v>
      </c>
      <c r="O356" s="5" t="s">
        <v>15</v>
      </c>
      <c r="P356" s="5" t="s">
        <v>16</v>
      </c>
      <c r="Q356" s="7" t="s">
        <v>17</v>
      </c>
      <c r="R356" s="8" t="s">
        <v>18</v>
      </c>
      <c r="S356" s="8" t="s">
        <v>19</v>
      </c>
      <c r="T356" s="8" t="s">
        <v>20</v>
      </c>
      <c r="U356" s="5" t="s">
        <v>21</v>
      </c>
      <c r="V356" s="5" t="s">
        <v>22</v>
      </c>
      <c r="W356" s="5" t="s">
        <v>23</v>
      </c>
      <c r="X356" s="5" t="s">
        <v>24</v>
      </c>
      <c r="Y356" s="2"/>
    </row>
    <row r="357" spans="1:25" ht="15.75" customHeight="1">
      <c r="A357" s="807" t="s">
        <v>25</v>
      </c>
      <c r="B357" s="817"/>
      <c r="C357" s="817"/>
      <c r="D357" s="817"/>
      <c r="E357" s="817"/>
      <c r="F357" s="817"/>
      <c r="G357" s="817"/>
      <c r="H357" s="817"/>
      <c r="I357" s="817"/>
      <c r="J357" s="817"/>
      <c r="K357" s="817"/>
      <c r="L357" s="817"/>
      <c r="M357" s="817"/>
      <c r="N357" s="817"/>
      <c r="O357" s="817"/>
      <c r="P357" s="817"/>
      <c r="Q357" s="817"/>
      <c r="R357" s="817"/>
      <c r="S357" s="817"/>
      <c r="T357" s="817"/>
      <c r="U357" s="817"/>
      <c r="V357" s="817"/>
      <c r="W357" s="817"/>
      <c r="X357" s="818"/>
      <c r="Y357" s="2"/>
    </row>
    <row r="358" spans="1:25" ht="29.25" customHeight="1">
      <c r="A358" s="787"/>
      <c r="B358" s="787" t="s">
        <v>45</v>
      </c>
      <c r="C358" s="787" t="s">
        <v>1163</v>
      </c>
      <c r="D358" s="787" t="s">
        <v>25</v>
      </c>
      <c r="E358" s="787" t="s">
        <v>1164</v>
      </c>
      <c r="F358" s="787" t="s">
        <v>1165</v>
      </c>
      <c r="G358" s="787" t="s">
        <v>71</v>
      </c>
      <c r="H358" s="790" t="s">
        <v>1166</v>
      </c>
      <c r="I358" s="790" t="s">
        <v>1167</v>
      </c>
      <c r="J358" s="796" t="s">
        <v>1050</v>
      </c>
      <c r="K358" s="787" t="s">
        <v>501</v>
      </c>
      <c r="L358" s="796">
        <v>44570</v>
      </c>
      <c r="M358" s="878">
        <v>44751</v>
      </c>
      <c r="N358" s="796" t="s">
        <v>1095</v>
      </c>
      <c r="O358" s="796" t="s">
        <v>1095</v>
      </c>
      <c r="P358" s="796" t="s">
        <v>987</v>
      </c>
      <c r="Q358" s="787" t="s">
        <v>1168</v>
      </c>
      <c r="R358" s="787" t="s">
        <v>1069</v>
      </c>
      <c r="S358" s="787" t="s">
        <v>1169</v>
      </c>
      <c r="T358" s="796">
        <v>44844</v>
      </c>
      <c r="U358" s="815">
        <v>400000</v>
      </c>
      <c r="V358" s="14">
        <v>50000</v>
      </c>
      <c r="W358" s="14" t="s">
        <v>290</v>
      </c>
      <c r="X358" s="9" t="s">
        <v>995</v>
      </c>
      <c r="Y358" s="2"/>
    </row>
    <row r="359" spans="1:25" ht="29.25" customHeight="1">
      <c r="A359" s="789"/>
      <c r="B359" s="789"/>
      <c r="C359" s="789"/>
      <c r="D359" s="789"/>
      <c r="E359" s="789"/>
      <c r="F359" s="789"/>
      <c r="G359" s="789"/>
      <c r="H359" s="789"/>
      <c r="I359" s="789"/>
      <c r="J359" s="789"/>
      <c r="K359" s="789"/>
      <c r="L359" s="789"/>
      <c r="M359" s="789"/>
      <c r="N359" s="789"/>
      <c r="O359" s="789"/>
      <c r="P359" s="789"/>
      <c r="Q359" s="789"/>
      <c r="R359" s="789"/>
      <c r="S359" s="789"/>
      <c r="T359" s="789"/>
      <c r="U359" s="816"/>
      <c r="V359" s="14">
        <v>50000</v>
      </c>
      <c r="W359" s="14" t="s">
        <v>59</v>
      </c>
      <c r="X359" s="9" t="s">
        <v>995</v>
      </c>
      <c r="Y359" s="2"/>
    </row>
    <row r="360" spans="1:25" ht="29.25" customHeight="1">
      <c r="A360" s="9"/>
      <c r="B360" s="9" t="s">
        <v>328</v>
      </c>
      <c r="C360" s="9" t="s">
        <v>1170</v>
      </c>
      <c r="D360" s="9" t="s">
        <v>25</v>
      </c>
      <c r="E360" s="9" t="s">
        <v>1171</v>
      </c>
      <c r="F360" s="9" t="s">
        <v>1172</v>
      </c>
      <c r="G360" s="9" t="s">
        <v>30</v>
      </c>
      <c r="H360" s="10" t="s">
        <v>1173</v>
      </c>
      <c r="I360" s="9">
        <v>200024</v>
      </c>
      <c r="J360" s="9" t="s">
        <v>52</v>
      </c>
      <c r="K360" s="9" t="s">
        <v>34</v>
      </c>
      <c r="L360" s="12" t="s">
        <v>1174</v>
      </c>
      <c r="M360" s="12">
        <v>44782</v>
      </c>
      <c r="N360" s="12">
        <v>44813</v>
      </c>
      <c r="O360" s="12">
        <v>44904</v>
      </c>
      <c r="P360" s="12">
        <v>44904</v>
      </c>
      <c r="Q360" s="9" t="s">
        <v>1175</v>
      </c>
      <c r="R360" s="12">
        <v>44661</v>
      </c>
      <c r="S360" s="9" t="s">
        <v>1176</v>
      </c>
      <c r="T360" s="12">
        <v>44894</v>
      </c>
      <c r="U360" s="14">
        <v>1310000</v>
      </c>
      <c r="V360" s="14">
        <v>500000</v>
      </c>
      <c r="W360" s="14" t="s">
        <v>59</v>
      </c>
      <c r="X360" s="12">
        <v>44897</v>
      </c>
      <c r="Y360" s="46"/>
    </row>
    <row r="361" spans="1:25" ht="29.25" customHeight="1">
      <c r="A361" s="787"/>
      <c r="B361" s="787" t="s">
        <v>45</v>
      </c>
      <c r="C361" s="787" t="s">
        <v>1177</v>
      </c>
      <c r="D361" s="787" t="s">
        <v>25</v>
      </c>
      <c r="E361" s="787" t="s">
        <v>258</v>
      </c>
      <c r="F361" s="787" t="s">
        <v>1178</v>
      </c>
      <c r="G361" s="787" t="s">
        <v>30</v>
      </c>
      <c r="H361" s="790" t="s">
        <v>1179</v>
      </c>
      <c r="I361" s="790" t="s">
        <v>1180</v>
      </c>
      <c r="J361" s="796" t="s">
        <v>66</v>
      </c>
      <c r="K361" s="787" t="s">
        <v>376</v>
      </c>
      <c r="L361" s="796" t="s">
        <v>1181</v>
      </c>
      <c r="M361" s="878">
        <v>44782</v>
      </c>
      <c r="N361" s="796">
        <v>44782</v>
      </c>
      <c r="O361" s="796">
        <v>44813</v>
      </c>
      <c r="P361" s="796">
        <v>44813</v>
      </c>
      <c r="Q361" s="787" t="s">
        <v>1182</v>
      </c>
      <c r="R361" s="787" t="s">
        <v>1076</v>
      </c>
      <c r="S361" s="787" t="s">
        <v>1183</v>
      </c>
      <c r="T361" s="796" t="s">
        <v>1069</v>
      </c>
      <c r="U361" s="815">
        <v>3847500</v>
      </c>
      <c r="V361" s="14">
        <v>1500000</v>
      </c>
      <c r="W361" s="14" t="s">
        <v>290</v>
      </c>
      <c r="X361" s="9" t="s">
        <v>1184</v>
      </c>
      <c r="Y361" s="2"/>
    </row>
    <row r="362" spans="1:25" ht="29.25" customHeight="1">
      <c r="A362" s="789"/>
      <c r="B362" s="789"/>
      <c r="C362" s="789"/>
      <c r="D362" s="789"/>
      <c r="E362" s="789"/>
      <c r="F362" s="789"/>
      <c r="G362" s="789"/>
      <c r="H362" s="789"/>
      <c r="I362" s="789"/>
      <c r="J362" s="789"/>
      <c r="K362" s="789"/>
      <c r="L362" s="789"/>
      <c r="M362" s="789"/>
      <c r="N362" s="789"/>
      <c r="O362" s="789"/>
      <c r="P362" s="789"/>
      <c r="Q362" s="789"/>
      <c r="R362" s="789"/>
      <c r="S362" s="789"/>
      <c r="T362" s="789"/>
      <c r="U362" s="815"/>
      <c r="V362" s="14">
        <v>3000000</v>
      </c>
      <c r="W362" s="14" t="s">
        <v>59</v>
      </c>
      <c r="X362" s="12">
        <v>44752</v>
      </c>
      <c r="Y362" s="2"/>
    </row>
    <row r="363" spans="1:25" ht="29.25" customHeight="1">
      <c r="A363" s="787"/>
      <c r="B363" s="787" t="s">
        <v>45</v>
      </c>
      <c r="C363" s="787" t="s">
        <v>1185</v>
      </c>
      <c r="D363" s="787" t="s">
        <v>25</v>
      </c>
      <c r="E363" s="787" t="s">
        <v>299</v>
      </c>
      <c r="F363" s="787" t="s">
        <v>1186</v>
      </c>
      <c r="G363" s="787" t="s">
        <v>71</v>
      </c>
      <c r="H363" s="790" t="s">
        <v>1187</v>
      </c>
      <c r="I363" s="790" t="s">
        <v>1188</v>
      </c>
      <c r="J363" s="796" t="s">
        <v>74</v>
      </c>
      <c r="K363" s="787" t="s">
        <v>304</v>
      </c>
      <c r="L363" s="796">
        <v>44570</v>
      </c>
      <c r="M363" s="796">
        <v>44874</v>
      </c>
      <c r="N363" s="796">
        <v>44904</v>
      </c>
      <c r="O363" s="796">
        <v>44904</v>
      </c>
      <c r="P363" s="796" t="s">
        <v>1189</v>
      </c>
      <c r="Q363" s="787" t="s">
        <v>78</v>
      </c>
      <c r="R363" s="796">
        <v>44661</v>
      </c>
      <c r="S363" s="787" t="s">
        <v>1190</v>
      </c>
      <c r="T363" s="796">
        <v>44844</v>
      </c>
      <c r="U363" s="815">
        <v>475000</v>
      </c>
      <c r="V363" s="14">
        <v>50000</v>
      </c>
      <c r="W363" s="14" t="s">
        <v>290</v>
      </c>
      <c r="X363" s="9" t="s">
        <v>995</v>
      </c>
      <c r="Y363" s="46"/>
    </row>
    <row r="364" spans="1:25" ht="29.25" customHeight="1">
      <c r="A364" s="789"/>
      <c r="B364" s="789"/>
      <c r="C364" s="789"/>
      <c r="D364" s="789"/>
      <c r="E364" s="789"/>
      <c r="F364" s="789"/>
      <c r="G364" s="789"/>
      <c r="H364" s="789"/>
      <c r="I364" s="789"/>
      <c r="J364" s="789"/>
      <c r="K364" s="789"/>
      <c r="L364" s="789"/>
      <c r="M364" s="789"/>
      <c r="N364" s="789"/>
      <c r="O364" s="789"/>
      <c r="P364" s="789"/>
      <c r="Q364" s="789"/>
      <c r="R364" s="789"/>
      <c r="S364" s="789"/>
      <c r="T364" s="789"/>
      <c r="U364" s="815"/>
      <c r="V364" s="14">
        <v>50000</v>
      </c>
      <c r="W364" s="14" t="s">
        <v>59</v>
      </c>
      <c r="X364" s="9" t="s">
        <v>995</v>
      </c>
      <c r="Y364" s="46"/>
    </row>
    <row r="365" spans="1:25" ht="29.25" customHeight="1">
      <c r="A365" s="787"/>
      <c r="B365" s="787" t="s">
        <v>45</v>
      </c>
      <c r="C365" s="787" t="s">
        <v>1191</v>
      </c>
      <c r="D365" s="787" t="s">
        <v>25</v>
      </c>
      <c r="E365" s="787" t="s">
        <v>218</v>
      </c>
      <c r="F365" s="787" t="s">
        <v>1192</v>
      </c>
      <c r="G365" s="787" t="s">
        <v>71</v>
      </c>
      <c r="H365" s="790" t="s">
        <v>1193</v>
      </c>
      <c r="I365" s="790" t="s">
        <v>1167</v>
      </c>
      <c r="J365" s="796" t="s">
        <v>172</v>
      </c>
      <c r="K365" s="787" t="s">
        <v>304</v>
      </c>
      <c r="L365" s="796">
        <v>44570</v>
      </c>
      <c r="M365" s="796">
        <v>44904</v>
      </c>
      <c r="N365" s="796" t="s">
        <v>1194</v>
      </c>
      <c r="O365" s="796" t="s">
        <v>1095</v>
      </c>
      <c r="P365" s="796" t="s">
        <v>987</v>
      </c>
      <c r="Q365" s="787" t="s">
        <v>1168</v>
      </c>
      <c r="R365" s="796">
        <v>44661</v>
      </c>
      <c r="S365" s="787" t="s">
        <v>1195</v>
      </c>
      <c r="T365" s="796">
        <v>44844</v>
      </c>
      <c r="U365" s="815">
        <v>400000</v>
      </c>
      <c r="V365" s="14">
        <v>50000</v>
      </c>
      <c r="W365" s="14" t="s">
        <v>290</v>
      </c>
      <c r="X365" s="9" t="s">
        <v>995</v>
      </c>
      <c r="Y365" s="2"/>
    </row>
    <row r="366" spans="1:25" ht="29.25" customHeight="1">
      <c r="A366" s="789"/>
      <c r="B366" s="789"/>
      <c r="C366" s="789"/>
      <c r="D366" s="789"/>
      <c r="E366" s="789"/>
      <c r="F366" s="789"/>
      <c r="G366" s="789"/>
      <c r="H366" s="789"/>
      <c r="I366" s="789"/>
      <c r="J366" s="789"/>
      <c r="K366" s="789"/>
      <c r="L366" s="789"/>
      <c r="M366" s="789"/>
      <c r="N366" s="789"/>
      <c r="O366" s="789"/>
      <c r="P366" s="789"/>
      <c r="Q366" s="789"/>
      <c r="R366" s="789"/>
      <c r="S366" s="789"/>
      <c r="T366" s="789"/>
      <c r="U366" s="815"/>
      <c r="V366" s="14">
        <v>50000</v>
      </c>
      <c r="W366" s="14" t="s">
        <v>59</v>
      </c>
      <c r="X366" s="9" t="s">
        <v>995</v>
      </c>
      <c r="Y366" s="2"/>
    </row>
    <row r="367" spans="1:25" ht="29.25" customHeight="1">
      <c r="A367" s="9"/>
      <c r="B367" s="9" t="s">
        <v>328</v>
      </c>
      <c r="C367" s="9" t="s">
        <v>1196</v>
      </c>
      <c r="D367" s="9" t="s">
        <v>1197</v>
      </c>
      <c r="E367" s="9" t="s">
        <v>1198</v>
      </c>
      <c r="F367" s="9" t="s">
        <v>1199</v>
      </c>
      <c r="G367" s="9" t="s">
        <v>1200</v>
      </c>
      <c r="H367" s="10" t="s">
        <v>1201</v>
      </c>
      <c r="I367" s="10" t="s">
        <v>40</v>
      </c>
      <c r="J367" s="9" t="s">
        <v>52</v>
      </c>
      <c r="K367" s="9" t="s">
        <v>40</v>
      </c>
      <c r="L367" s="12">
        <v>44660</v>
      </c>
      <c r="M367" s="11" t="s">
        <v>1095</v>
      </c>
      <c r="N367" s="12" t="s">
        <v>40</v>
      </c>
      <c r="O367" s="12" t="s">
        <v>40</v>
      </c>
      <c r="P367" s="12" t="s">
        <v>40</v>
      </c>
      <c r="Q367" s="9" t="s">
        <v>40</v>
      </c>
      <c r="R367" s="12" t="s">
        <v>1202</v>
      </c>
      <c r="S367" s="9" t="s">
        <v>1203</v>
      </c>
      <c r="T367" s="12" t="s">
        <v>1204</v>
      </c>
      <c r="U367" s="14">
        <v>27817500</v>
      </c>
      <c r="V367" s="14">
        <v>34500000</v>
      </c>
      <c r="W367" s="14" t="s">
        <v>59</v>
      </c>
      <c r="X367" s="9" t="s">
        <v>1045</v>
      </c>
      <c r="Y367" s="2"/>
    </row>
    <row r="368" spans="1:25" ht="29.25" customHeight="1">
      <c r="A368" s="787"/>
      <c r="B368" s="787" t="s">
        <v>45</v>
      </c>
      <c r="C368" s="787" t="s">
        <v>1205</v>
      </c>
      <c r="D368" s="787" t="s">
        <v>25</v>
      </c>
      <c r="E368" s="787" t="s">
        <v>299</v>
      </c>
      <c r="F368" s="787" t="s">
        <v>1206</v>
      </c>
      <c r="G368" s="787" t="s">
        <v>71</v>
      </c>
      <c r="H368" s="790" t="s">
        <v>1193</v>
      </c>
      <c r="I368" s="790" t="s">
        <v>1207</v>
      </c>
      <c r="J368" s="796" t="s">
        <v>1208</v>
      </c>
      <c r="K368" s="787" t="s">
        <v>99</v>
      </c>
      <c r="L368" s="796" t="s">
        <v>1209</v>
      </c>
      <c r="M368" s="796" t="s">
        <v>1210</v>
      </c>
      <c r="N368" s="796" t="s">
        <v>1055</v>
      </c>
      <c r="O368" s="796" t="s">
        <v>1055</v>
      </c>
      <c r="P368" s="796" t="s">
        <v>1076</v>
      </c>
      <c r="Q368" s="787" t="s">
        <v>78</v>
      </c>
      <c r="R368" s="796">
        <v>44875</v>
      </c>
      <c r="S368" s="787" t="s">
        <v>1211</v>
      </c>
      <c r="T368" s="787" t="s">
        <v>1062</v>
      </c>
      <c r="U368" s="815">
        <v>400000</v>
      </c>
      <c r="V368" s="14">
        <v>50000</v>
      </c>
      <c r="W368" s="14" t="s">
        <v>290</v>
      </c>
      <c r="X368" s="9" t="s">
        <v>1063</v>
      </c>
      <c r="Y368" s="46"/>
    </row>
    <row r="369" spans="1:25" ht="29.25" customHeight="1">
      <c r="A369" s="789"/>
      <c r="B369" s="789"/>
      <c r="C369" s="789"/>
      <c r="D369" s="789"/>
      <c r="E369" s="789"/>
      <c r="F369" s="789"/>
      <c r="G369" s="789"/>
      <c r="H369" s="789"/>
      <c r="I369" s="789"/>
      <c r="J369" s="789"/>
      <c r="K369" s="789"/>
      <c r="L369" s="789"/>
      <c r="M369" s="789"/>
      <c r="N369" s="789"/>
      <c r="O369" s="789"/>
      <c r="P369" s="789"/>
      <c r="Q369" s="789"/>
      <c r="R369" s="789"/>
      <c r="S369" s="789"/>
      <c r="T369" s="789"/>
      <c r="U369" s="815"/>
      <c r="V369" s="14">
        <v>50000</v>
      </c>
      <c r="W369" s="14" t="s">
        <v>59</v>
      </c>
      <c r="X369" s="9" t="s">
        <v>1063</v>
      </c>
      <c r="Y369" s="46"/>
    </row>
    <row r="370" spans="1:25" ht="29.25" customHeight="1">
      <c r="A370" s="9"/>
      <c r="B370" s="9" t="s">
        <v>328</v>
      </c>
      <c r="C370" s="9" t="s">
        <v>1212</v>
      </c>
      <c r="D370" s="9" t="s">
        <v>25</v>
      </c>
      <c r="E370" s="9" t="s">
        <v>1171</v>
      </c>
      <c r="F370" s="9" t="s">
        <v>1213</v>
      </c>
      <c r="G370" s="9" t="s">
        <v>30</v>
      </c>
      <c r="H370" s="10" t="s">
        <v>1214</v>
      </c>
      <c r="I370" s="9">
        <v>200013</v>
      </c>
      <c r="J370" s="9" t="s">
        <v>52</v>
      </c>
      <c r="K370" s="9" t="s">
        <v>935</v>
      </c>
      <c r="L370" s="12">
        <v>44813</v>
      </c>
      <c r="M370" s="12" t="s">
        <v>1215</v>
      </c>
      <c r="N370" s="12" t="s">
        <v>1069</v>
      </c>
      <c r="O370" s="12" t="s">
        <v>1069</v>
      </c>
      <c r="P370" s="12" t="s">
        <v>1069</v>
      </c>
      <c r="Q370" s="9" t="s">
        <v>1216</v>
      </c>
      <c r="R370" s="12">
        <v>44875</v>
      </c>
      <c r="S370" s="9" t="s">
        <v>1217</v>
      </c>
      <c r="T370" s="12">
        <v>44894</v>
      </c>
      <c r="U370" s="14">
        <v>1300000</v>
      </c>
      <c r="V370" s="14">
        <v>500000</v>
      </c>
      <c r="W370" s="14" t="s">
        <v>59</v>
      </c>
      <c r="X370" s="12">
        <v>44897</v>
      </c>
      <c r="Y370" s="46"/>
    </row>
    <row r="371" spans="1:25" ht="29.25" customHeight="1">
      <c r="A371" s="9"/>
      <c r="B371" s="9" t="s">
        <v>328</v>
      </c>
      <c r="C371" s="9" t="s">
        <v>1218</v>
      </c>
      <c r="D371" s="9" t="s">
        <v>25</v>
      </c>
      <c r="E371" s="9" t="s">
        <v>1219</v>
      </c>
      <c r="F371" s="9" t="s">
        <v>1220</v>
      </c>
      <c r="G371" s="9" t="s">
        <v>30</v>
      </c>
      <c r="H371" s="10" t="s">
        <v>1221</v>
      </c>
      <c r="I371" s="9">
        <v>200029</v>
      </c>
      <c r="J371" s="9" t="s">
        <v>1222</v>
      </c>
      <c r="K371" s="9" t="s">
        <v>376</v>
      </c>
      <c r="L371" s="12" t="s">
        <v>1181</v>
      </c>
      <c r="M371" s="12" t="s">
        <v>1069</v>
      </c>
      <c r="N371" s="12">
        <v>44661</v>
      </c>
      <c r="O371" s="12">
        <v>44661</v>
      </c>
      <c r="P371" s="12">
        <v>44661</v>
      </c>
      <c r="Q371" s="9" t="s">
        <v>1216</v>
      </c>
      <c r="R371" s="12">
        <v>44875</v>
      </c>
      <c r="S371" s="9" t="s">
        <v>1223</v>
      </c>
      <c r="T371" s="12">
        <v>44894</v>
      </c>
      <c r="U371" s="14">
        <v>4375000</v>
      </c>
      <c r="V371" s="14">
        <v>2775000</v>
      </c>
      <c r="W371" s="14" t="s">
        <v>59</v>
      </c>
      <c r="X371" s="12">
        <v>44897</v>
      </c>
      <c r="Y371" s="2"/>
    </row>
    <row r="372" spans="1:25" ht="29.25" customHeight="1">
      <c r="A372" s="9"/>
      <c r="B372" s="9" t="s">
        <v>328</v>
      </c>
      <c r="C372" s="9" t="s">
        <v>1224</v>
      </c>
      <c r="D372" s="9" t="s">
        <v>25</v>
      </c>
      <c r="E372" s="9" t="s">
        <v>1219</v>
      </c>
      <c r="F372" s="9" t="s">
        <v>1225</v>
      </c>
      <c r="G372" s="9" t="s">
        <v>71</v>
      </c>
      <c r="H372" s="10" t="s">
        <v>1226</v>
      </c>
      <c r="I372" s="9">
        <v>200019</v>
      </c>
      <c r="J372" s="9" t="s">
        <v>1227</v>
      </c>
      <c r="K372" s="9" t="s">
        <v>304</v>
      </c>
      <c r="L372" s="12">
        <v>44629</v>
      </c>
      <c r="M372" s="12" t="s">
        <v>1228</v>
      </c>
      <c r="N372" s="12" t="s">
        <v>1069</v>
      </c>
      <c r="O372" s="12" t="s">
        <v>1069</v>
      </c>
      <c r="P372" s="12" t="s">
        <v>1131</v>
      </c>
      <c r="Q372" s="9" t="s">
        <v>1229</v>
      </c>
      <c r="R372" s="12">
        <v>44875</v>
      </c>
      <c r="S372" s="9" t="s">
        <v>1230</v>
      </c>
      <c r="T372" s="12">
        <v>44894</v>
      </c>
      <c r="U372" s="14">
        <v>10947500</v>
      </c>
      <c r="V372" s="14">
        <v>12500000</v>
      </c>
      <c r="W372" s="14" t="s">
        <v>59</v>
      </c>
      <c r="X372" s="12">
        <v>44897</v>
      </c>
      <c r="Y372" s="2"/>
    </row>
    <row r="373" spans="1:25" ht="29.25" customHeight="1">
      <c r="A373" s="807" t="s">
        <v>128</v>
      </c>
      <c r="B373" s="817"/>
      <c r="C373" s="817"/>
      <c r="D373" s="817"/>
      <c r="E373" s="817"/>
      <c r="F373" s="817"/>
      <c r="G373" s="817"/>
      <c r="H373" s="817"/>
      <c r="I373" s="817"/>
      <c r="J373" s="817"/>
      <c r="K373" s="817"/>
      <c r="L373" s="817"/>
      <c r="M373" s="817"/>
      <c r="N373" s="817"/>
      <c r="O373" s="817"/>
      <c r="P373" s="817"/>
      <c r="Q373" s="817"/>
      <c r="R373" s="817"/>
      <c r="S373" s="817"/>
      <c r="T373" s="817"/>
      <c r="U373" s="817"/>
      <c r="V373" s="817"/>
      <c r="W373" s="817"/>
      <c r="X373" s="818"/>
      <c r="Y373" s="52"/>
    </row>
    <row r="374" spans="1:25" ht="29.25" customHeight="1">
      <c r="A374" s="787"/>
      <c r="B374" s="787" t="s">
        <v>45</v>
      </c>
      <c r="C374" s="787">
        <v>221527358</v>
      </c>
      <c r="D374" s="787" t="s">
        <v>128</v>
      </c>
      <c r="E374" s="787" t="s">
        <v>1231</v>
      </c>
      <c r="F374" s="787" t="s">
        <v>1232</v>
      </c>
      <c r="G374" s="787" t="s">
        <v>71</v>
      </c>
      <c r="H374" s="790" t="s">
        <v>1233</v>
      </c>
      <c r="I374" s="790" t="s">
        <v>562</v>
      </c>
      <c r="J374" s="787" t="s">
        <v>1050</v>
      </c>
      <c r="K374" s="787" t="s">
        <v>1234</v>
      </c>
      <c r="L374" s="796" t="s">
        <v>987</v>
      </c>
      <c r="M374" s="878" t="s">
        <v>1228</v>
      </c>
      <c r="N374" s="879" t="s">
        <v>1235</v>
      </c>
      <c r="O374" s="880"/>
      <c r="P374" s="881"/>
      <c r="Q374" s="787" t="s">
        <v>78</v>
      </c>
      <c r="R374" s="796" t="s">
        <v>1076</v>
      </c>
      <c r="S374" s="787" t="s">
        <v>1236</v>
      </c>
      <c r="T374" s="796" t="s">
        <v>1069</v>
      </c>
      <c r="U374" s="815">
        <v>1518000</v>
      </c>
      <c r="V374" s="14">
        <v>742000</v>
      </c>
      <c r="W374" s="14" t="s">
        <v>290</v>
      </c>
      <c r="X374" s="9" t="s">
        <v>1018</v>
      </c>
      <c r="Y374" s="2"/>
    </row>
    <row r="375" spans="1:25" ht="29.25" customHeight="1">
      <c r="A375" s="789"/>
      <c r="B375" s="789"/>
      <c r="C375" s="789"/>
      <c r="D375" s="789"/>
      <c r="E375" s="789"/>
      <c r="F375" s="789"/>
      <c r="G375" s="789"/>
      <c r="H375" s="789"/>
      <c r="I375" s="789"/>
      <c r="J375" s="789"/>
      <c r="K375" s="789"/>
      <c r="L375" s="789"/>
      <c r="M375" s="789"/>
      <c r="N375" s="882"/>
      <c r="O375" s="817"/>
      <c r="P375" s="818"/>
      <c r="Q375" s="789"/>
      <c r="R375" s="789"/>
      <c r="S375" s="789"/>
      <c r="T375" s="789"/>
      <c r="U375" s="816"/>
      <c r="V375" s="14">
        <v>1500000</v>
      </c>
      <c r="W375" s="14" t="s">
        <v>59</v>
      </c>
      <c r="X375" s="12">
        <v>44752</v>
      </c>
      <c r="Y375" s="2"/>
    </row>
    <row r="376" spans="1:25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4"/>
      <c r="M376" s="35"/>
      <c r="N376" s="54"/>
      <c r="O376" s="54"/>
      <c r="P376" s="54"/>
      <c r="Q376" s="53"/>
      <c r="R376" s="53"/>
      <c r="S376" s="53"/>
      <c r="T376" s="25" t="s">
        <v>163</v>
      </c>
      <c r="U376" s="26">
        <f>SUM(U358:U375)</f>
        <v>52790500</v>
      </c>
      <c r="V376" s="26">
        <f>V359+V360+V371+V362+V369+V364+V366+V367+V372+V375+V37</f>
        <v>55025000</v>
      </c>
      <c r="W376" s="49"/>
      <c r="X376" s="53"/>
      <c r="Y376" s="2"/>
    </row>
    <row r="377" spans="1:25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4"/>
      <c r="M377" s="35"/>
      <c r="N377" s="54"/>
      <c r="O377" s="54"/>
      <c r="P377" s="54"/>
      <c r="Q377" s="53"/>
      <c r="R377" s="53"/>
      <c r="S377" s="53"/>
      <c r="T377" s="25" t="s">
        <v>544</v>
      </c>
      <c r="U377" s="30">
        <v>30000000</v>
      </c>
      <c r="V377" s="44" t="s">
        <v>278</v>
      </c>
      <c r="W377" s="49"/>
      <c r="X377" s="53"/>
      <c r="Y377" s="2"/>
    </row>
    <row r="378" spans="1:25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35"/>
      <c r="N378" s="35"/>
      <c r="O378" s="35"/>
      <c r="P378" s="35"/>
      <c r="Q378" s="23"/>
      <c r="R378" s="23"/>
      <c r="S378" s="23"/>
      <c r="T378" s="25"/>
      <c r="U378" s="26">
        <f>U376-U377</f>
        <v>22790500</v>
      </c>
      <c r="V378" s="44"/>
      <c r="W378" s="55"/>
      <c r="X378" s="23"/>
      <c r="Y378" s="2"/>
    </row>
    <row r="379" spans="1:25" ht="1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3"/>
      <c r="N379" s="22"/>
      <c r="O379" s="22"/>
      <c r="P379" s="22"/>
      <c r="Q379" s="22"/>
      <c r="R379" s="22"/>
      <c r="S379" s="22"/>
      <c r="T379" s="888" t="s">
        <v>165</v>
      </c>
      <c r="U379" s="26">
        <f>U376*10/100</f>
        <v>5279050</v>
      </c>
      <c r="V379" s="42"/>
      <c r="W379" s="22"/>
      <c r="X379" s="22"/>
      <c r="Y379" s="2"/>
    </row>
    <row r="380" spans="1:25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3"/>
      <c r="N380" s="22"/>
      <c r="O380" s="22"/>
      <c r="P380" s="22"/>
      <c r="Q380" s="22"/>
      <c r="R380" s="22"/>
      <c r="S380" s="22"/>
      <c r="T380" s="889"/>
      <c r="U380" s="30"/>
      <c r="V380" s="42" t="s">
        <v>282</v>
      </c>
      <c r="W380" s="22"/>
      <c r="X380" s="22"/>
      <c r="Y380" s="2"/>
    </row>
    <row r="381" spans="1:25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3"/>
      <c r="N381" s="22"/>
      <c r="O381" s="22"/>
      <c r="P381" s="22"/>
      <c r="Q381" s="22"/>
      <c r="R381" s="22"/>
      <c r="S381" s="22"/>
      <c r="T381" s="42"/>
      <c r="U381" s="45">
        <f>U379+U380</f>
        <v>5279050</v>
      </c>
      <c r="V381" s="42"/>
      <c r="W381" s="22"/>
      <c r="X381" s="22"/>
      <c r="Y381" s="2"/>
    </row>
    <row r="382" spans="1:25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3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"/>
    </row>
    <row r="383" spans="1:25" ht="21" customHeight="1">
      <c r="A383" s="886" t="s">
        <v>1237</v>
      </c>
      <c r="B383" s="887"/>
      <c r="C383" s="887"/>
      <c r="D383" s="887"/>
      <c r="E383" s="887"/>
      <c r="F383" s="887"/>
      <c r="G383" s="887"/>
      <c r="H383" s="887"/>
      <c r="I383" s="887"/>
      <c r="J383" s="887"/>
      <c r="K383" s="887"/>
      <c r="L383" s="887"/>
      <c r="M383" s="887"/>
      <c r="N383" s="887"/>
      <c r="O383" s="887"/>
      <c r="P383" s="887"/>
      <c r="Q383" s="887"/>
      <c r="R383" s="887"/>
      <c r="S383" s="887"/>
      <c r="T383" s="887"/>
      <c r="U383" s="887"/>
      <c r="V383" s="887"/>
      <c r="W383" s="887"/>
      <c r="X383" s="887"/>
      <c r="Y383" s="2"/>
    </row>
    <row r="384" spans="1:25" ht="33.75" customHeight="1">
      <c r="A384" s="3" t="s">
        <v>1</v>
      </c>
      <c r="B384" s="4" t="s">
        <v>2</v>
      </c>
      <c r="C384" s="5" t="s">
        <v>3</v>
      </c>
      <c r="D384" s="5" t="s">
        <v>4</v>
      </c>
      <c r="E384" s="5" t="s">
        <v>5</v>
      </c>
      <c r="F384" s="5" t="s">
        <v>6</v>
      </c>
      <c r="G384" s="5" t="s">
        <v>7</v>
      </c>
      <c r="H384" s="5" t="s">
        <v>167</v>
      </c>
      <c r="I384" s="5" t="s">
        <v>9</v>
      </c>
      <c r="J384" s="5" t="s">
        <v>10</v>
      </c>
      <c r="K384" s="5" t="s">
        <v>11</v>
      </c>
      <c r="L384" s="5" t="s">
        <v>12</v>
      </c>
      <c r="M384" s="6" t="s">
        <v>13</v>
      </c>
      <c r="N384" s="5" t="s">
        <v>14</v>
      </c>
      <c r="O384" s="5" t="s">
        <v>15</v>
      </c>
      <c r="P384" s="5" t="s">
        <v>16</v>
      </c>
      <c r="Q384" s="7" t="s">
        <v>17</v>
      </c>
      <c r="R384" s="8" t="s">
        <v>18</v>
      </c>
      <c r="S384" s="8" t="s">
        <v>19</v>
      </c>
      <c r="T384" s="8" t="s">
        <v>20</v>
      </c>
      <c r="U384" s="5" t="s">
        <v>21</v>
      </c>
      <c r="V384" s="5" t="s">
        <v>22</v>
      </c>
      <c r="W384" s="5" t="s">
        <v>23</v>
      </c>
      <c r="X384" s="5" t="s">
        <v>24</v>
      </c>
      <c r="Y384" s="2"/>
    </row>
    <row r="385" spans="1:25" ht="15.75" customHeight="1">
      <c r="A385" s="807" t="s">
        <v>25</v>
      </c>
      <c r="B385" s="817"/>
      <c r="C385" s="817"/>
      <c r="D385" s="817"/>
      <c r="E385" s="817"/>
      <c r="F385" s="817"/>
      <c r="G385" s="817"/>
      <c r="H385" s="817"/>
      <c r="I385" s="817"/>
      <c r="J385" s="817"/>
      <c r="K385" s="817"/>
      <c r="L385" s="817"/>
      <c r="M385" s="817"/>
      <c r="N385" s="817"/>
      <c r="O385" s="817"/>
      <c r="P385" s="817"/>
      <c r="Q385" s="817"/>
      <c r="R385" s="817"/>
      <c r="S385" s="817"/>
      <c r="T385" s="817"/>
      <c r="U385" s="817"/>
      <c r="V385" s="817"/>
      <c r="W385" s="817"/>
      <c r="X385" s="818"/>
      <c r="Y385" s="2"/>
    </row>
    <row r="386" spans="1:25" ht="21" customHeight="1">
      <c r="A386" s="9"/>
      <c r="B386" s="9" t="s">
        <v>328</v>
      </c>
      <c r="C386" s="9" t="s">
        <v>1238</v>
      </c>
      <c r="D386" s="9" t="s">
        <v>25</v>
      </c>
      <c r="E386" s="9" t="s">
        <v>1239</v>
      </c>
      <c r="F386" s="9" t="s">
        <v>1240</v>
      </c>
      <c r="G386" s="9" t="s">
        <v>30</v>
      </c>
      <c r="H386" s="10" t="s">
        <v>1241</v>
      </c>
      <c r="I386" s="10" t="s">
        <v>1242</v>
      </c>
      <c r="J386" s="9" t="s">
        <v>215</v>
      </c>
      <c r="K386" s="9" t="s">
        <v>419</v>
      </c>
      <c r="L386" s="12" t="s">
        <v>1055</v>
      </c>
      <c r="M386" s="12">
        <v>44691</v>
      </c>
      <c r="N386" s="12">
        <v>44722</v>
      </c>
      <c r="O386" s="12">
        <v>44844</v>
      </c>
      <c r="P386" s="12">
        <v>44844</v>
      </c>
      <c r="Q386" s="9" t="s">
        <v>1243</v>
      </c>
      <c r="R386" s="12">
        <v>44869</v>
      </c>
      <c r="S386" s="9" t="s">
        <v>1244</v>
      </c>
      <c r="T386" s="12">
        <v>44894</v>
      </c>
      <c r="U386" s="14">
        <v>1399500</v>
      </c>
      <c r="V386" s="14">
        <v>500000</v>
      </c>
      <c r="W386" s="14" t="s">
        <v>59</v>
      </c>
      <c r="X386" s="9" t="s">
        <v>1245</v>
      </c>
      <c r="Y386" s="2"/>
    </row>
    <row r="387" spans="1:25" ht="21" customHeight="1">
      <c r="A387" s="787"/>
      <c r="B387" s="787" t="s">
        <v>45</v>
      </c>
      <c r="C387" s="787" t="s">
        <v>1246</v>
      </c>
      <c r="D387" s="787" t="s">
        <v>25</v>
      </c>
      <c r="E387" s="787" t="s">
        <v>1247</v>
      </c>
      <c r="F387" s="787" t="s">
        <v>1138</v>
      </c>
      <c r="G387" s="787" t="s">
        <v>833</v>
      </c>
      <c r="H387" s="790" t="s">
        <v>1248</v>
      </c>
      <c r="I387" s="790" t="s">
        <v>1249</v>
      </c>
      <c r="J387" s="796" t="s">
        <v>1250</v>
      </c>
      <c r="K387" s="787" t="s">
        <v>1251</v>
      </c>
      <c r="L387" s="796" t="s">
        <v>1252</v>
      </c>
      <c r="M387" s="796">
        <v>44752</v>
      </c>
      <c r="N387" s="796">
        <v>44844</v>
      </c>
      <c r="O387" s="796">
        <v>44875</v>
      </c>
      <c r="P387" s="796">
        <v>44905</v>
      </c>
      <c r="Q387" s="787" t="s">
        <v>1253</v>
      </c>
      <c r="R387" s="796">
        <v>44872</v>
      </c>
      <c r="S387" s="787" t="s">
        <v>1254</v>
      </c>
      <c r="T387" s="787" t="s">
        <v>40</v>
      </c>
      <c r="U387" s="815">
        <v>875000</v>
      </c>
      <c r="V387" s="14">
        <v>50000</v>
      </c>
      <c r="W387" s="14" t="s">
        <v>290</v>
      </c>
      <c r="X387" s="12">
        <v>12025</v>
      </c>
      <c r="Y387" s="2"/>
    </row>
    <row r="388" spans="1:25" ht="21" customHeight="1">
      <c r="A388" s="789"/>
      <c r="B388" s="789"/>
      <c r="C388" s="789"/>
      <c r="D388" s="789"/>
      <c r="E388" s="789"/>
      <c r="F388" s="789"/>
      <c r="G388" s="789"/>
      <c r="H388" s="789"/>
      <c r="I388" s="789"/>
      <c r="J388" s="789"/>
      <c r="K388" s="789"/>
      <c r="L388" s="789"/>
      <c r="M388" s="789"/>
      <c r="N388" s="789"/>
      <c r="O388" s="789"/>
      <c r="P388" s="789"/>
      <c r="Q388" s="789"/>
      <c r="R388" s="789"/>
      <c r="S388" s="789"/>
      <c r="T388" s="789"/>
      <c r="U388" s="815"/>
      <c r="V388" s="14">
        <v>50000</v>
      </c>
      <c r="W388" s="14" t="s">
        <v>59</v>
      </c>
      <c r="X388" s="12">
        <v>12025</v>
      </c>
      <c r="Y388" s="2"/>
    </row>
    <row r="389" spans="1:25" ht="30" customHeight="1">
      <c r="A389" s="9"/>
      <c r="B389" s="9" t="s">
        <v>328</v>
      </c>
      <c r="C389" s="9" t="s">
        <v>1255</v>
      </c>
      <c r="D389" s="9" t="s">
        <v>25</v>
      </c>
      <c r="E389" s="9" t="s">
        <v>1256</v>
      </c>
      <c r="F389" s="9" t="s">
        <v>1257</v>
      </c>
      <c r="G389" s="9" t="s">
        <v>30</v>
      </c>
      <c r="H389" s="10" t="s">
        <v>1258</v>
      </c>
      <c r="I389" s="9">
        <v>200043</v>
      </c>
      <c r="J389" s="9" t="s">
        <v>208</v>
      </c>
      <c r="K389" s="9" t="s">
        <v>935</v>
      </c>
      <c r="L389" s="12" t="s">
        <v>1018</v>
      </c>
      <c r="M389" s="12">
        <v>44752</v>
      </c>
      <c r="N389" s="12" t="s">
        <v>1259</v>
      </c>
      <c r="O389" s="12" t="s">
        <v>1260</v>
      </c>
      <c r="P389" s="12" t="s">
        <v>1260</v>
      </c>
      <c r="Q389" s="9" t="s">
        <v>36</v>
      </c>
      <c r="R389" s="12">
        <v>44603</v>
      </c>
      <c r="S389" s="9" t="s">
        <v>1261</v>
      </c>
      <c r="T389" s="12">
        <v>44911</v>
      </c>
      <c r="U389" s="14">
        <v>2530000</v>
      </c>
      <c r="V389" s="14">
        <v>500000</v>
      </c>
      <c r="W389" s="14" t="s">
        <v>59</v>
      </c>
      <c r="X389" s="12">
        <v>45009</v>
      </c>
      <c r="Y389" s="2"/>
    </row>
    <row r="390" spans="1:25" ht="30" customHeight="1">
      <c r="A390" s="9"/>
      <c r="B390" s="9" t="s">
        <v>328</v>
      </c>
      <c r="C390" s="9" t="s">
        <v>1262</v>
      </c>
      <c r="D390" s="9" t="s">
        <v>25</v>
      </c>
      <c r="E390" s="9" t="s">
        <v>1219</v>
      </c>
      <c r="F390" s="9" t="s">
        <v>1263</v>
      </c>
      <c r="G390" s="9" t="s">
        <v>30</v>
      </c>
      <c r="H390" s="10" t="s">
        <v>1264</v>
      </c>
      <c r="I390" s="9">
        <v>200028</v>
      </c>
      <c r="J390" s="9" t="s">
        <v>1265</v>
      </c>
      <c r="K390" s="9" t="s">
        <v>376</v>
      </c>
      <c r="L390" s="12" t="s">
        <v>984</v>
      </c>
      <c r="M390" s="12" t="s">
        <v>1266</v>
      </c>
      <c r="N390" s="12" t="s">
        <v>1259</v>
      </c>
      <c r="O390" s="12" t="s">
        <v>1259</v>
      </c>
      <c r="P390" s="12" t="s">
        <v>1259</v>
      </c>
      <c r="Q390" s="9" t="s">
        <v>36</v>
      </c>
      <c r="R390" s="12">
        <v>44603</v>
      </c>
      <c r="S390" s="9" t="s">
        <v>1267</v>
      </c>
      <c r="T390" s="12">
        <v>44911</v>
      </c>
      <c r="U390" s="14">
        <v>10870175</v>
      </c>
      <c r="V390" s="14">
        <v>7500000</v>
      </c>
      <c r="W390" s="14" t="s">
        <v>59</v>
      </c>
      <c r="X390" s="12">
        <v>45009</v>
      </c>
      <c r="Y390" s="2"/>
    </row>
    <row r="391" spans="1:25" ht="30" customHeight="1">
      <c r="A391" s="9"/>
      <c r="B391" s="9" t="s">
        <v>1268</v>
      </c>
      <c r="C391" s="9" t="s">
        <v>1269</v>
      </c>
      <c r="D391" s="9" t="s">
        <v>25</v>
      </c>
      <c r="E391" s="9" t="s">
        <v>1270</v>
      </c>
      <c r="F391" s="9" t="s">
        <v>1271</v>
      </c>
      <c r="G391" s="9" t="s">
        <v>156</v>
      </c>
      <c r="H391" s="10" t="s">
        <v>1272</v>
      </c>
      <c r="I391" s="10" t="s">
        <v>40</v>
      </c>
      <c r="J391" s="9" t="s">
        <v>74</v>
      </c>
      <c r="K391" s="9" t="s">
        <v>201</v>
      </c>
      <c r="L391" s="12">
        <v>44814</v>
      </c>
      <c r="M391" s="12" t="s">
        <v>1273</v>
      </c>
      <c r="N391" s="12" t="s">
        <v>1273</v>
      </c>
      <c r="O391" s="12" t="s">
        <v>1274</v>
      </c>
      <c r="P391" s="12" t="s">
        <v>1274</v>
      </c>
      <c r="Q391" s="9" t="s">
        <v>36</v>
      </c>
      <c r="R391" s="12" t="s">
        <v>1275</v>
      </c>
      <c r="S391" s="9" t="s">
        <v>1276</v>
      </c>
      <c r="T391" s="12">
        <v>44895</v>
      </c>
      <c r="U391" s="14">
        <v>500000</v>
      </c>
      <c r="V391" s="14" t="s">
        <v>40</v>
      </c>
      <c r="W391" s="14" t="s">
        <v>40</v>
      </c>
      <c r="X391" s="9" t="s">
        <v>40</v>
      </c>
      <c r="Y391" s="2"/>
    </row>
    <row r="392" spans="1:25" ht="30" customHeight="1">
      <c r="A392" s="9"/>
      <c r="B392" s="9" t="s">
        <v>1268</v>
      </c>
      <c r="C392" s="9" t="s">
        <v>1277</v>
      </c>
      <c r="D392" s="9" t="s">
        <v>25</v>
      </c>
      <c r="E392" s="9" t="s">
        <v>1270</v>
      </c>
      <c r="F392" s="9" t="s">
        <v>1278</v>
      </c>
      <c r="G392" s="9" t="s">
        <v>270</v>
      </c>
      <c r="H392" s="10" t="s">
        <v>1279</v>
      </c>
      <c r="I392" s="10" t="s">
        <v>40</v>
      </c>
      <c r="J392" s="9" t="s">
        <v>1280</v>
      </c>
      <c r="K392" s="9" t="s">
        <v>201</v>
      </c>
      <c r="L392" s="12" t="s">
        <v>1281</v>
      </c>
      <c r="M392" s="12" t="s">
        <v>1282</v>
      </c>
      <c r="N392" s="12" t="s">
        <v>1283</v>
      </c>
      <c r="O392" s="12" t="s">
        <v>1260</v>
      </c>
      <c r="P392" s="12" t="s">
        <v>1284</v>
      </c>
      <c r="Q392" s="9" t="s">
        <v>36</v>
      </c>
      <c r="R392" s="12" t="s">
        <v>1275</v>
      </c>
      <c r="S392" s="9" t="s">
        <v>1285</v>
      </c>
      <c r="T392" s="12">
        <v>44895</v>
      </c>
      <c r="U392" s="14">
        <v>250000</v>
      </c>
      <c r="V392" s="14" t="s">
        <v>40</v>
      </c>
      <c r="W392" s="14" t="s">
        <v>40</v>
      </c>
      <c r="X392" s="9" t="s">
        <v>40</v>
      </c>
      <c r="Y392" s="2"/>
    </row>
    <row r="393" spans="1:25" ht="21" customHeight="1">
      <c r="A393" s="787"/>
      <c r="B393" s="787" t="s">
        <v>45</v>
      </c>
      <c r="C393" s="787" t="s">
        <v>1286</v>
      </c>
      <c r="D393" s="787" t="s">
        <v>128</v>
      </c>
      <c r="E393" s="787" t="s">
        <v>1287</v>
      </c>
      <c r="F393" s="787" t="s">
        <v>1288</v>
      </c>
      <c r="G393" s="787" t="s">
        <v>71</v>
      </c>
      <c r="H393" s="790" t="s">
        <v>1289</v>
      </c>
      <c r="I393" s="790" t="s">
        <v>509</v>
      </c>
      <c r="J393" s="787" t="s">
        <v>792</v>
      </c>
      <c r="K393" s="787" t="s">
        <v>1290</v>
      </c>
      <c r="L393" s="796">
        <v>44661</v>
      </c>
      <c r="M393" s="796" t="s">
        <v>1275</v>
      </c>
      <c r="N393" s="879" t="s">
        <v>1291</v>
      </c>
      <c r="O393" s="880"/>
      <c r="P393" s="881"/>
      <c r="Q393" s="787" t="s">
        <v>78</v>
      </c>
      <c r="R393" s="796">
        <v>44874</v>
      </c>
      <c r="S393" s="787" t="s">
        <v>1292</v>
      </c>
      <c r="T393" s="796" t="s">
        <v>995</v>
      </c>
      <c r="U393" s="815">
        <v>1936905</v>
      </c>
      <c r="V393" s="14">
        <v>1190000</v>
      </c>
      <c r="W393" s="14" t="s">
        <v>290</v>
      </c>
      <c r="X393" s="9" t="s">
        <v>1063</v>
      </c>
      <c r="Y393" s="2"/>
    </row>
    <row r="394" spans="1:25" ht="21" customHeight="1">
      <c r="A394" s="789"/>
      <c r="B394" s="789"/>
      <c r="C394" s="789"/>
      <c r="D394" s="789"/>
      <c r="E394" s="789"/>
      <c r="F394" s="789"/>
      <c r="G394" s="789"/>
      <c r="H394" s="789"/>
      <c r="I394" s="789"/>
      <c r="J394" s="789"/>
      <c r="K394" s="789"/>
      <c r="L394" s="789"/>
      <c r="M394" s="789"/>
      <c r="N394" s="882"/>
      <c r="O394" s="817"/>
      <c r="P394" s="818"/>
      <c r="Q394" s="789"/>
      <c r="R394" s="789"/>
      <c r="S394" s="789"/>
      <c r="T394" s="789"/>
      <c r="U394" s="815"/>
      <c r="V394" s="14">
        <v>500000</v>
      </c>
      <c r="W394" s="14" t="s">
        <v>59</v>
      </c>
      <c r="X394" s="9" t="s">
        <v>1063</v>
      </c>
      <c r="Y394" s="2"/>
    </row>
    <row r="395" spans="1:25" ht="26.25" customHeight="1">
      <c r="A395" s="9"/>
      <c r="B395" s="9" t="s">
        <v>1293</v>
      </c>
      <c r="C395" s="9" t="s">
        <v>1294</v>
      </c>
      <c r="D395" s="9" t="s">
        <v>128</v>
      </c>
      <c r="E395" s="9" t="s">
        <v>1295</v>
      </c>
      <c r="F395" s="9" t="s">
        <v>1296</v>
      </c>
      <c r="G395" s="9" t="s">
        <v>833</v>
      </c>
      <c r="H395" s="10" t="s">
        <v>1297</v>
      </c>
      <c r="I395" s="10" t="s">
        <v>1298</v>
      </c>
      <c r="J395" s="9" t="s">
        <v>1299</v>
      </c>
      <c r="K395" s="9" t="s">
        <v>1300</v>
      </c>
      <c r="L395" s="12" t="s">
        <v>1266</v>
      </c>
      <c r="M395" s="12" t="s">
        <v>1301</v>
      </c>
      <c r="N395" s="846" t="s">
        <v>1302</v>
      </c>
      <c r="O395" s="895"/>
      <c r="P395" s="896"/>
      <c r="Q395" s="9" t="s">
        <v>1303</v>
      </c>
      <c r="R395" s="12" t="s">
        <v>1304</v>
      </c>
      <c r="S395" s="9" t="s">
        <v>1305</v>
      </c>
      <c r="T395" s="12">
        <v>44915</v>
      </c>
      <c r="U395" s="14">
        <v>3246479</v>
      </c>
      <c r="V395" s="14">
        <v>2432000</v>
      </c>
      <c r="W395" s="14" t="s">
        <v>1306</v>
      </c>
      <c r="X395" s="12">
        <v>44952</v>
      </c>
      <c r="Y395" s="2"/>
    </row>
    <row r="396" spans="1:25" ht="21" customHeight="1">
      <c r="A396" s="787"/>
      <c r="B396" s="787" t="s">
        <v>45</v>
      </c>
      <c r="C396" s="787" t="s">
        <v>1307</v>
      </c>
      <c r="D396" s="787" t="s">
        <v>128</v>
      </c>
      <c r="E396" s="787" t="s">
        <v>1308</v>
      </c>
      <c r="F396" s="787" t="s">
        <v>1309</v>
      </c>
      <c r="G396" s="787" t="s">
        <v>71</v>
      </c>
      <c r="H396" s="790" t="s">
        <v>1310</v>
      </c>
      <c r="I396" s="790" t="s">
        <v>576</v>
      </c>
      <c r="J396" s="787" t="s">
        <v>1311</v>
      </c>
      <c r="K396" s="787" t="s">
        <v>1312</v>
      </c>
      <c r="L396" s="796" t="s">
        <v>1063</v>
      </c>
      <c r="M396" s="796">
        <v>44572</v>
      </c>
      <c r="N396" s="879" t="s">
        <v>1313</v>
      </c>
      <c r="O396" s="880"/>
      <c r="P396" s="881"/>
      <c r="Q396" s="787" t="s">
        <v>1314</v>
      </c>
      <c r="R396" s="796">
        <v>44603</v>
      </c>
      <c r="S396" s="787" t="s">
        <v>1315</v>
      </c>
      <c r="T396" s="796" t="s">
        <v>1316</v>
      </c>
      <c r="U396" s="815">
        <v>2888800</v>
      </c>
      <c r="V396" s="14">
        <v>700000</v>
      </c>
      <c r="W396" s="14" t="s">
        <v>290</v>
      </c>
      <c r="X396" s="9" t="s">
        <v>1317</v>
      </c>
      <c r="Y396" s="2"/>
    </row>
    <row r="397" spans="1:25" ht="21" customHeight="1">
      <c r="A397" s="789"/>
      <c r="B397" s="789"/>
      <c r="C397" s="789"/>
      <c r="D397" s="789"/>
      <c r="E397" s="789"/>
      <c r="F397" s="789"/>
      <c r="G397" s="789"/>
      <c r="H397" s="789"/>
      <c r="I397" s="789"/>
      <c r="J397" s="789"/>
      <c r="K397" s="789"/>
      <c r="L397" s="789"/>
      <c r="M397" s="789"/>
      <c r="N397" s="882"/>
      <c r="O397" s="817"/>
      <c r="P397" s="818"/>
      <c r="Q397" s="789"/>
      <c r="R397" s="789"/>
      <c r="S397" s="789"/>
      <c r="T397" s="789"/>
      <c r="U397" s="815"/>
      <c r="V397" s="14">
        <v>500000</v>
      </c>
      <c r="W397" s="14" t="s">
        <v>59</v>
      </c>
      <c r="X397" s="12">
        <v>44897</v>
      </c>
      <c r="Y397" s="2"/>
    </row>
    <row r="398" spans="1:25" ht="21" customHeight="1">
      <c r="A398" s="9"/>
      <c r="B398" s="9" t="s">
        <v>1318</v>
      </c>
      <c r="C398" s="9">
        <v>7884357530</v>
      </c>
      <c r="D398" s="9" t="s">
        <v>128</v>
      </c>
      <c r="E398" s="9" t="s">
        <v>1319</v>
      </c>
      <c r="F398" s="9" t="s">
        <v>40</v>
      </c>
      <c r="G398" s="9" t="s">
        <v>71</v>
      </c>
      <c r="H398" s="10" t="s">
        <v>1320</v>
      </c>
      <c r="I398" s="10" t="s">
        <v>40</v>
      </c>
      <c r="J398" s="9" t="s">
        <v>94</v>
      </c>
      <c r="K398" s="9" t="s">
        <v>1321</v>
      </c>
      <c r="L398" s="12" t="s">
        <v>1322</v>
      </c>
      <c r="M398" s="12">
        <v>44572</v>
      </c>
      <c r="N398" s="846" t="s">
        <v>1323</v>
      </c>
      <c r="O398" s="895"/>
      <c r="P398" s="896"/>
      <c r="Q398" s="9" t="s">
        <v>1324</v>
      </c>
      <c r="R398" s="12">
        <v>44572</v>
      </c>
      <c r="S398" s="9" t="s">
        <v>1325</v>
      </c>
      <c r="T398" s="12" t="s">
        <v>1326</v>
      </c>
      <c r="U398" s="14">
        <v>750000</v>
      </c>
      <c r="V398" s="14">
        <v>250000</v>
      </c>
      <c r="W398" s="14" t="s">
        <v>1327</v>
      </c>
      <c r="X398" s="9" t="s">
        <v>1317</v>
      </c>
      <c r="Y398" s="2"/>
    </row>
    <row r="399" spans="1:25" ht="21" customHeight="1">
      <c r="A399" s="9"/>
      <c r="B399" s="9" t="s">
        <v>1318</v>
      </c>
      <c r="C399" s="9" t="s">
        <v>1328</v>
      </c>
      <c r="D399" s="9" t="s">
        <v>128</v>
      </c>
      <c r="E399" s="9" t="s">
        <v>1329</v>
      </c>
      <c r="F399" s="9" t="s">
        <v>1330</v>
      </c>
      <c r="G399" s="9" t="s">
        <v>30</v>
      </c>
      <c r="H399" s="10" t="s">
        <v>1331</v>
      </c>
      <c r="I399" s="10" t="s">
        <v>40</v>
      </c>
      <c r="J399" s="9" t="s">
        <v>94</v>
      </c>
      <c r="K399" s="9" t="s">
        <v>34</v>
      </c>
      <c r="L399" s="12" t="s">
        <v>1322</v>
      </c>
      <c r="M399" s="12">
        <v>44631</v>
      </c>
      <c r="N399" s="846" t="s">
        <v>1332</v>
      </c>
      <c r="O399" s="895"/>
      <c r="P399" s="896"/>
      <c r="Q399" s="9" t="s">
        <v>1324</v>
      </c>
      <c r="R399" s="12">
        <v>44572</v>
      </c>
      <c r="S399" s="9" t="s">
        <v>1333</v>
      </c>
      <c r="T399" s="12" t="s">
        <v>1326</v>
      </c>
      <c r="U399" s="14">
        <v>1178228</v>
      </c>
      <c r="V399" s="14">
        <v>2840000</v>
      </c>
      <c r="W399" s="14" t="s">
        <v>1327</v>
      </c>
      <c r="X399" s="9" t="s">
        <v>1317</v>
      </c>
      <c r="Y399" s="2"/>
    </row>
    <row r="400" spans="1:25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3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"/>
    </row>
    <row r="401" spans="1:25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4"/>
      <c r="M401" s="35"/>
      <c r="N401" s="54"/>
      <c r="O401" s="54"/>
      <c r="P401" s="54"/>
      <c r="Q401" s="53"/>
      <c r="R401" s="53"/>
      <c r="S401" s="53"/>
      <c r="T401" s="25" t="s">
        <v>163</v>
      </c>
      <c r="U401" s="26">
        <f>SUM(U386:U399)</f>
        <v>26425087</v>
      </c>
      <c r="V401" s="26"/>
      <c r="W401" s="49"/>
      <c r="X401" s="53"/>
      <c r="Y401" s="2"/>
    </row>
    <row r="402" spans="1:25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4"/>
      <c r="M402" s="35"/>
      <c r="N402" s="54"/>
      <c r="O402" s="54"/>
      <c r="P402" s="54"/>
      <c r="Q402" s="53"/>
      <c r="R402" s="53"/>
      <c r="S402" s="53"/>
      <c r="T402" s="25" t="s">
        <v>544</v>
      </c>
      <c r="U402" s="30">
        <v>30000000</v>
      </c>
      <c r="V402" s="44" t="s">
        <v>278</v>
      </c>
      <c r="W402" s="49"/>
      <c r="X402" s="53"/>
      <c r="Y402" s="2"/>
    </row>
    <row r="403" spans="1:25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35"/>
      <c r="N403" s="35"/>
      <c r="O403" s="35"/>
      <c r="P403" s="35"/>
      <c r="Q403" s="23"/>
      <c r="R403" s="23"/>
      <c r="S403" s="23"/>
      <c r="T403" s="25"/>
      <c r="U403" s="26"/>
      <c r="V403" s="44"/>
      <c r="W403" s="55"/>
      <c r="X403" s="23"/>
      <c r="Y403" s="2"/>
    </row>
    <row r="404" spans="1:25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3"/>
      <c r="N404" s="22"/>
      <c r="O404" s="22"/>
      <c r="P404" s="22"/>
      <c r="Q404" s="22"/>
      <c r="R404" s="22"/>
      <c r="S404" s="22"/>
      <c r="T404" s="888" t="s">
        <v>165</v>
      </c>
      <c r="U404" s="26">
        <f>U401*10/100</f>
        <v>2642508.7000000002</v>
      </c>
      <c r="V404" s="42"/>
      <c r="W404" s="22"/>
      <c r="X404" s="22"/>
      <c r="Y404" s="2"/>
    </row>
    <row r="405" spans="1:2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3"/>
      <c r="N405" s="22"/>
      <c r="O405" s="22"/>
      <c r="P405" s="22"/>
      <c r="Q405" s="22"/>
      <c r="R405" s="22"/>
      <c r="S405" s="22"/>
      <c r="T405" s="889"/>
      <c r="U405" s="30"/>
      <c r="V405" s="42" t="s">
        <v>282</v>
      </c>
      <c r="W405" s="22"/>
      <c r="X405" s="22"/>
      <c r="Y405" s="2"/>
    </row>
    <row r="406" spans="1:25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3"/>
      <c r="N406" s="22"/>
      <c r="O406" s="22"/>
      <c r="P406" s="22"/>
      <c r="Q406" s="22"/>
      <c r="R406" s="22"/>
      <c r="S406" s="22"/>
      <c r="T406" s="42"/>
      <c r="U406" s="45">
        <f>U404+U405</f>
        <v>2642508.7000000002</v>
      </c>
      <c r="V406" s="42"/>
      <c r="W406" s="22"/>
      <c r="X406" s="22"/>
      <c r="Y406" s="2"/>
    </row>
    <row r="407" spans="1:25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3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"/>
    </row>
    <row r="408" spans="1:25" ht="22.5" customHeight="1">
      <c r="A408" s="886" t="s">
        <v>1334</v>
      </c>
      <c r="B408" s="887"/>
      <c r="C408" s="887"/>
      <c r="D408" s="887"/>
      <c r="E408" s="887"/>
      <c r="F408" s="887"/>
      <c r="G408" s="887"/>
      <c r="H408" s="887"/>
      <c r="I408" s="887"/>
      <c r="J408" s="887"/>
      <c r="K408" s="887"/>
      <c r="L408" s="887"/>
      <c r="M408" s="887"/>
      <c r="N408" s="887"/>
      <c r="O408" s="887"/>
      <c r="P408" s="887"/>
      <c r="Q408" s="887"/>
      <c r="R408" s="887"/>
      <c r="S408" s="887"/>
      <c r="T408" s="887"/>
      <c r="U408" s="887"/>
      <c r="V408" s="887"/>
      <c r="W408" s="887"/>
      <c r="X408" s="887"/>
      <c r="Y408" s="2"/>
    </row>
    <row r="409" spans="1:25" ht="15.75" customHeight="1">
      <c r="A409" s="3" t="s">
        <v>1</v>
      </c>
      <c r="B409" s="4" t="s">
        <v>2</v>
      </c>
      <c r="C409" s="5" t="s">
        <v>3</v>
      </c>
      <c r="D409" s="5" t="s">
        <v>4</v>
      </c>
      <c r="E409" s="5" t="s">
        <v>5</v>
      </c>
      <c r="F409" s="5" t="s">
        <v>6</v>
      </c>
      <c r="G409" s="5" t="s">
        <v>7</v>
      </c>
      <c r="H409" s="5" t="s">
        <v>167</v>
      </c>
      <c r="I409" s="5" t="s">
        <v>9</v>
      </c>
      <c r="J409" s="5" t="s">
        <v>10</v>
      </c>
      <c r="K409" s="5" t="s">
        <v>11</v>
      </c>
      <c r="L409" s="5" t="s">
        <v>12</v>
      </c>
      <c r="M409" s="6" t="s">
        <v>13</v>
      </c>
      <c r="N409" s="5" t="s">
        <v>14</v>
      </c>
      <c r="O409" s="5" t="s">
        <v>15</v>
      </c>
      <c r="P409" s="5" t="s">
        <v>16</v>
      </c>
      <c r="Q409" s="7" t="s">
        <v>17</v>
      </c>
      <c r="R409" s="8" t="s">
        <v>18</v>
      </c>
      <c r="S409" s="8" t="s">
        <v>19</v>
      </c>
      <c r="T409" s="8" t="s">
        <v>20</v>
      </c>
      <c r="U409" s="5" t="s">
        <v>21</v>
      </c>
      <c r="V409" s="5" t="s">
        <v>22</v>
      </c>
      <c r="W409" s="5" t="s">
        <v>23</v>
      </c>
      <c r="X409" s="5" t="s">
        <v>24</v>
      </c>
      <c r="Y409" s="2"/>
    </row>
    <row r="410" spans="1:25" ht="15.75" customHeight="1">
      <c r="A410" s="807" t="s">
        <v>25</v>
      </c>
      <c r="B410" s="817"/>
      <c r="C410" s="817"/>
      <c r="D410" s="817"/>
      <c r="E410" s="817"/>
      <c r="F410" s="817"/>
      <c r="G410" s="817"/>
      <c r="H410" s="817"/>
      <c r="I410" s="817"/>
      <c r="J410" s="817"/>
      <c r="K410" s="817"/>
      <c r="L410" s="817"/>
      <c r="M410" s="817"/>
      <c r="N410" s="817"/>
      <c r="O410" s="817"/>
      <c r="P410" s="817"/>
      <c r="Q410" s="817"/>
      <c r="R410" s="817"/>
      <c r="S410" s="817"/>
      <c r="T410" s="817"/>
      <c r="U410" s="817"/>
      <c r="V410" s="817"/>
      <c r="W410" s="817"/>
      <c r="X410" s="818"/>
      <c r="Y410" s="2"/>
    </row>
    <row r="411" spans="1:25" ht="27" customHeight="1">
      <c r="A411" s="9"/>
      <c r="B411" s="9" t="s">
        <v>328</v>
      </c>
      <c r="C411" s="9" t="s">
        <v>1335</v>
      </c>
      <c r="D411" s="9" t="s">
        <v>25</v>
      </c>
      <c r="E411" s="9" t="s">
        <v>1336</v>
      </c>
      <c r="F411" s="9" t="s">
        <v>1337</v>
      </c>
      <c r="G411" s="9" t="s">
        <v>833</v>
      </c>
      <c r="H411" s="10" t="s">
        <v>1338</v>
      </c>
      <c r="I411" s="9">
        <v>200050</v>
      </c>
      <c r="J411" s="9" t="s">
        <v>1265</v>
      </c>
      <c r="K411" s="9" t="s">
        <v>977</v>
      </c>
      <c r="L411" s="12" t="s">
        <v>1339</v>
      </c>
      <c r="M411" s="12">
        <v>44692</v>
      </c>
      <c r="N411" s="12">
        <v>44784</v>
      </c>
      <c r="O411" s="12">
        <v>44815</v>
      </c>
      <c r="P411" s="12">
        <v>44815</v>
      </c>
      <c r="Q411" s="9" t="s">
        <v>1340</v>
      </c>
      <c r="R411" s="12" t="s">
        <v>1316</v>
      </c>
      <c r="S411" s="9" t="s">
        <v>1341</v>
      </c>
      <c r="T411" s="12">
        <v>44939</v>
      </c>
      <c r="U411" s="14">
        <v>22857582</v>
      </c>
      <c r="V411" s="14">
        <v>14500000</v>
      </c>
      <c r="W411" s="14" t="s">
        <v>59</v>
      </c>
      <c r="X411" s="12">
        <v>45009</v>
      </c>
      <c r="Y411" s="2"/>
    </row>
    <row r="412" spans="1:25" ht="27" customHeight="1">
      <c r="A412" s="9"/>
      <c r="B412" s="9" t="s">
        <v>328</v>
      </c>
      <c r="C412" s="9" t="s">
        <v>1342</v>
      </c>
      <c r="D412" s="9" t="s">
        <v>25</v>
      </c>
      <c r="E412" s="9" t="s">
        <v>1343</v>
      </c>
      <c r="F412" s="9" t="s">
        <v>1344</v>
      </c>
      <c r="G412" s="9" t="s">
        <v>30</v>
      </c>
      <c r="H412" s="10" t="s">
        <v>1345</v>
      </c>
      <c r="I412" s="9">
        <v>200040</v>
      </c>
      <c r="J412" s="9" t="s">
        <v>66</v>
      </c>
      <c r="K412" s="9" t="s">
        <v>143</v>
      </c>
      <c r="L412" s="12" t="s">
        <v>1346</v>
      </c>
      <c r="M412" s="12">
        <v>44723</v>
      </c>
      <c r="N412" s="12">
        <v>44784</v>
      </c>
      <c r="O412" s="12">
        <v>44815</v>
      </c>
      <c r="P412" s="12">
        <v>44815</v>
      </c>
      <c r="Q412" s="9" t="s">
        <v>1347</v>
      </c>
      <c r="R412" s="12" t="s">
        <v>1316</v>
      </c>
      <c r="S412" s="9" t="s">
        <v>1348</v>
      </c>
      <c r="T412" s="12">
        <v>44939</v>
      </c>
      <c r="U412" s="14">
        <v>8581250</v>
      </c>
      <c r="V412" s="14">
        <v>6500000</v>
      </c>
      <c r="W412" s="14" t="s">
        <v>59</v>
      </c>
      <c r="X412" s="12">
        <v>45009</v>
      </c>
      <c r="Y412" s="46"/>
    </row>
    <row r="413" spans="1:25" ht="36.75" customHeight="1">
      <c r="A413" s="9"/>
      <c r="B413" s="9" t="s">
        <v>1349</v>
      </c>
      <c r="C413" s="9" t="s">
        <v>1350</v>
      </c>
      <c r="D413" s="9" t="s">
        <v>25</v>
      </c>
      <c r="E413" s="9" t="s">
        <v>1219</v>
      </c>
      <c r="F413" s="9" t="s">
        <v>1351</v>
      </c>
      <c r="G413" s="9" t="s">
        <v>30</v>
      </c>
      <c r="H413" s="10" t="s">
        <v>1352</v>
      </c>
      <c r="I413" s="10" t="s">
        <v>40</v>
      </c>
      <c r="J413" s="9" t="s">
        <v>1265</v>
      </c>
      <c r="K413" s="9" t="s">
        <v>40</v>
      </c>
      <c r="L413" s="12">
        <v>44661</v>
      </c>
      <c r="M413" s="12">
        <v>44876</v>
      </c>
      <c r="N413" s="12" t="s">
        <v>40</v>
      </c>
      <c r="O413" s="12" t="s">
        <v>40</v>
      </c>
      <c r="P413" s="12" t="s">
        <v>40</v>
      </c>
      <c r="Q413" s="9" t="s">
        <v>40</v>
      </c>
      <c r="R413" s="12" t="s">
        <v>1316</v>
      </c>
      <c r="S413" s="9" t="s">
        <v>1353</v>
      </c>
      <c r="T413" s="12" t="s">
        <v>1326</v>
      </c>
      <c r="U413" s="14">
        <v>5162300</v>
      </c>
      <c r="V413" s="14">
        <v>5125000</v>
      </c>
      <c r="W413" s="14" t="s">
        <v>1327</v>
      </c>
      <c r="X413" s="9" t="s">
        <v>1317</v>
      </c>
      <c r="Y413" s="2"/>
    </row>
    <row r="414" spans="1:25" ht="37.5" customHeight="1">
      <c r="A414" s="9"/>
      <c r="B414" s="9" t="s">
        <v>328</v>
      </c>
      <c r="C414" s="9" t="s">
        <v>1354</v>
      </c>
      <c r="D414" s="9" t="s">
        <v>25</v>
      </c>
      <c r="E414" s="9" t="s">
        <v>1355</v>
      </c>
      <c r="F414" s="9" t="s">
        <v>1356</v>
      </c>
      <c r="G414" s="9" t="s">
        <v>30</v>
      </c>
      <c r="H414" s="10" t="s">
        <v>1357</v>
      </c>
      <c r="I414" s="9">
        <v>200075</v>
      </c>
      <c r="J414" s="9" t="s">
        <v>1358</v>
      </c>
      <c r="K414" s="9" t="s">
        <v>516</v>
      </c>
      <c r="L414" s="12">
        <v>44723</v>
      </c>
      <c r="M414" s="12" t="s">
        <v>1326</v>
      </c>
      <c r="N414" s="12">
        <v>44888</v>
      </c>
      <c r="O414" s="12">
        <v>44888</v>
      </c>
      <c r="P414" s="12">
        <v>44888</v>
      </c>
      <c r="Q414" s="9" t="s">
        <v>1359</v>
      </c>
      <c r="R414" s="12">
        <v>44894</v>
      </c>
      <c r="S414" s="9" t="s">
        <v>1360</v>
      </c>
      <c r="T414" s="12">
        <v>44939</v>
      </c>
      <c r="U414" s="14">
        <v>1950000</v>
      </c>
      <c r="V414" s="14">
        <v>1500000</v>
      </c>
      <c r="W414" s="14" t="s">
        <v>59</v>
      </c>
      <c r="X414" s="12">
        <v>45009</v>
      </c>
      <c r="Y414" s="2"/>
    </row>
    <row r="415" spans="1:25" ht="49.5" customHeight="1">
      <c r="A415" s="9"/>
      <c r="B415" s="9" t="s">
        <v>1086</v>
      </c>
      <c r="C415" s="9" t="s">
        <v>1361</v>
      </c>
      <c r="D415" s="9" t="s">
        <v>25</v>
      </c>
      <c r="E415" s="9" t="s">
        <v>1362</v>
      </c>
      <c r="F415" s="9" t="s">
        <v>1363</v>
      </c>
      <c r="G415" s="9" t="s">
        <v>71</v>
      </c>
      <c r="H415" s="10" t="s">
        <v>1364</v>
      </c>
      <c r="I415" s="9">
        <v>200060</v>
      </c>
      <c r="J415" s="9" t="s">
        <v>172</v>
      </c>
      <c r="K415" s="9" t="s">
        <v>201</v>
      </c>
      <c r="L415" s="12">
        <v>44723</v>
      </c>
      <c r="M415" s="12" t="s">
        <v>1326</v>
      </c>
      <c r="N415" s="12" t="s">
        <v>1365</v>
      </c>
      <c r="O415" s="12">
        <v>44894</v>
      </c>
      <c r="P415" s="12">
        <v>44894</v>
      </c>
      <c r="Q415" s="9" t="s">
        <v>1366</v>
      </c>
      <c r="R415" s="12">
        <v>44897</v>
      </c>
      <c r="S415" s="9" t="s">
        <v>1367</v>
      </c>
      <c r="T415" s="12">
        <v>44922</v>
      </c>
      <c r="U415" s="14">
        <v>1278500</v>
      </c>
      <c r="V415" s="14">
        <v>250000</v>
      </c>
      <c r="W415" s="14" t="s">
        <v>1096</v>
      </c>
      <c r="X415" s="12">
        <v>44960</v>
      </c>
      <c r="Y415" s="2"/>
    </row>
    <row r="416" spans="1:25" ht="27" customHeight="1">
      <c r="A416" s="9"/>
      <c r="B416" s="9" t="s">
        <v>328</v>
      </c>
      <c r="C416" s="9" t="s">
        <v>1368</v>
      </c>
      <c r="D416" s="9" t="s">
        <v>25</v>
      </c>
      <c r="E416" s="9" t="s">
        <v>1369</v>
      </c>
      <c r="F416" s="9" t="s">
        <v>1370</v>
      </c>
      <c r="G416" s="9" t="s">
        <v>30</v>
      </c>
      <c r="H416" s="10" t="s">
        <v>1371</v>
      </c>
      <c r="I416" s="9">
        <v>200058</v>
      </c>
      <c r="J416" s="9" t="s">
        <v>1358</v>
      </c>
      <c r="K416" s="9" t="s">
        <v>376</v>
      </c>
      <c r="L416" s="12" t="s">
        <v>1372</v>
      </c>
      <c r="M416" s="12" t="s">
        <v>1326</v>
      </c>
      <c r="N416" s="12">
        <v>44888</v>
      </c>
      <c r="O416" s="12">
        <v>44889</v>
      </c>
      <c r="P416" s="12">
        <v>44889</v>
      </c>
      <c r="Q416" s="9" t="s">
        <v>1373</v>
      </c>
      <c r="R416" s="12">
        <v>44893</v>
      </c>
      <c r="S416" s="9" t="s">
        <v>1374</v>
      </c>
      <c r="T416" s="12">
        <v>44939</v>
      </c>
      <c r="U416" s="14">
        <v>12682250</v>
      </c>
      <c r="V416" s="14">
        <v>11500000</v>
      </c>
      <c r="W416" s="14" t="s">
        <v>59</v>
      </c>
      <c r="X416" s="9"/>
      <c r="Y416" s="2"/>
    </row>
    <row r="417" spans="1:25" ht="27" customHeight="1">
      <c r="A417" s="787"/>
      <c r="B417" s="787" t="s">
        <v>1375</v>
      </c>
      <c r="C417" s="787" t="s">
        <v>1376</v>
      </c>
      <c r="D417" s="787" t="s">
        <v>25</v>
      </c>
      <c r="E417" s="787" t="s">
        <v>1377</v>
      </c>
      <c r="F417" s="787" t="s">
        <v>1378</v>
      </c>
      <c r="G417" s="787" t="s">
        <v>30</v>
      </c>
      <c r="H417" s="790" t="s">
        <v>1379</v>
      </c>
      <c r="I417" s="787">
        <v>200067</v>
      </c>
      <c r="J417" s="787" t="s">
        <v>94</v>
      </c>
      <c r="K417" s="787" t="s">
        <v>376</v>
      </c>
      <c r="L417" s="787" t="s">
        <v>1380</v>
      </c>
      <c r="M417" s="796" t="s">
        <v>1317</v>
      </c>
      <c r="N417" s="796">
        <v>44887</v>
      </c>
      <c r="O417" s="796">
        <v>44888</v>
      </c>
      <c r="P417" s="796">
        <v>44888</v>
      </c>
      <c r="Q417" s="787" t="s">
        <v>1381</v>
      </c>
      <c r="R417" s="796">
        <v>44896</v>
      </c>
      <c r="S417" s="787" t="s">
        <v>1382</v>
      </c>
      <c r="T417" s="787" t="s">
        <v>1383</v>
      </c>
      <c r="U417" s="815">
        <v>4022867</v>
      </c>
      <c r="V417" s="14">
        <v>750000</v>
      </c>
      <c r="W417" s="14" t="s">
        <v>1384</v>
      </c>
      <c r="X417" s="12">
        <v>44967</v>
      </c>
      <c r="Y417" s="2"/>
    </row>
    <row r="418" spans="1:25" ht="27" customHeight="1">
      <c r="A418" s="789"/>
      <c r="B418" s="789"/>
      <c r="C418" s="789"/>
      <c r="D418" s="789"/>
      <c r="E418" s="789"/>
      <c r="F418" s="789"/>
      <c r="G418" s="789"/>
      <c r="H418" s="789"/>
      <c r="I418" s="789"/>
      <c r="J418" s="789"/>
      <c r="K418" s="789"/>
      <c r="L418" s="789"/>
      <c r="M418" s="789"/>
      <c r="N418" s="789"/>
      <c r="O418" s="789"/>
      <c r="P418" s="789"/>
      <c r="Q418" s="789"/>
      <c r="R418" s="789"/>
      <c r="S418" s="789"/>
      <c r="T418" s="789"/>
      <c r="U418" s="816"/>
      <c r="V418" s="14">
        <v>2000000</v>
      </c>
      <c r="W418" s="14" t="s">
        <v>59</v>
      </c>
      <c r="X418" s="12">
        <v>44967</v>
      </c>
      <c r="Y418" s="2"/>
    </row>
    <row r="419" spans="1:25" ht="27" customHeight="1">
      <c r="A419" s="787"/>
      <c r="B419" s="787" t="s">
        <v>45</v>
      </c>
      <c r="C419" s="787" t="s">
        <v>1385</v>
      </c>
      <c r="D419" s="787" t="s">
        <v>25</v>
      </c>
      <c r="E419" s="787" t="s">
        <v>258</v>
      </c>
      <c r="F419" s="787" t="s">
        <v>1386</v>
      </c>
      <c r="G419" s="787" t="s">
        <v>30</v>
      </c>
      <c r="H419" s="790" t="s">
        <v>1387</v>
      </c>
      <c r="I419" s="790" t="s">
        <v>40</v>
      </c>
      <c r="J419" s="796" t="s">
        <v>899</v>
      </c>
      <c r="K419" s="787" t="s">
        <v>143</v>
      </c>
      <c r="L419" s="796" t="s">
        <v>1388</v>
      </c>
      <c r="M419" s="796" t="s">
        <v>1389</v>
      </c>
      <c r="N419" s="796">
        <v>44897</v>
      </c>
      <c r="O419" s="796">
        <v>44897</v>
      </c>
      <c r="P419" s="796">
        <v>44897</v>
      </c>
      <c r="Q419" s="787" t="s">
        <v>1390</v>
      </c>
      <c r="R419" s="796">
        <v>44902</v>
      </c>
      <c r="S419" s="787" t="s">
        <v>1391</v>
      </c>
      <c r="T419" s="796">
        <v>44942</v>
      </c>
      <c r="U419" s="815">
        <v>6807571</v>
      </c>
      <c r="V419" s="14">
        <v>2000000</v>
      </c>
      <c r="W419" s="14" t="s">
        <v>290</v>
      </c>
      <c r="X419" s="12">
        <v>44953</v>
      </c>
      <c r="Y419" s="2"/>
    </row>
    <row r="420" spans="1:25" ht="27" customHeight="1">
      <c r="A420" s="789"/>
      <c r="B420" s="789"/>
      <c r="C420" s="789"/>
      <c r="D420" s="789"/>
      <c r="E420" s="789"/>
      <c r="F420" s="789"/>
      <c r="G420" s="789"/>
      <c r="H420" s="789"/>
      <c r="I420" s="789"/>
      <c r="J420" s="789"/>
      <c r="K420" s="789"/>
      <c r="L420" s="789"/>
      <c r="M420" s="789"/>
      <c r="N420" s="789"/>
      <c r="O420" s="789"/>
      <c r="P420" s="789"/>
      <c r="Q420" s="789"/>
      <c r="R420" s="789"/>
      <c r="S420" s="789"/>
      <c r="T420" s="789"/>
      <c r="U420" s="816"/>
      <c r="V420" s="14">
        <v>4000000</v>
      </c>
      <c r="W420" s="14" t="s">
        <v>59</v>
      </c>
      <c r="X420" s="12" t="s">
        <v>1392</v>
      </c>
      <c r="Y420" s="2"/>
    </row>
    <row r="421" spans="1:25" ht="27" customHeight="1">
      <c r="A421" s="9"/>
      <c r="B421" s="9" t="s">
        <v>1268</v>
      </c>
      <c r="C421" s="9" t="s">
        <v>1393</v>
      </c>
      <c r="D421" s="9" t="s">
        <v>25</v>
      </c>
      <c r="E421" s="9" t="s">
        <v>1270</v>
      </c>
      <c r="F421" s="9" t="s">
        <v>1271</v>
      </c>
      <c r="G421" s="9" t="s">
        <v>156</v>
      </c>
      <c r="H421" s="10" t="s">
        <v>1394</v>
      </c>
      <c r="I421" s="10" t="s">
        <v>40</v>
      </c>
      <c r="J421" s="9" t="s">
        <v>74</v>
      </c>
      <c r="K421" s="9" t="s">
        <v>201</v>
      </c>
      <c r="L421" s="12" t="s">
        <v>1304</v>
      </c>
      <c r="M421" s="12">
        <v>44876</v>
      </c>
      <c r="N421" s="12" t="s">
        <v>1395</v>
      </c>
      <c r="O421" s="12" t="s">
        <v>1316</v>
      </c>
      <c r="P421" s="12" t="s">
        <v>1316</v>
      </c>
      <c r="Q421" s="9" t="s">
        <v>36</v>
      </c>
      <c r="R421" s="12" t="s">
        <v>1380</v>
      </c>
      <c r="S421" s="9" t="s">
        <v>1396</v>
      </c>
      <c r="T421" s="12">
        <v>44895</v>
      </c>
      <c r="U421" s="14">
        <v>250000</v>
      </c>
      <c r="V421" s="14" t="s">
        <v>40</v>
      </c>
      <c r="W421" s="14" t="s">
        <v>40</v>
      </c>
      <c r="X421" s="9" t="s">
        <v>40</v>
      </c>
      <c r="Y421" s="2"/>
    </row>
    <row r="422" spans="1:25" ht="27" customHeight="1">
      <c r="A422" s="9"/>
      <c r="B422" s="9" t="s">
        <v>1268</v>
      </c>
      <c r="C422" s="9" t="s">
        <v>1397</v>
      </c>
      <c r="D422" s="9" t="s">
        <v>25</v>
      </c>
      <c r="E422" s="9" t="s">
        <v>1270</v>
      </c>
      <c r="F422" s="9"/>
      <c r="G422" s="9" t="s">
        <v>71</v>
      </c>
      <c r="H422" s="10" t="s">
        <v>1398</v>
      </c>
      <c r="I422" s="10" t="s">
        <v>40</v>
      </c>
      <c r="J422" s="9" t="s">
        <v>74</v>
      </c>
      <c r="K422" s="9" t="s">
        <v>201</v>
      </c>
      <c r="L422" s="12" t="s">
        <v>1304</v>
      </c>
      <c r="M422" s="12">
        <v>44876</v>
      </c>
      <c r="N422" s="12">
        <v>44885</v>
      </c>
      <c r="O422" s="12">
        <v>44886</v>
      </c>
      <c r="P422" s="12">
        <v>44887</v>
      </c>
      <c r="Q422" s="9" t="s">
        <v>1399</v>
      </c>
      <c r="R422" s="12">
        <v>44888</v>
      </c>
      <c r="S422" s="9" t="s">
        <v>1400</v>
      </c>
      <c r="T422" s="12">
        <v>44908</v>
      </c>
      <c r="U422" s="14">
        <v>50000</v>
      </c>
      <c r="V422" s="14" t="s">
        <v>40</v>
      </c>
      <c r="W422" s="14" t="s">
        <v>40</v>
      </c>
      <c r="X422" s="9" t="s">
        <v>40</v>
      </c>
      <c r="Y422" s="2"/>
    </row>
    <row r="423" spans="1:25" ht="27" customHeight="1">
      <c r="A423" s="807" t="s">
        <v>128</v>
      </c>
      <c r="B423" s="817"/>
      <c r="C423" s="817"/>
      <c r="D423" s="817"/>
      <c r="E423" s="817"/>
      <c r="F423" s="817"/>
      <c r="G423" s="817"/>
      <c r="H423" s="817"/>
      <c r="I423" s="817"/>
      <c r="J423" s="817"/>
      <c r="K423" s="817"/>
      <c r="L423" s="817"/>
      <c r="M423" s="817"/>
      <c r="N423" s="817"/>
      <c r="O423" s="817"/>
      <c r="P423" s="817"/>
      <c r="Q423" s="817"/>
      <c r="R423" s="817"/>
      <c r="S423" s="817"/>
      <c r="T423" s="817"/>
      <c r="U423" s="817"/>
      <c r="V423" s="817"/>
      <c r="W423" s="817"/>
      <c r="X423" s="818"/>
      <c r="Y423" s="2"/>
    </row>
    <row r="424" spans="1:25" ht="27" customHeight="1">
      <c r="A424" s="787"/>
      <c r="B424" s="787" t="s">
        <v>45</v>
      </c>
      <c r="C424" s="787" t="s">
        <v>1401</v>
      </c>
      <c r="D424" s="787" t="s">
        <v>128</v>
      </c>
      <c r="E424" s="787" t="s">
        <v>1402</v>
      </c>
      <c r="F424" s="787" t="s">
        <v>1403</v>
      </c>
      <c r="G424" s="787" t="s">
        <v>71</v>
      </c>
      <c r="H424" s="790" t="s">
        <v>1404</v>
      </c>
      <c r="I424" s="790" t="s">
        <v>492</v>
      </c>
      <c r="J424" s="787" t="s">
        <v>533</v>
      </c>
      <c r="K424" s="787" t="s">
        <v>1405</v>
      </c>
      <c r="L424" s="796">
        <v>44631</v>
      </c>
      <c r="M424" s="796">
        <v>44753</v>
      </c>
      <c r="N424" s="879" t="s">
        <v>1406</v>
      </c>
      <c r="O424" s="880"/>
      <c r="P424" s="881"/>
      <c r="Q424" s="787" t="s">
        <v>36</v>
      </c>
      <c r="R424" s="796" t="s">
        <v>40</v>
      </c>
      <c r="S424" s="787"/>
      <c r="T424" s="796">
        <v>44887</v>
      </c>
      <c r="U424" s="815">
        <v>3054000</v>
      </c>
      <c r="V424" s="14">
        <v>868000</v>
      </c>
      <c r="W424" s="14" t="s">
        <v>290</v>
      </c>
      <c r="X424" s="12">
        <v>44897</v>
      </c>
      <c r="Y424" s="2"/>
    </row>
    <row r="425" spans="1:25" ht="27" customHeight="1">
      <c r="A425" s="789"/>
      <c r="B425" s="789"/>
      <c r="C425" s="789"/>
      <c r="D425" s="789"/>
      <c r="E425" s="789"/>
      <c r="F425" s="789"/>
      <c r="G425" s="789"/>
      <c r="H425" s="789"/>
      <c r="I425" s="789"/>
      <c r="J425" s="789"/>
      <c r="K425" s="789"/>
      <c r="L425" s="789"/>
      <c r="M425" s="789"/>
      <c r="N425" s="882"/>
      <c r="O425" s="817"/>
      <c r="P425" s="818"/>
      <c r="Q425" s="789"/>
      <c r="R425" s="789"/>
      <c r="S425" s="789"/>
      <c r="T425" s="789"/>
      <c r="U425" s="816"/>
      <c r="V425" s="14">
        <v>1500000</v>
      </c>
      <c r="W425" s="14" t="s">
        <v>59</v>
      </c>
      <c r="X425" s="12">
        <v>44897</v>
      </c>
      <c r="Y425" s="2"/>
    </row>
    <row r="426" spans="1:25" ht="36.75" customHeight="1">
      <c r="A426" s="9"/>
      <c r="B426" s="9" t="s">
        <v>1293</v>
      </c>
      <c r="C426" s="9" t="s">
        <v>1407</v>
      </c>
      <c r="D426" s="9" t="s">
        <v>128</v>
      </c>
      <c r="E426" s="9" t="s">
        <v>1408</v>
      </c>
      <c r="F426" s="9" t="s">
        <v>1409</v>
      </c>
      <c r="G426" s="9" t="s">
        <v>71</v>
      </c>
      <c r="H426" s="10" t="s">
        <v>1410</v>
      </c>
      <c r="I426" s="10" t="s">
        <v>1411</v>
      </c>
      <c r="J426" s="9" t="s">
        <v>1299</v>
      </c>
      <c r="K426" s="9" t="s">
        <v>1412</v>
      </c>
      <c r="L426" s="12" t="s">
        <v>1413</v>
      </c>
      <c r="M426" s="12" t="s">
        <v>40</v>
      </c>
      <c r="N426" s="846" t="s">
        <v>1302</v>
      </c>
      <c r="O426" s="895"/>
      <c r="P426" s="896"/>
      <c r="Q426" s="9" t="s">
        <v>1414</v>
      </c>
      <c r="R426" s="12">
        <v>44869</v>
      </c>
      <c r="S426" s="9" t="s">
        <v>1415</v>
      </c>
      <c r="T426" s="12" t="s">
        <v>1416</v>
      </c>
      <c r="U426" s="14">
        <v>6519500</v>
      </c>
      <c r="V426" s="14" t="s">
        <v>40</v>
      </c>
      <c r="W426" s="14" t="s">
        <v>40</v>
      </c>
      <c r="X426" s="9" t="s">
        <v>40</v>
      </c>
      <c r="Y426" s="2"/>
    </row>
    <row r="427" spans="1:25" ht="35.25" customHeight="1">
      <c r="A427" s="787"/>
      <c r="B427" s="787" t="s">
        <v>45</v>
      </c>
      <c r="C427" s="787" t="s">
        <v>1417</v>
      </c>
      <c r="D427" s="787" t="s">
        <v>128</v>
      </c>
      <c r="E427" s="787" t="s">
        <v>1377</v>
      </c>
      <c r="F427" s="787" t="s">
        <v>1418</v>
      </c>
      <c r="G427" s="787" t="s">
        <v>30</v>
      </c>
      <c r="H427" s="790" t="s">
        <v>1419</v>
      </c>
      <c r="I427" s="790" t="s">
        <v>608</v>
      </c>
      <c r="J427" s="787" t="s">
        <v>149</v>
      </c>
      <c r="K427" s="787" t="s">
        <v>1420</v>
      </c>
      <c r="L427" s="796" t="s">
        <v>1388</v>
      </c>
      <c r="M427" s="796" t="s">
        <v>1421</v>
      </c>
      <c r="N427" s="879" t="s">
        <v>1422</v>
      </c>
      <c r="O427" s="880"/>
      <c r="P427" s="881"/>
      <c r="Q427" s="787" t="s">
        <v>1423</v>
      </c>
      <c r="R427" s="796">
        <v>44896</v>
      </c>
      <c r="S427" s="787" t="s">
        <v>1424</v>
      </c>
      <c r="T427" s="796">
        <v>44909</v>
      </c>
      <c r="U427" s="815">
        <v>4849016</v>
      </c>
      <c r="V427" s="14">
        <v>868000</v>
      </c>
      <c r="W427" s="14" t="s">
        <v>290</v>
      </c>
      <c r="X427" s="12">
        <v>44960</v>
      </c>
      <c r="Y427" s="2"/>
    </row>
    <row r="428" spans="1:25" ht="35.25" customHeight="1">
      <c r="A428" s="789"/>
      <c r="B428" s="789"/>
      <c r="C428" s="789"/>
      <c r="D428" s="789"/>
      <c r="E428" s="789"/>
      <c r="F428" s="789"/>
      <c r="G428" s="789"/>
      <c r="H428" s="789"/>
      <c r="I428" s="789"/>
      <c r="J428" s="789"/>
      <c r="K428" s="789"/>
      <c r="L428" s="789"/>
      <c r="M428" s="789"/>
      <c r="N428" s="882"/>
      <c r="O428" s="817"/>
      <c r="P428" s="818"/>
      <c r="Q428" s="789"/>
      <c r="R428" s="789"/>
      <c r="S428" s="789"/>
      <c r="T428" s="789"/>
      <c r="U428" s="816"/>
      <c r="V428" s="14">
        <v>2500000</v>
      </c>
      <c r="W428" s="14" t="s">
        <v>59</v>
      </c>
      <c r="X428" s="12">
        <v>45009</v>
      </c>
      <c r="Y428" s="2"/>
    </row>
    <row r="429" spans="1:25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4"/>
      <c r="M429" s="35"/>
      <c r="N429" s="54"/>
      <c r="O429" s="54"/>
      <c r="P429" s="54"/>
      <c r="Q429" s="53"/>
      <c r="R429" s="53"/>
      <c r="S429" s="53"/>
      <c r="T429" s="25" t="s">
        <v>163</v>
      </c>
      <c r="U429" s="26">
        <f>SUM(U407:U428)</f>
        <v>78064836</v>
      </c>
      <c r="V429" s="26"/>
      <c r="W429" s="49"/>
      <c r="X429" s="53"/>
      <c r="Y429" s="2"/>
    </row>
    <row r="430" spans="1:25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4"/>
      <c r="M430" s="35"/>
      <c r="N430" s="54"/>
      <c r="O430" s="54"/>
      <c r="P430" s="54"/>
      <c r="Q430" s="53"/>
      <c r="R430" s="53"/>
      <c r="S430" s="53"/>
      <c r="T430" s="25" t="s">
        <v>544</v>
      </c>
      <c r="U430" s="30">
        <v>30000000</v>
      </c>
      <c r="V430" s="44" t="s">
        <v>278</v>
      </c>
      <c r="W430" s="49"/>
      <c r="X430" s="53"/>
      <c r="Y430" s="2"/>
    </row>
    <row r="431" spans="1:25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35"/>
      <c r="N431" s="35"/>
      <c r="O431" s="35"/>
      <c r="P431" s="35"/>
      <c r="Q431" s="23"/>
      <c r="R431" s="23"/>
      <c r="S431" s="23"/>
      <c r="T431" s="25"/>
      <c r="U431" s="26">
        <f>U429-U430</f>
        <v>48064836</v>
      </c>
      <c r="V431" s="44"/>
      <c r="W431" s="55"/>
      <c r="X431" s="23"/>
      <c r="Y431" s="2"/>
    </row>
    <row r="432" spans="1:25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3"/>
      <c r="N432" s="22"/>
      <c r="O432" s="22"/>
      <c r="P432" s="22"/>
      <c r="Q432" s="22"/>
      <c r="R432" s="22"/>
      <c r="S432" s="22"/>
      <c r="T432" s="888" t="s">
        <v>165</v>
      </c>
      <c r="U432" s="26">
        <f>U429*10/100</f>
        <v>7806483.5999999996</v>
      </c>
      <c r="V432" s="42"/>
      <c r="W432" s="22"/>
      <c r="X432" s="22"/>
      <c r="Y432" s="2"/>
    </row>
    <row r="433" spans="1:25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3"/>
      <c r="N433" s="22"/>
      <c r="O433" s="22"/>
      <c r="P433" s="22"/>
      <c r="Q433" s="22"/>
      <c r="R433" s="22"/>
      <c r="S433" s="22"/>
      <c r="T433" s="889"/>
      <c r="U433" s="30"/>
      <c r="V433" s="42" t="s">
        <v>282</v>
      </c>
      <c r="W433" s="22"/>
      <c r="X433" s="22"/>
      <c r="Y433" s="2"/>
    </row>
    <row r="434" spans="1:25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3"/>
      <c r="N434" s="22"/>
      <c r="O434" s="22"/>
      <c r="P434" s="22"/>
      <c r="Q434" s="22"/>
      <c r="R434" s="22"/>
      <c r="S434" s="22"/>
      <c r="T434" s="42"/>
      <c r="U434" s="45">
        <f>U432+U433</f>
        <v>7806483.5999999996</v>
      </c>
      <c r="V434" s="42"/>
      <c r="W434" s="22"/>
      <c r="X434" s="22"/>
      <c r="Y434" s="2"/>
    </row>
    <row r="435" spans="1:2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3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"/>
    </row>
    <row r="436" spans="1:25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3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"/>
    </row>
    <row r="437" spans="1:25" ht="15.75" customHeight="1">
      <c r="A437" s="886" t="s">
        <v>1425</v>
      </c>
      <c r="B437" s="887"/>
      <c r="C437" s="887"/>
      <c r="D437" s="887"/>
      <c r="E437" s="887"/>
      <c r="F437" s="887"/>
      <c r="G437" s="887"/>
      <c r="H437" s="887"/>
      <c r="I437" s="887"/>
      <c r="J437" s="887"/>
      <c r="K437" s="887"/>
      <c r="L437" s="887"/>
      <c r="M437" s="887"/>
      <c r="N437" s="887"/>
      <c r="O437" s="887"/>
      <c r="P437" s="887"/>
      <c r="Q437" s="887"/>
      <c r="R437" s="887"/>
      <c r="S437" s="887"/>
      <c r="T437" s="887"/>
      <c r="U437" s="887"/>
      <c r="V437" s="887"/>
      <c r="W437" s="887"/>
      <c r="X437" s="887"/>
      <c r="Y437" s="2"/>
    </row>
    <row r="438" spans="1:25" ht="27.75" customHeight="1">
      <c r="A438" s="3" t="s">
        <v>1</v>
      </c>
      <c r="B438" s="4" t="s">
        <v>2</v>
      </c>
      <c r="C438" s="5" t="s">
        <v>3</v>
      </c>
      <c r="D438" s="5" t="s">
        <v>4</v>
      </c>
      <c r="E438" s="5" t="s">
        <v>5</v>
      </c>
      <c r="F438" s="5" t="s">
        <v>6</v>
      </c>
      <c r="G438" s="5" t="s">
        <v>7</v>
      </c>
      <c r="H438" s="5" t="s">
        <v>167</v>
      </c>
      <c r="I438" s="5" t="s">
        <v>9</v>
      </c>
      <c r="J438" s="5" t="s">
        <v>10</v>
      </c>
      <c r="K438" s="5" t="s">
        <v>11</v>
      </c>
      <c r="L438" s="5" t="s">
        <v>12</v>
      </c>
      <c r="M438" s="6" t="s">
        <v>13</v>
      </c>
      <c r="N438" s="5" t="s">
        <v>14</v>
      </c>
      <c r="O438" s="5" t="s">
        <v>15</v>
      </c>
      <c r="P438" s="5" t="s">
        <v>16</v>
      </c>
      <c r="Q438" s="7" t="s">
        <v>17</v>
      </c>
      <c r="R438" s="8" t="s">
        <v>18</v>
      </c>
      <c r="S438" s="8" t="s">
        <v>19</v>
      </c>
      <c r="T438" s="8" t="s">
        <v>20</v>
      </c>
      <c r="U438" s="5" t="s">
        <v>21</v>
      </c>
      <c r="V438" s="5" t="s">
        <v>22</v>
      </c>
      <c r="W438" s="5" t="s">
        <v>23</v>
      </c>
      <c r="X438" s="5" t="s">
        <v>24</v>
      </c>
      <c r="Y438" s="2"/>
    </row>
    <row r="439" spans="1:25" ht="15.75" customHeight="1">
      <c r="A439" s="807" t="s">
        <v>25</v>
      </c>
      <c r="B439" s="817"/>
      <c r="C439" s="817"/>
      <c r="D439" s="817"/>
      <c r="E439" s="817"/>
      <c r="F439" s="817"/>
      <c r="G439" s="817"/>
      <c r="H439" s="817"/>
      <c r="I439" s="817"/>
      <c r="J439" s="817"/>
      <c r="K439" s="817"/>
      <c r="L439" s="817"/>
      <c r="M439" s="817"/>
      <c r="N439" s="817"/>
      <c r="O439" s="817"/>
      <c r="P439" s="817"/>
      <c r="Q439" s="817"/>
      <c r="R439" s="817"/>
      <c r="S439" s="817"/>
      <c r="T439" s="817"/>
      <c r="U439" s="817"/>
      <c r="V439" s="817"/>
      <c r="W439" s="817"/>
      <c r="X439" s="818"/>
      <c r="Y439" s="2"/>
    </row>
    <row r="440" spans="1:25" ht="27" customHeight="1">
      <c r="A440" s="787">
        <v>1</v>
      </c>
      <c r="B440" s="787" t="s">
        <v>1426</v>
      </c>
      <c r="C440" s="787" t="s">
        <v>1427</v>
      </c>
      <c r="D440" s="787" t="s">
        <v>25</v>
      </c>
      <c r="E440" s="787" t="s">
        <v>798</v>
      </c>
      <c r="F440" s="787" t="s">
        <v>1428</v>
      </c>
      <c r="G440" s="787" t="s">
        <v>49</v>
      </c>
      <c r="H440" s="790" t="s">
        <v>1429</v>
      </c>
      <c r="I440" s="787" t="s">
        <v>40</v>
      </c>
      <c r="J440" s="787" t="s">
        <v>33</v>
      </c>
      <c r="K440" s="787" t="s">
        <v>40</v>
      </c>
      <c r="L440" s="796">
        <v>44890</v>
      </c>
      <c r="M440" s="796">
        <v>44663</v>
      </c>
      <c r="N440" s="796" t="s">
        <v>40</v>
      </c>
      <c r="O440" s="796" t="s">
        <v>40</v>
      </c>
      <c r="P440" s="796" t="s">
        <v>40</v>
      </c>
      <c r="Q440" s="787" t="s">
        <v>1430</v>
      </c>
      <c r="R440" s="796">
        <v>44908</v>
      </c>
      <c r="S440" s="787" t="s">
        <v>1431</v>
      </c>
      <c r="T440" s="796">
        <v>44946</v>
      </c>
      <c r="U440" s="815">
        <v>18777825</v>
      </c>
      <c r="V440" s="14">
        <v>16500000</v>
      </c>
      <c r="W440" s="14" t="s">
        <v>59</v>
      </c>
      <c r="X440" s="12">
        <v>44967</v>
      </c>
      <c r="Y440" s="2"/>
    </row>
    <row r="441" spans="1:25" ht="27" customHeight="1">
      <c r="A441" s="788"/>
      <c r="B441" s="788"/>
      <c r="C441" s="788"/>
      <c r="D441" s="788"/>
      <c r="E441" s="788"/>
      <c r="F441" s="788"/>
      <c r="G441" s="788"/>
      <c r="H441" s="788"/>
      <c r="I441" s="788"/>
      <c r="J441" s="788"/>
      <c r="K441" s="788"/>
      <c r="L441" s="813"/>
      <c r="M441" s="813"/>
      <c r="N441" s="813"/>
      <c r="O441" s="813"/>
      <c r="P441" s="813"/>
      <c r="Q441" s="788"/>
      <c r="R441" s="788"/>
      <c r="S441" s="788"/>
      <c r="T441" s="788"/>
      <c r="U441" s="815"/>
      <c r="V441" s="14">
        <v>2175000</v>
      </c>
      <c r="W441" s="14" t="s">
        <v>1432</v>
      </c>
      <c r="X441" s="12">
        <v>44967</v>
      </c>
      <c r="Y441" s="2"/>
    </row>
    <row r="442" spans="1:25" ht="27" customHeight="1">
      <c r="A442" s="787">
        <v>2</v>
      </c>
      <c r="B442" s="787" t="s">
        <v>1375</v>
      </c>
      <c r="C442" s="787" t="s">
        <v>1433</v>
      </c>
      <c r="D442" s="787" t="s">
        <v>25</v>
      </c>
      <c r="E442" s="787" t="s">
        <v>1377</v>
      </c>
      <c r="F442" s="787" t="s">
        <v>1434</v>
      </c>
      <c r="G442" s="787" t="s">
        <v>30</v>
      </c>
      <c r="H442" s="790" t="s">
        <v>1435</v>
      </c>
      <c r="I442" s="787">
        <v>200068</v>
      </c>
      <c r="J442" s="787" t="s">
        <v>1436</v>
      </c>
      <c r="K442" s="787" t="s">
        <v>40</v>
      </c>
      <c r="L442" s="796" t="s">
        <v>1326</v>
      </c>
      <c r="M442" s="796">
        <v>44925</v>
      </c>
      <c r="N442" s="796" t="s">
        <v>40</v>
      </c>
      <c r="O442" s="796" t="s">
        <v>40</v>
      </c>
      <c r="P442" s="796" t="s">
        <v>40</v>
      </c>
      <c r="Q442" s="787" t="s">
        <v>40</v>
      </c>
      <c r="R442" s="796">
        <v>44925</v>
      </c>
      <c r="S442" s="787" t="s">
        <v>1437</v>
      </c>
      <c r="T442" s="796">
        <v>44931</v>
      </c>
      <c r="U442" s="815">
        <v>4387872</v>
      </c>
      <c r="V442" s="14">
        <v>500000</v>
      </c>
      <c r="W442" s="14" t="s">
        <v>1384</v>
      </c>
      <c r="X442" s="12">
        <v>44967</v>
      </c>
      <c r="Y442" s="2"/>
    </row>
    <row r="443" spans="1:25" ht="27" customHeight="1">
      <c r="A443" s="789"/>
      <c r="B443" s="789"/>
      <c r="C443" s="789"/>
      <c r="D443" s="789"/>
      <c r="E443" s="789"/>
      <c r="F443" s="789"/>
      <c r="G443" s="789"/>
      <c r="H443" s="789"/>
      <c r="I443" s="789"/>
      <c r="J443" s="789"/>
      <c r="K443" s="789"/>
      <c r="L443" s="789"/>
      <c r="M443" s="789"/>
      <c r="N443" s="789"/>
      <c r="O443" s="789"/>
      <c r="P443" s="789"/>
      <c r="Q443" s="789"/>
      <c r="R443" s="789"/>
      <c r="S443" s="789"/>
      <c r="T443" s="789"/>
      <c r="U443" s="815"/>
      <c r="V443" s="14">
        <v>2150000</v>
      </c>
      <c r="W443" s="14" t="s">
        <v>59</v>
      </c>
      <c r="X443" s="12">
        <v>45009</v>
      </c>
      <c r="Y443" s="2"/>
    </row>
    <row r="444" spans="1:25" s="57" customFormat="1" ht="27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4"/>
      <c r="M444" s="35"/>
      <c r="N444" s="54"/>
      <c r="O444" s="54"/>
      <c r="P444" s="54"/>
      <c r="Q444" s="53"/>
      <c r="R444" s="53"/>
      <c r="S444" s="53"/>
      <c r="T444" s="25" t="s">
        <v>163</v>
      </c>
      <c r="U444" s="26">
        <f>SUM(U436:U441)</f>
        <v>18777825</v>
      </c>
      <c r="V444" s="26"/>
      <c r="W444" s="49"/>
      <c r="X444" s="53"/>
      <c r="Y444" s="58"/>
    </row>
    <row r="445" spans="1:2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4"/>
      <c r="M445" s="35"/>
      <c r="N445" s="54"/>
      <c r="O445" s="54"/>
      <c r="P445" s="54"/>
      <c r="Q445" s="53"/>
      <c r="R445" s="53"/>
      <c r="S445" s="53"/>
      <c r="T445" s="25" t="s">
        <v>544</v>
      </c>
      <c r="U445" s="30">
        <v>30000000</v>
      </c>
      <c r="V445" s="44" t="s">
        <v>278</v>
      </c>
      <c r="W445" s="49"/>
      <c r="X445" s="53"/>
      <c r="Y445" s="2"/>
    </row>
    <row r="446" spans="1:25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35"/>
      <c r="N446" s="35"/>
      <c r="O446" s="35"/>
      <c r="P446" s="35"/>
      <c r="Q446" s="23"/>
      <c r="R446" s="23"/>
      <c r="S446" s="23"/>
      <c r="T446" s="25"/>
      <c r="U446" s="26">
        <f>U444-U445</f>
        <v>-11222175</v>
      </c>
      <c r="V446" s="44"/>
      <c r="W446" s="55"/>
      <c r="X446" s="23"/>
      <c r="Y446" s="2"/>
    </row>
    <row r="447" spans="1:25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3"/>
      <c r="N447" s="22"/>
      <c r="O447" s="22"/>
      <c r="P447" s="22"/>
      <c r="Q447" s="22"/>
      <c r="R447" s="22"/>
      <c r="S447" s="22"/>
      <c r="T447" s="888" t="s">
        <v>165</v>
      </c>
      <c r="U447" s="26">
        <f>U444*10/100</f>
        <v>1877782.5</v>
      </c>
      <c r="V447" s="42"/>
      <c r="W447" s="22"/>
      <c r="X447" s="22"/>
      <c r="Y447" s="2"/>
    </row>
    <row r="448" spans="1:25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3"/>
      <c r="N448" s="22"/>
      <c r="O448" s="22"/>
      <c r="P448" s="22"/>
      <c r="Q448" s="22"/>
      <c r="R448" s="22"/>
      <c r="S448" s="22"/>
      <c r="T448" s="889"/>
      <c r="U448" s="30"/>
      <c r="V448" s="42" t="s">
        <v>282</v>
      </c>
      <c r="W448" s="22"/>
      <c r="X448" s="22"/>
      <c r="Y448" s="2"/>
    </row>
    <row r="449" spans="1:25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3"/>
      <c r="N449" s="22"/>
      <c r="O449" s="22"/>
      <c r="P449" s="22"/>
      <c r="Q449" s="22"/>
      <c r="R449" s="22"/>
      <c r="S449" s="22"/>
      <c r="T449" s="42"/>
      <c r="U449" s="45">
        <f>U447+U448</f>
        <v>1877782.5</v>
      </c>
      <c r="V449" s="42"/>
      <c r="W449" s="22"/>
      <c r="X449" s="22"/>
      <c r="Y449" s="2"/>
    </row>
    <row r="450" spans="1:25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3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"/>
    </row>
    <row r="451" spans="1:25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3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"/>
    </row>
    <row r="452" spans="1:25" ht="27" customHeight="1">
      <c r="A452" s="886" t="s">
        <v>1438</v>
      </c>
      <c r="B452" s="887"/>
      <c r="C452" s="887"/>
      <c r="D452" s="887"/>
      <c r="E452" s="887"/>
      <c r="F452" s="887"/>
      <c r="G452" s="887"/>
      <c r="H452" s="887"/>
      <c r="I452" s="887"/>
      <c r="J452" s="887"/>
      <c r="K452" s="887"/>
      <c r="L452" s="887"/>
      <c r="M452" s="887"/>
      <c r="N452" s="887"/>
      <c r="O452" s="887"/>
      <c r="P452" s="887"/>
      <c r="Q452" s="887"/>
      <c r="R452" s="887"/>
      <c r="S452" s="887"/>
      <c r="T452" s="887"/>
      <c r="U452" s="887"/>
      <c r="V452" s="887"/>
      <c r="W452" s="887"/>
      <c r="X452" s="887"/>
      <c r="Y452" s="2"/>
    </row>
    <row r="453" spans="1:25" ht="24" customHeight="1">
      <c r="A453" s="3" t="s">
        <v>1</v>
      </c>
      <c r="B453" s="4" t="s">
        <v>2</v>
      </c>
      <c r="C453" s="5" t="s">
        <v>3</v>
      </c>
      <c r="D453" s="5" t="s">
        <v>4</v>
      </c>
      <c r="E453" s="5" t="s">
        <v>5</v>
      </c>
      <c r="F453" s="5" t="s">
        <v>6</v>
      </c>
      <c r="G453" s="5" t="s">
        <v>7</v>
      </c>
      <c r="H453" s="5" t="s">
        <v>167</v>
      </c>
      <c r="I453" s="5" t="s">
        <v>9</v>
      </c>
      <c r="J453" s="5" t="s">
        <v>10</v>
      </c>
      <c r="K453" s="5" t="s">
        <v>11</v>
      </c>
      <c r="L453" s="5" t="s">
        <v>12</v>
      </c>
      <c r="M453" s="6" t="s">
        <v>13</v>
      </c>
      <c r="N453" s="5" t="s">
        <v>14</v>
      </c>
      <c r="O453" s="5" t="s">
        <v>15</v>
      </c>
      <c r="P453" s="5" t="s">
        <v>16</v>
      </c>
      <c r="Q453" s="7" t="s">
        <v>17</v>
      </c>
      <c r="R453" s="8" t="s">
        <v>18</v>
      </c>
      <c r="S453" s="8" t="s">
        <v>19</v>
      </c>
      <c r="T453" s="8" t="s">
        <v>20</v>
      </c>
      <c r="U453" s="5" t="s">
        <v>21</v>
      </c>
      <c r="V453" s="5" t="s">
        <v>22</v>
      </c>
      <c r="W453" s="5" t="s">
        <v>23</v>
      </c>
      <c r="X453" s="5" t="s">
        <v>24</v>
      </c>
      <c r="Y453" s="2"/>
    </row>
    <row r="454" spans="1:25" ht="15.75" customHeight="1">
      <c r="A454" s="807" t="s">
        <v>25</v>
      </c>
      <c r="B454" s="817"/>
      <c r="C454" s="817"/>
      <c r="D454" s="817"/>
      <c r="E454" s="817"/>
      <c r="F454" s="817"/>
      <c r="G454" s="817"/>
      <c r="H454" s="817"/>
      <c r="I454" s="817"/>
      <c r="J454" s="817"/>
      <c r="K454" s="817"/>
      <c r="L454" s="817"/>
      <c r="M454" s="817"/>
      <c r="N454" s="817"/>
      <c r="O454" s="817"/>
      <c r="P454" s="817"/>
      <c r="Q454" s="817"/>
      <c r="R454" s="817"/>
      <c r="S454" s="817"/>
      <c r="T454" s="817"/>
      <c r="U454" s="817"/>
      <c r="V454" s="817"/>
      <c r="W454" s="817"/>
      <c r="X454" s="818"/>
      <c r="Y454" s="2"/>
    </row>
    <row r="455" spans="1:25" ht="37.5" customHeight="1">
      <c r="A455" s="9">
        <v>1</v>
      </c>
      <c r="B455" s="9" t="s">
        <v>1439</v>
      </c>
      <c r="C455" s="9" t="s">
        <v>1440</v>
      </c>
      <c r="D455" s="9" t="s">
        <v>25</v>
      </c>
      <c r="E455" s="9" t="s">
        <v>1441</v>
      </c>
      <c r="F455" s="9" t="s">
        <v>1442</v>
      </c>
      <c r="G455" s="9" t="s">
        <v>270</v>
      </c>
      <c r="H455" s="10" t="s">
        <v>40</v>
      </c>
      <c r="I455" s="10" t="s">
        <v>40</v>
      </c>
      <c r="J455" s="9" t="s">
        <v>365</v>
      </c>
      <c r="K455" s="9" t="s">
        <v>99</v>
      </c>
      <c r="L455" s="12">
        <v>44878</v>
      </c>
      <c r="M455" s="12">
        <v>44890</v>
      </c>
      <c r="N455" s="12">
        <v>44890</v>
      </c>
      <c r="O455" s="12">
        <v>44890</v>
      </c>
      <c r="P455" s="12">
        <v>44890</v>
      </c>
      <c r="Q455" s="9" t="s">
        <v>1443</v>
      </c>
      <c r="R455" s="12">
        <v>44893</v>
      </c>
      <c r="S455" s="9" t="s">
        <v>1444</v>
      </c>
      <c r="T455" s="12">
        <v>44914</v>
      </c>
      <c r="U455" s="14">
        <v>50000</v>
      </c>
      <c r="V455" s="14" t="s">
        <v>40</v>
      </c>
      <c r="W455" s="14" t="s">
        <v>40</v>
      </c>
      <c r="X455" s="9" t="s">
        <v>40</v>
      </c>
      <c r="Y455" s="2"/>
    </row>
    <row r="456" spans="1:25" s="59" customFormat="1" ht="14.25" customHeight="1">
      <c r="A456" s="787">
        <v>2</v>
      </c>
      <c r="B456" s="787" t="s">
        <v>1375</v>
      </c>
      <c r="C456" s="787" t="s">
        <v>1445</v>
      </c>
      <c r="D456" s="787" t="s">
        <v>25</v>
      </c>
      <c r="E456" s="787" t="s">
        <v>1362</v>
      </c>
      <c r="F456" s="9" t="s">
        <v>1446</v>
      </c>
      <c r="G456" s="787" t="s">
        <v>1447</v>
      </c>
      <c r="H456" s="790" t="s">
        <v>1448</v>
      </c>
      <c r="I456" s="790" t="s">
        <v>1449</v>
      </c>
      <c r="J456" s="787" t="s">
        <v>215</v>
      </c>
      <c r="K456" s="787" t="s">
        <v>304</v>
      </c>
      <c r="L456" s="796">
        <v>44903</v>
      </c>
      <c r="M456" s="796">
        <v>44917</v>
      </c>
      <c r="N456" s="796">
        <v>44917</v>
      </c>
      <c r="O456" s="796">
        <v>44918</v>
      </c>
      <c r="P456" s="796">
        <v>44919</v>
      </c>
      <c r="Q456" s="787" t="s">
        <v>1450</v>
      </c>
      <c r="R456" s="796">
        <v>44932</v>
      </c>
      <c r="S456" s="787" t="s">
        <v>1451</v>
      </c>
      <c r="T456" s="796">
        <v>44986</v>
      </c>
      <c r="U456" s="815">
        <v>9100000</v>
      </c>
      <c r="V456" s="815">
        <v>500000</v>
      </c>
      <c r="W456" s="815" t="s">
        <v>1384</v>
      </c>
      <c r="X456" s="796">
        <v>44925</v>
      </c>
      <c r="Y456" s="60"/>
    </row>
    <row r="457" spans="1:25" s="59" customFormat="1" ht="14.25" customHeight="1">
      <c r="A457" s="788"/>
      <c r="B457" s="788"/>
      <c r="C457" s="788"/>
      <c r="D457" s="788"/>
      <c r="E457" s="788"/>
      <c r="F457" s="9" t="s">
        <v>1452</v>
      </c>
      <c r="G457" s="788"/>
      <c r="H457" s="788"/>
      <c r="I457" s="788"/>
      <c r="J457" s="788"/>
      <c r="K457" s="788"/>
      <c r="L457" s="788"/>
      <c r="M457" s="813"/>
      <c r="N457" s="813"/>
      <c r="O457" s="813"/>
      <c r="P457" s="813"/>
      <c r="Q457" s="788"/>
      <c r="R457" s="813"/>
      <c r="S457" s="788"/>
      <c r="T457" s="788"/>
      <c r="U457" s="815"/>
      <c r="V457" s="816"/>
      <c r="W457" s="816"/>
      <c r="X457" s="839"/>
      <c r="Y457" s="60"/>
    </row>
    <row r="458" spans="1:25" s="59" customFormat="1" ht="14.25" customHeight="1">
      <c r="A458" s="788"/>
      <c r="B458" s="788"/>
      <c r="C458" s="788"/>
      <c r="D458" s="788"/>
      <c r="E458" s="788"/>
      <c r="F458" s="9" t="s">
        <v>1453</v>
      </c>
      <c r="G458" s="788"/>
      <c r="H458" s="788"/>
      <c r="I458" s="788"/>
      <c r="J458" s="788"/>
      <c r="K458" s="788"/>
      <c r="L458" s="788"/>
      <c r="M458" s="813"/>
      <c r="N458" s="813"/>
      <c r="O458" s="813"/>
      <c r="P458" s="813"/>
      <c r="Q458" s="788"/>
      <c r="R458" s="813"/>
      <c r="S458" s="788"/>
      <c r="T458" s="788"/>
      <c r="U458" s="815"/>
      <c r="V458" s="815">
        <v>1000000</v>
      </c>
      <c r="W458" s="815" t="s">
        <v>59</v>
      </c>
      <c r="X458" s="796">
        <v>44925</v>
      </c>
      <c r="Y458" s="60"/>
    </row>
    <row r="459" spans="1:25" s="59" customFormat="1" ht="14.25" customHeight="1">
      <c r="A459" s="788"/>
      <c r="B459" s="788"/>
      <c r="C459" s="788"/>
      <c r="D459" s="788"/>
      <c r="E459" s="788"/>
      <c r="F459" s="9" t="s">
        <v>1454</v>
      </c>
      <c r="G459" s="788"/>
      <c r="H459" s="788"/>
      <c r="I459" s="788"/>
      <c r="J459" s="788"/>
      <c r="K459" s="788"/>
      <c r="L459" s="788"/>
      <c r="M459" s="813"/>
      <c r="N459" s="813"/>
      <c r="O459" s="813"/>
      <c r="P459" s="813"/>
      <c r="Q459" s="788"/>
      <c r="R459" s="813"/>
      <c r="S459" s="788"/>
      <c r="T459" s="788"/>
      <c r="U459" s="815"/>
      <c r="V459" s="845"/>
      <c r="W459" s="845"/>
      <c r="X459" s="813"/>
      <c r="Y459" s="60"/>
    </row>
    <row r="460" spans="1:25" s="59" customFormat="1" ht="14.25" customHeight="1">
      <c r="A460" s="794"/>
      <c r="B460" s="794"/>
      <c r="C460" s="794"/>
      <c r="D460" s="794"/>
      <c r="E460" s="794"/>
      <c r="F460" s="62" t="s">
        <v>1455</v>
      </c>
      <c r="G460" s="794"/>
      <c r="H460" s="794"/>
      <c r="I460" s="794"/>
      <c r="J460" s="794"/>
      <c r="K460" s="794"/>
      <c r="L460" s="794"/>
      <c r="M460" s="794"/>
      <c r="N460" s="794"/>
      <c r="O460" s="794"/>
      <c r="P460" s="794"/>
      <c r="Q460" s="794"/>
      <c r="R460" s="794"/>
      <c r="S460" s="794"/>
      <c r="T460" s="794"/>
      <c r="U460" s="815"/>
      <c r="V460" s="816"/>
      <c r="W460" s="816"/>
      <c r="X460" s="839"/>
      <c r="Y460" s="60"/>
    </row>
    <row r="461" spans="1:25" s="59" customFormat="1" ht="15.75" customHeight="1">
      <c r="A461" s="787">
        <v>3</v>
      </c>
      <c r="B461" s="787" t="s">
        <v>1375</v>
      </c>
      <c r="C461" s="787" t="s">
        <v>1456</v>
      </c>
      <c r="D461" s="787" t="s">
        <v>25</v>
      </c>
      <c r="E461" s="787" t="s">
        <v>1362</v>
      </c>
      <c r="F461" s="9" t="s">
        <v>1457</v>
      </c>
      <c r="G461" s="787" t="s">
        <v>1458</v>
      </c>
      <c r="H461" s="790" t="s">
        <v>1459</v>
      </c>
      <c r="I461" s="790" t="s">
        <v>1460</v>
      </c>
      <c r="J461" s="787" t="s">
        <v>215</v>
      </c>
      <c r="K461" s="787" t="s">
        <v>304</v>
      </c>
      <c r="L461" s="796">
        <v>44907</v>
      </c>
      <c r="M461" s="796">
        <v>44918</v>
      </c>
      <c r="N461" s="796">
        <v>44921</v>
      </c>
      <c r="O461" s="796">
        <v>44922</v>
      </c>
      <c r="P461" s="796">
        <v>44922</v>
      </c>
      <c r="Q461" s="787" t="s">
        <v>1450</v>
      </c>
      <c r="R461" s="796">
        <v>44932</v>
      </c>
      <c r="S461" s="787" t="s">
        <v>1461</v>
      </c>
      <c r="T461" s="796">
        <v>44986</v>
      </c>
      <c r="U461" s="815">
        <v>17850000</v>
      </c>
      <c r="V461" s="815">
        <v>1000000</v>
      </c>
      <c r="W461" s="815" t="s">
        <v>1384</v>
      </c>
      <c r="X461" s="796">
        <v>44925</v>
      </c>
      <c r="Y461" s="60"/>
    </row>
    <row r="462" spans="1:25" s="59" customFormat="1" ht="15.75" customHeight="1">
      <c r="A462" s="788"/>
      <c r="B462" s="788"/>
      <c r="C462" s="788"/>
      <c r="D462" s="788"/>
      <c r="E462" s="788"/>
      <c r="F462" s="9" t="s">
        <v>1462</v>
      </c>
      <c r="G462" s="788"/>
      <c r="H462" s="788"/>
      <c r="I462" s="788"/>
      <c r="J462" s="788"/>
      <c r="K462" s="788"/>
      <c r="L462" s="788"/>
      <c r="M462" s="813"/>
      <c r="N462" s="813"/>
      <c r="O462" s="813"/>
      <c r="P462" s="813"/>
      <c r="Q462" s="788"/>
      <c r="R462" s="813"/>
      <c r="S462" s="788"/>
      <c r="T462" s="788"/>
      <c r="U462" s="815"/>
      <c r="V462" s="845"/>
      <c r="W462" s="845"/>
      <c r="X462" s="813"/>
      <c r="Y462" s="60"/>
    </row>
    <row r="463" spans="1:25" s="59" customFormat="1" ht="15.75" customHeight="1">
      <c r="A463" s="788"/>
      <c r="B463" s="788"/>
      <c r="C463" s="788"/>
      <c r="D463" s="788"/>
      <c r="E463" s="788"/>
      <c r="F463" s="9" t="s">
        <v>1463</v>
      </c>
      <c r="G463" s="788"/>
      <c r="H463" s="788"/>
      <c r="I463" s="788"/>
      <c r="J463" s="788"/>
      <c r="K463" s="788"/>
      <c r="L463" s="788"/>
      <c r="M463" s="813"/>
      <c r="N463" s="813"/>
      <c r="O463" s="813"/>
      <c r="P463" s="813"/>
      <c r="Q463" s="788"/>
      <c r="R463" s="813"/>
      <c r="S463" s="788"/>
      <c r="T463" s="788"/>
      <c r="U463" s="815"/>
      <c r="V463" s="845"/>
      <c r="W463" s="845"/>
      <c r="X463" s="813"/>
      <c r="Y463" s="60"/>
    </row>
    <row r="464" spans="1:25" s="59" customFormat="1" ht="15.75" customHeight="1">
      <c r="A464" s="788"/>
      <c r="B464" s="788"/>
      <c r="C464" s="788"/>
      <c r="D464" s="788"/>
      <c r="E464" s="788"/>
      <c r="F464" s="9" t="s">
        <v>1464</v>
      </c>
      <c r="G464" s="788"/>
      <c r="H464" s="788"/>
      <c r="I464" s="788"/>
      <c r="J464" s="788"/>
      <c r="K464" s="788"/>
      <c r="L464" s="788"/>
      <c r="M464" s="813"/>
      <c r="N464" s="813"/>
      <c r="O464" s="813"/>
      <c r="P464" s="813"/>
      <c r="Q464" s="788"/>
      <c r="R464" s="813"/>
      <c r="S464" s="788"/>
      <c r="T464" s="788"/>
      <c r="U464" s="815"/>
      <c r="V464" s="845"/>
      <c r="W464" s="845"/>
      <c r="X464" s="813"/>
      <c r="Y464" s="60"/>
    </row>
    <row r="465" spans="1:25" s="59" customFormat="1" ht="15.75" customHeight="1">
      <c r="A465" s="788"/>
      <c r="B465" s="788"/>
      <c r="C465" s="788"/>
      <c r="D465" s="788"/>
      <c r="E465" s="788"/>
      <c r="F465" s="62" t="s">
        <v>1465</v>
      </c>
      <c r="G465" s="788"/>
      <c r="H465" s="788"/>
      <c r="I465" s="788"/>
      <c r="J465" s="788"/>
      <c r="K465" s="788"/>
      <c r="L465" s="788"/>
      <c r="M465" s="813"/>
      <c r="N465" s="813"/>
      <c r="O465" s="813"/>
      <c r="P465" s="813"/>
      <c r="Q465" s="788"/>
      <c r="R465" s="813"/>
      <c r="S465" s="788"/>
      <c r="T465" s="788"/>
      <c r="U465" s="815"/>
      <c r="V465" s="816"/>
      <c r="W465" s="816"/>
      <c r="X465" s="839"/>
      <c r="Y465" s="60"/>
    </row>
    <row r="466" spans="1:25" s="59" customFormat="1" ht="15.75" customHeight="1">
      <c r="A466" s="788"/>
      <c r="B466" s="788"/>
      <c r="C466" s="788"/>
      <c r="D466" s="788"/>
      <c r="E466" s="788"/>
      <c r="F466" s="9" t="s">
        <v>1466</v>
      </c>
      <c r="G466" s="788"/>
      <c r="H466" s="788"/>
      <c r="I466" s="788"/>
      <c r="J466" s="788"/>
      <c r="K466" s="788"/>
      <c r="L466" s="788"/>
      <c r="M466" s="813"/>
      <c r="N466" s="813"/>
      <c r="O466" s="813"/>
      <c r="P466" s="813"/>
      <c r="Q466" s="788"/>
      <c r="R466" s="813"/>
      <c r="S466" s="788"/>
      <c r="T466" s="788"/>
      <c r="U466" s="815"/>
      <c r="V466" s="815">
        <v>2000000</v>
      </c>
      <c r="W466" s="815" t="s">
        <v>59</v>
      </c>
      <c r="X466" s="796">
        <v>44925</v>
      </c>
      <c r="Y466" s="60"/>
    </row>
    <row r="467" spans="1:25" s="59" customFormat="1" ht="15.75" customHeight="1">
      <c r="A467" s="788"/>
      <c r="B467" s="788"/>
      <c r="C467" s="788"/>
      <c r="D467" s="788"/>
      <c r="E467" s="788"/>
      <c r="F467" s="9" t="s">
        <v>1467</v>
      </c>
      <c r="G467" s="788"/>
      <c r="H467" s="788"/>
      <c r="I467" s="788"/>
      <c r="J467" s="788"/>
      <c r="K467" s="788"/>
      <c r="L467" s="788"/>
      <c r="M467" s="813"/>
      <c r="N467" s="813"/>
      <c r="O467" s="813"/>
      <c r="P467" s="813"/>
      <c r="Q467" s="788"/>
      <c r="R467" s="813"/>
      <c r="S467" s="788"/>
      <c r="T467" s="788"/>
      <c r="U467" s="815"/>
      <c r="V467" s="845"/>
      <c r="W467" s="845"/>
      <c r="X467" s="813"/>
      <c r="Y467" s="60"/>
    </row>
    <row r="468" spans="1:25" s="59" customFormat="1" ht="15.75" customHeight="1">
      <c r="A468" s="788"/>
      <c r="B468" s="788"/>
      <c r="C468" s="788"/>
      <c r="D468" s="788"/>
      <c r="E468" s="788"/>
      <c r="F468" s="9" t="s">
        <v>1468</v>
      </c>
      <c r="G468" s="788"/>
      <c r="H468" s="788"/>
      <c r="I468" s="788"/>
      <c r="J468" s="788"/>
      <c r="K468" s="788"/>
      <c r="L468" s="788"/>
      <c r="M468" s="813"/>
      <c r="N468" s="813"/>
      <c r="O468" s="813"/>
      <c r="P468" s="813"/>
      <c r="Q468" s="788"/>
      <c r="R468" s="813"/>
      <c r="S468" s="788"/>
      <c r="T468" s="788"/>
      <c r="U468" s="815"/>
      <c r="V468" s="845"/>
      <c r="W468" s="845"/>
      <c r="X468" s="813"/>
      <c r="Y468" s="60"/>
    </row>
    <row r="469" spans="1:25" s="59" customFormat="1" ht="15.75" customHeight="1">
      <c r="A469" s="788"/>
      <c r="B469" s="788"/>
      <c r="C469" s="788"/>
      <c r="D469" s="788"/>
      <c r="E469" s="788"/>
      <c r="F469" s="9" t="s">
        <v>1469</v>
      </c>
      <c r="G469" s="788"/>
      <c r="H469" s="788"/>
      <c r="I469" s="788"/>
      <c r="J469" s="788"/>
      <c r="K469" s="788"/>
      <c r="L469" s="788"/>
      <c r="M469" s="813"/>
      <c r="N469" s="813"/>
      <c r="O469" s="813"/>
      <c r="P469" s="813"/>
      <c r="Q469" s="788"/>
      <c r="R469" s="813"/>
      <c r="S469" s="788"/>
      <c r="T469" s="788"/>
      <c r="U469" s="815"/>
      <c r="V469" s="845"/>
      <c r="W469" s="845"/>
      <c r="X469" s="813"/>
      <c r="Y469" s="60"/>
    </row>
    <row r="470" spans="1:25" s="59" customFormat="1" ht="15.75" customHeight="1">
      <c r="A470" s="794"/>
      <c r="B470" s="794"/>
      <c r="C470" s="794"/>
      <c r="D470" s="794"/>
      <c r="E470" s="794"/>
      <c r="F470" s="62" t="s">
        <v>1470</v>
      </c>
      <c r="G470" s="794"/>
      <c r="H470" s="794"/>
      <c r="I470" s="794"/>
      <c r="J470" s="794"/>
      <c r="K470" s="794"/>
      <c r="L470" s="794"/>
      <c r="M470" s="794"/>
      <c r="N470" s="794"/>
      <c r="O470" s="794"/>
      <c r="P470" s="794"/>
      <c r="Q470" s="794"/>
      <c r="R470" s="839"/>
      <c r="S470" s="900"/>
      <c r="T470" s="794"/>
      <c r="U470" s="815"/>
      <c r="V470" s="816"/>
      <c r="W470" s="816"/>
      <c r="X470" s="839"/>
      <c r="Y470" s="60"/>
    </row>
    <row r="471" spans="1:25" ht="27" customHeight="1">
      <c r="A471" s="787">
        <v>4</v>
      </c>
      <c r="B471" s="787" t="s">
        <v>1375</v>
      </c>
      <c r="C471" s="787" t="s">
        <v>1471</v>
      </c>
      <c r="D471" s="787" t="s">
        <v>25</v>
      </c>
      <c r="E471" s="787" t="s">
        <v>1472</v>
      </c>
      <c r="F471" s="787" t="s">
        <v>1473</v>
      </c>
      <c r="G471" s="787" t="s">
        <v>30</v>
      </c>
      <c r="H471" s="790" t="s">
        <v>1474</v>
      </c>
      <c r="I471" s="790" t="s">
        <v>1475</v>
      </c>
      <c r="J471" s="787" t="s">
        <v>33</v>
      </c>
      <c r="K471" s="787" t="s">
        <v>1476</v>
      </c>
      <c r="L471" s="796">
        <v>44907</v>
      </c>
      <c r="M471" s="796">
        <v>44919</v>
      </c>
      <c r="N471" s="796">
        <v>44923</v>
      </c>
      <c r="O471" s="796">
        <v>44923</v>
      </c>
      <c r="P471" s="796">
        <v>44923</v>
      </c>
      <c r="Q471" s="787" t="s">
        <v>1477</v>
      </c>
      <c r="R471" s="796">
        <v>44963</v>
      </c>
      <c r="S471" s="787" t="s">
        <v>1478</v>
      </c>
      <c r="T471" s="796">
        <v>45000</v>
      </c>
      <c r="U471" s="815">
        <v>1000000</v>
      </c>
      <c r="V471" s="14">
        <v>100000</v>
      </c>
      <c r="W471" s="14" t="s">
        <v>1384</v>
      </c>
      <c r="X471" s="12">
        <v>44925</v>
      </c>
      <c r="Y471" s="2"/>
    </row>
    <row r="472" spans="1:25" ht="27" customHeight="1">
      <c r="A472" s="789"/>
      <c r="B472" s="789"/>
      <c r="C472" s="789"/>
      <c r="D472" s="789"/>
      <c r="E472" s="789"/>
      <c r="F472" s="789"/>
      <c r="G472" s="789"/>
      <c r="H472" s="789"/>
      <c r="I472" s="789"/>
      <c r="J472" s="789"/>
      <c r="K472" s="789"/>
      <c r="L472" s="789"/>
      <c r="M472" s="789"/>
      <c r="N472" s="789"/>
      <c r="O472" s="789"/>
      <c r="P472" s="789"/>
      <c r="Q472" s="789"/>
      <c r="R472" s="789"/>
      <c r="S472" s="789"/>
      <c r="T472" s="789"/>
      <c r="U472" s="815"/>
      <c r="V472" s="14">
        <v>200000</v>
      </c>
      <c r="W472" s="14" t="s">
        <v>59</v>
      </c>
      <c r="X472" s="12">
        <v>44925</v>
      </c>
      <c r="Y472" s="2"/>
    </row>
    <row r="473" spans="1:25" ht="37.5" customHeight="1">
      <c r="A473" s="9">
        <v>5</v>
      </c>
      <c r="B473" s="9" t="s">
        <v>1479</v>
      </c>
      <c r="C473" s="9" t="s">
        <v>1480</v>
      </c>
      <c r="D473" s="9" t="s">
        <v>25</v>
      </c>
      <c r="E473" s="9" t="s">
        <v>1481</v>
      </c>
      <c r="F473" s="9" t="s">
        <v>1482</v>
      </c>
      <c r="G473" s="9" t="s">
        <v>30</v>
      </c>
      <c r="H473" s="10" t="s">
        <v>1483</v>
      </c>
      <c r="I473" s="10" t="s">
        <v>40</v>
      </c>
      <c r="J473" s="9" t="s">
        <v>94</v>
      </c>
      <c r="K473" s="9" t="s">
        <v>40</v>
      </c>
      <c r="L473" s="12">
        <v>44924</v>
      </c>
      <c r="M473" s="12">
        <v>44926</v>
      </c>
      <c r="N473" s="12" t="s">
        <v>40</v>
      </c>
      <c r="O473" s="12" t="s">
        <v>40</v>
      </c>
      <c r="P473" s="12" t="s">
        <v>40</v>
      </c>
      <c r="Q473" s="12" t="s">
        <v>40</v>
      </c>
      <c r="R473" s="12">
        <v>44900</v>
      </c>
      <c r="S473" s="9" t="s">
        <v>1484</v>
      </c>
      <c r="T473" s="12">
        <v>44899</v>
      </c>
      <c r="U473" s="14">
        <v>3215381</v>
      </c>
      <c r="V473" s="14" t="s">
        <v>40</v>
      </c>
      <c r="W473" s="14" t="s">
        <v>40</v>
      </c>
      <c r="X473" s="9" t="s">
        <v>40</v>
      </c>
      <c r="Y473" s="2"/>
    </row>
    <row r="474" spans="1:25" ht="36.75" customHeight="1">
      <c r="A474" s="9">
        <v>6</v>
      </c>
      <c r="B474" s="9" t="s">
        <v>1485</v>
      </c>
      <c r="C474" s="9" t="s">
        <v>1486</v>
      </c>
      <c r="D474" s="9" t="s">
        <v>25</v>
      </c>
      <c r="E474" s="9" t="s">
        <v>1487</v>
      </c>
      <c r="F474" s="9" t="s">
        <v>1488</v>
      </c>
      <c r="G474" s="9" t="s">
        <v>270</v>
      </c>
      <c r="H474" s="10" t="s">
        <v>1489</v>
      </c>
      <c r="I474" s="10" t="s">
        <v>1490</v>
      </c>
      <c r="J474" s="9" t="s">
        <v>1491</v>
      </c>
      <c r="K474" s="9" t="s">
        <v>201</v>
      </c>
      <c r="L474" s="12">
        <v>44921</v>
      </c>
      <c r="M474" s="12">
        <v>44926</v>
      </c>
      <c r="N474" s="12">
        <v>44899</v>
      </c>
      <c r="O474" s="12">
        <v>44899</v>
      </c>
      <c r="P474" s="12">
        <v>44900</v>
      </c>
      <c r="Q474" s="9" t="s">
        <v>1492</v>
      </c>
      <c r="R474" s="12">
        <v>44944</v>
      </c>
      <c r="S474" s="9" t="s">
        <v>1493</v>
      </c>
      <c r="T474" s="12">
        <v>44984</v>
      </c>
      <c r="U474" s="14">
        <v>1000000</v>
      </c>
      <c r="V474" s="14" t="s">
        <v>40</v>
      </c>
      <c r="W474" s="14" t="s">
        <v>40</v>
      </c>
      <c r="X474" s="9" t="s">
        <v>40</v>
      </c>
      <c r="Y474" s="2"/>
    </row>
    <row r="475" spans="1:25" ht="27" customHeight="1">
      <c r="A475" s="787">
        <v>7</v>
      </c>
      <c r="B475" s="787" t="s">
        <v>1375</v>
      </c>
      <c r="C475" s="787" t="s">
        <v>1433</v>
      </c>
      <c r="D475" s="787" t="s">
        <v>25</v>
      </c>
      <c r="E475" s="787" t="s">
        <v>1494</v>
      </c>
      <c r="F475" s="787" t="s">
        <v>1434</v>
      </c>
      <c r="G475" s="787" t="s">
        <v>30</v>
      </c>
      <c r="H475" s="790" t="s">
        <v>1495</v>
      </c>
      <c r="I475" s="790" t="s">
        <v>1496</v>
      </c>
      <c r="J475" s="787" t="s">
        <v>1208</v>
      </c>
      <c r="K475" s="787" t="s">
        <v>1497</v>
      </c>
      <c r="L475" s="796" t="s">
        <v>1326</v>
      </c>
      <c r="M475" s="796">
        <v>44925</v>
      </c>
      <c r="N475" s="796">
        <v>44930</v>
      </c>
      <c r="O475" s="796">
        <v>44931</v>
      </c>
      <c r="P475" s="796">
        <v>44931</v>
      </c>
      <c r="Q475" s="787" t="s">
        <v>1498</v>
      </c>
      <c r="R475" s="796">
        <v>44942</v>
      </c>
      <c r="S475" s="787" t="s">
        <v>1499</v>
      </c>
      <c r="T475" s="796">
        <v>45026</v>
      </c>
      <c r="U475" s="815">
        <v>1807000</v>
      </c>
      <c r="V475" s="14">
        <v>150000</v>
      </c>
      <c r="W475" s="14" t="s">
        <v>1384</v>
      </c>
      <c r="X475" s="9" t="s">
        <v>40</v>
      </c>
      <c r="Y475" s="2"/>
    </row>
    <row r="476" spans="1:25" ht="27" customHeight="1">
      <c r="A476" s="789"/>
      <c r="B476" s="789"/>
      <c r="C476" s="789"/>
      <c r="D476" s="789"/>
      <c r="E476" s="789"/>
      <c r="F476" s="789"/>
      <c r="G476" s="789"/>
      <c r="H476" s="789"/>
      <c r="I476" s="789"/>
      <c r="J476" s="789"/>
      <c r="K476" s="789"/>
      <c r="L476" s="789"/>
      <c r="M476" s="789"/>
      <c r="N476" s="789"/>
      <c r="O476" s="789"/>
      <c r="P476" s="789"/>
      <c r="Q476" s="789"/>
      <c r="R476" s="789"/>
      <c r="S476" s="789"/>
      <c r="T476" s="789"/>
      <c r="U476" s="815"/>
      <c r="V476" s="14">
        <v>200000</v>
      </c>
      <c r="W476" s="14" t="s">
        <v>59</v>
      </c>
      <c r="X476" s="9" t="s">
        <v>40</v>
      </c>
      <c r="Y476" s="2"/>
    </row>
    <row r="477" spans="1:25" s="57" customFormat="1" ht="27" customHeight="1">
      <c r="A477" s="807" t="s">
        <v>128</v>
      </c>
      <c r="B477" s="817"/>
      <c r="C477" s="817"/>
      <c r="D477" s="817"/>
      <c r="E477" s="817"/>
      <c r="F477" s="817"/>
      <c r="G477" s="817"/>
      <c r="H477" s="817"/>
      <c r="I477" s="817"/>
      <c r="J477" s="817"/>
      <c r="K477" s="817"/>
      <c r="L477" s="817"/>
      <c r="M477" s="817"/>
      <c r="N477" s="817"/>
      <c r="O477" s="817"/>
      <c r="P477" s="817"/>
      <c r="Q477" s="817"/>
      <c r="R477" s="817"/>
      <c r="S477" s="817"/>
      <c r="T477" s="817"/>
      <c r="U477" s="817"/>
      <c r="V477" s="817"/>
      <c r="W477" s="817"/>
      <c r="X477" s="818"/>
      <c r="Y477" s="58"/>
    </row>
    <row r="478" spans="1:25" ht="24" customHeight="1">
      <c r="A478" s="787">
        <v>8</v>
      </c>
      <c r="B478" s="787" t="s">
        <v>266</v>
      </c>
      <c r="C478" s="787" t="s">
        <v>1500</v>
      </c>
      <c r="D478" s="787" t="s">
        <v>128</v>
      </c>
      <c r="E478" s="787" t="s">
        <v>1501</v>
      </c>
      <c r="F478" s="787" t="s">
        <v>1502</v>
      </c>
      <c r="G478" s="787" t="s">
        <v>270</v>
      </c>
      <c r="H478" s="790" t="s">
        <v>1503</v>
      </c>
      <c r="I478" s="787" t="s">
        <v>40</v>
      </c>
      <c r="J478" s="787" t="s">
        <v>272</v>
      </c>
      <c r="K478" s="787" t="s">
        <v>40</v>
      </c>
      <c r="L478" s="796">
        <v>44899</v>
      </c>
      <c r="M478" s="796">
        <v>44901</v>
      </c>
      <c r="N478" s="879" t="s">
        <v>1504</v>
      </c>
      <c r="O478" s="921"/>
      <c r="P478" s="922"/>
      <c r="Q478" s="787" t="s">
        <v>274</v>
      </c>
      <c r="R478" s="796">
        <v>44902</v>
      </c>
      <c r="S478" s="787" t="s">
        <v>1505</v>
      </c>
      <c r="T478" s="796">
        <v>44973</v>
      </c>
      <c r="U478" s="815">
        <v>3211250</v>
      </c>
      <c r="V478" s="14">
        <v>1680000</v>
      </c>
      <c r="W478" s="14" t="s">
        <v>276</v>
      </c>
      <c r="X478" s="12">
        <v>44900</v>
      </c>
      <c r="Y478" s="2"/>
    </row>
    <row r="479" spans="1:25" ht="24" customHeight="1">
      <c r="A479" s="900"/>
      <c r="B479" s="900"/>
      <c r="C479" s="900"/>
      <c r="D479" s="900"/>
      <c r="E479" s="900"/>
      <c r="F479" s="900"/>
      <c r="G479" s="900"/>
      <c r="H479" s="900"/>
      <c r="I479" s="900"/>
      <c r="J479" s="900"/>
      <c r="K479" s="900"/>
      <c r="L479" s="839"/>
      <c r="M479" s="839"/>
      <c r="N479" s="956"/>
      <c r="O479" s="957"/>
      <c r="P479" s="958"/>
      <c r="Q479" s="900"/>
      <c r="R479" s="839"/>
      <c r="S479" s="900"/>
      <c r="T479" s="900"/>
      <c r="U479" s="815"/>
      <c r="V479" s="14">
        <v>827500</v>
      </c>
      <c r="W479" s="14" t="s">
        <v>39</v>
      </c>
      <c r="X479" s="12">
        <v>44900</v>
      </c>
      <c r="Y479" s="2"/>
    </row>
    <row r="480" spans="1:25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4"/>
      <c r="M480" s="35"/>
      <c r="N480" s="54"/>
      <c r="O480" s="54"/>
      <c r="P480" s="54"/>
      <c r="Q480" s="53"/>
      <c r="R480" s="53"/>
      <c r="S480" s="53"/>
      <c r="T480" s="25" t="s">
        <v>163</v>
      </c>
      <c r="U480" s="26">
        <f>SUM(U451:U479)</f>
        <v>37233631</v>
      </c>
      <c r="V480" s="26"/>
      <c r="W480" s="49"/>
      <c r="X480" s="53"/>
      <c r="Y480" s="2"/>
    </row>
    <row r="481" spans="1:25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4"/>
      <c r="M481" s="35"/>
      <c r="N481" s="54"/>
      <c r="O481" s="54"/>
      <c r="P481" s="54"/>
      <c r="Q481" s="53"/>
      <c r="R481" s="53"/>
      <c r="S481" s="53"/>
      <c r="T481" s="25" t="s">
        <v>544</v>
      </c>
      <c r="U481" s="30">
        <v>30000000</v>
      </c>
      <c r="V481" s="44" t="s">
        <v>278</v>
      </c>
      <c r="W481" s="49"/>
      <c r="X481" s="53"/>
      <c r="Y481" s="2"/>
    </row>
    <row r="482" spans="1:25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35"/>
      <c r="N482" s="35"/>
      <c r="O482" s="35"/>
      <c r="P482" s="35"/>
      <c r="Q482" s="23"/>
      <c r="R482" s="23"/>
      <c r="S482" s="23"/>
      <c r="T482" s="25"/>
      <c r="U482" s="26">
        <f>U480-U481</f>
        <v>7233631</v>
      </c>
      <c r="V482" s="44"/>
      <c r="W482" s="55"/>
      <c r="X482" s="23"/>
      <c r="Y482" s="2"/>
    </row>
    <row r="483" spans="1:25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3"/>
      <c r="N483" s="22"/>
      <c r="O483" s="22"/>
      <c r="P483" s="22"/>
      <c r="Q483" s="22"/>
      <c r="R483" s="22"/>
      <c r="S483" s="22"/>
      <c r="T483" s="888" t="s">
        <v>165</v>
      </c>
      <c r="U483" s="26">
        <f>U480*10/100</f>
        <v>3723363.1</v>
      </c>
      <c r="V483" s="42"/>
      <c r="W483" s="22"/>
      <c r="X483" s="22"/>
      <c r="Y483" s="2"/>
    </row>
    <row r="484" spans="1:25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3"/>
      <c r="N484" s="22"/>
      <c r="O484" s="22"/>
      <c r="P484" s="22"/>
      <c r="Q484" s="22"/>
      <c r="R484" s="22"/>
      <c r="S484" s="22"/>
      <c r="T484" s="889"/>
      <c r="U484" s="30"/>
      <c r="V484" s="42" t="s">
        <v>282</v>
      </c>
      <c r="W484" s="22"/>
      <c r="X484" s="22"/>
      <c r="Y484" s="2"/>
    </row>
    <row r="485" spans="1:2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3"/>
      <c r="N485" s="22"/>
      <c r="O485" s="22"/>
      <c r="P485" s="22"/>
      <c r="Q485" s="22"/>
      <c r="R485" s="22"/>
      <c r="S485" s="22"/>
      <c r="T485" s="42"/>
      <c r="U485" s="45">
        <f>U483+U484</f>
        <v>3723363.1</v>
      </c>
      <c r="V485" s="42"/>
      <c r="W485" s="22"/>
      <c r="X485" s="22"/>
      <c r="Y485" s="2"/>
    </row>
    <row r="486" spans="1:25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3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"/>
    </row>
    <row r="487" spans="1:25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3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"/>
    </row>
    <row r="488" spans="1:25" ht="24.75" customHeight="1">
      <c r="A488" s="886" t="s">
        <v>1506</v>
      </c>
      <c r="B488" s="887"/>
      <c r="C488" s="887"/>
      <c r="D488" s="887"/>
      <c r="E488" s="887"/>
      <c r="F488" s="887"/>
      <c r="G488" s="887"/>
      <c r="H488" s="887"/>
      <c r="I488" s="887"/>
      <c r="J488" s="887"/>
      <c r="K488" s="887"/>
      <c r="L488" s="887"/>
      <c r="M488" s="887"/>
      <c r="N488" s="887"/>
      <c r="O488" s="887"/>
      <c r="P488" s="887"/>
      <c r="Q488" s="887"/>
      <c r="R488" s="887"/>
      <c r="S488" s="887"/>
      <c r="T488" s="887"/>
      <c r="U488" s="887"/>
      <c r="V488" s="887"/>
      <c r="W488" s="887"/>
      <c r="X488" s="887"/>
      <c r="Y488" s="2"/>
    </row>
    <row r="489" spans="1:25" ht="26.25" customHeight="1">
      <c r="A489" s="3" t="s">
        <v>1</v>
      </c>
      <c r="B489" s="4" t="s">
        <v>2</v>
      </c>
      <c r="C489" s="5" t="s">
        <v>3</v>
      </c>
      <c r="D489" s="5" t="s">
        <v>4</v>
      </c>
      <c r="E489" s="5" t="s">
        <v>5</v>
      </c>
      <c r="F489" s="5" t="s">
        <v>6</v>
      </c>
      <c r="G489" s="5" t="s">
        <v>7</v>
      </c>
      <c r="H489" s="5" t="s">
        <v>167</v>
      </c>
      <c r="I489" s="5" t="s">
        <v>9</v>
      </c>
      <c r="J489" s="5" t="s">
        <v>10</v>
      </c>
      <c r="K489" s="5" t="s">
        <v>11</v>
      </c>
      <c r="L489" s="5" t="s">
        <v>12</v>
      </c>
      <c r="M489" s="6" t="s">
        <v>13</v>
      </c>
      <c r="N489" s="5" t="s">
        <v>14</v>
      </c>
      <c r="O489" s="5" t="s">
        <v>15</v>
      </c>
      <c r="P489" s="5" t="s">
        <v>16</v>
      </c>
      <c r="Q489" s="7" t="s">
        <v>17</v>
      </c>
      <c r="R489" s="8" t="s">
        <v>18</v>
      </c>
      <c r="S489" s="8" t="s">
        <v>19</v>
      </c>
      <c r="T489" s="8" t="s">
        <v>20</v>
      </c>
      <c r="U489" s="5" t="s">
        <v>21</v>
      </c>
      <c r="V489" s="5" t="s">
        <v>22</v>
      </c>
      <c r="W489" s="5" t="s">
        <v>23</v>
      </c>
      <c r="X489" s="5" t="s">
        <v>24</v>
      </c>
      <c r="Y489" s="2"/>
    </row>
    <row r="490" spans="1:25" ht="15.75" customHeight="1">
      <c r="A490" s="807" t="s">
        <v>25</v>
      </c>
      <c r="B490" s="817"/>
      <c r="C490" s="817"/>
      <c r="D490" s="817"/>
      <c r="E490" s="817"/>
      <c r="F490" s="817"/>
      <c r="G490" s="817"/>
      <c r="H490" s="817"/>
      <c r="I490" s="817"/>
      <c r="J490" s="817"/>
      <c r="K490" s="817"/>
      <c r="L490" s="817"/>
      <c r="M490" s="817"/>
      <c r="N490" s="817"/>
      <c r="O490" s="817"/>
      <c r="P490" s="817"/>
      <c r="Q490" s="817"/>
      <c r="R490" s="817"/>
      <c r="S490" s="817"/>
      <c r="T490" s="817"/>
      <c r="U490" s="817"/>
      <c r="V490" s="817"/>
      <c r="W490" s="817"/>
      <c r="X490" s="818"/>
      <c r="Y490" s="2"/>
    </row>
    <row r="491" spans="1:25" ht="15" customHeight="1">
      <c r="A491" s="787">
        <v>1</v>
      </c>
      <c r="B491" s="787" t="s">
        <v>1375</v>
      </c>
      <c r="C491" s="787" t="s">
        <v>1507</v>
      </c>
      <c r="D491" s="787" t="s">
        <v>25</v>
      </c>
      <c r="E491" s="787" t="s">
        <v>1508</v>
      </c>
      <c r="F491" s="9" t="s">
        <v>1509</v>
      </c>
      <c r="G491" s="787" t="s">
        <v>1510</v>
      </c>
      <c r="H491" s="790" t="s">
        <v>1511</v>
      </c>
      <c r="I491" s="790" t="s">
        <v>1512</v>
      </c>
      <c r="J491" s="787" t="s">
        <v>296</v>
      </c>
      <c r="K491" s="787" t="s">
        <v>304</v>
      </c>
      <c r="L491" s="796">
        <v>44918</v>
      </c>
      <c r="M491" s="796">
        <v>44936</v>
      </c>
      <c r="N491" s="796">
        <v>44937</v>
      </c>
      <c r="O491" s="796">
        <v>44937</v>
      </c>
      <c r="P491" s="796">
        <v>44938</v>
      </c>
      <c r="Q491" s="787" t="s">
        <v>1513</v>
      </c>
      <c r="R491" s="796">
        <v>44963</v>
      </c>
      <c r="S491" s="787" t="s">
        <v>1514</v>
      </c>
      <c r="T491" s="796">
        <v>45000</v>
      </c>
      <c r="U491" s="815">
        <v>2750000</v>
      </c>
      <c r="V491" s="815">
        <v>600000</v>
      </c>
      <c r="W491" s="815" t="s">
        <v>1384</v>
      </c>
      <c r="X491" s="796" t="s">
        <v>1515</v>
      </c>
      <c r="Y491" s="2"/>
    </row>
    <row r="492" spans="1:25" ht="15" customHeight="1">
      <c r="A492" s="788"/>
      <c r="B492" s="788"/>
      <c r="C492" s="788"/>
      <c r="D492" s="788"/>
      <c r="E492" s="788"/>
      <c r="F492" s="9" t="s">
        <v>1516</v>
      </c>
      <c r="G492" s="788"/>
      <c r="H492" s="788"/>
      <c r="I492" s="788"/>
      <c r="J492" s="788"/>
      <c r="K492" s="788"/>
      <c r="L492" s="788"/>
      <c r="M492" s="813"/>
      <c r="N492" s="813"/>
      <c r="O492" s="813"/>
      <c r="P492" s="813"/>
      <c r="Q492" s="788"/>
      <c r="R492" s="813"/>
      <c r="S492" s="788"/>
      <c r="T492" s="788"/>
      <c r="U492" s="815"/>
      <c r="V492" s="816"/>
      <c r="W492" s="816"/>
      <c r="X492" s="839"/>
      <c r="Y492" s="2"/>
    </row>
    <row r="493" spans="1:25" ht="15" customHeight="1">
      <c r="A493" s="788"/>
      <c r="B493" s="788"/>
      <c r="C493" s="788"/>
      <c r="D493" s="788"/>
      <c r="E493" s="788"/>
      <c r="F493" s="9" t="s">
        <v>1517</v>
      </c>
      <c r="G493" s="788"/>
      <c r="H493" s="788"/>
      <c r="I493" s="788"/>
      <c r="J493" s="788"/>
      <c r="K493" s="788"/>
      <c r="L493" s="788"/>
      <c r="M493" s="813"/>
      <c r="N493" s="813"/>
      <c r="O493" s="813"/>
      <c r="P493" s="813"/>
      <c r="Q493" s="788"/>
      <c r="R493" s="813"/>
      <c r="S493" s="788"/>
      <c r="T493" s="788"/>
      <c r="U493" s="815"/>
      <c r="V493" s="815">
        <v>800000</v>
      </c>
      <c r="W493" s="815" t="s">
        <v>59</v>
      </c>
      <c r="X493" s="796" t="s">
        <v>1515</v>
      </c>
      <c r="Y493" s="2"/>
    </row>
    <row r="494" spans="1:25" ht="15" customHeight="1">
      <c r="A494" s="794"/>
      <c r="B494" s="794"/>
      <c r="C494" s="794"/>
      <c r="D494" s="794"/>
      <c r="E494" s="794"/>
      <c r="F494" s="62" t="s">
        <v>1518</v>
      </c>
      <c r="G494" s="794"/>
      <c r="H494" s="794"/>
      <c r="I494" s="794"/>
      <c r="J494" s="794"/>
      <c r="K494" s="794"/>
      <c r="L494" s="794"/>
      <c r="M494" s="794"/>
      <c r="N494" s="794"/>
      <c r="O494" s="794"/>
      <c r="P494" s="794"/>
      <c r="Q494" s="794"/>
      <c r="R494" s="794"/>
      <c r="S494" s="794"/>
      <c r="T494" s="794"/>
      <c r="U494" s="815"/>
      <c r="V494" s="816"/>
      <c r="W494" s="816"/>
      <c r="X494" s="839"/>
      <c r="Y494" s="2"/>
    </row>
    <row r="495" spans="1:25" ht="19.5" customHeight="1">
      <c r="A495" s="787">
        <v>2</v>
      </c>
      <c r="B495" s="787" t="s">
        <v>1375</v>
      </c>
      <c r="C495" s="787" t="s">
        <v>1519</v>
      </c>
      <c r="D495" s="787" t="s">
        <v>25</v>
      </c>
      <c r="E495" s="787" t="s">
        <v>1508</v>
      </c>
      <c r="F495" s="9" t="s">
        <v>1520</v>
      </c>
      <c r="G495" s="787" t="s">
        <v>1521</v>
      </c>
      <c r="H495" s="790" t="s">
        <v>1522</v>
      </c>
      <c r="I495" s="790" t="s">
        <v>1523</v>
      </c>
      <c r="J495" s="787" t="s">
        <v>296</v>
      </c>
      <c r="K495" s="787" t="s">
        <v>304</v>
      </c>
      <c r="L495" s="796">
        <v>44909</v>
      </c>
      <c r="M495" s="796">
        <v>44941</v>
      </c>
      <c r="N495" s="796">
        <v>44943</v>
      </c>
      <c r="O495" s="796">
        <v>44943</v>
      </c>
      <c r="P495" s="796">
        <v>44944</v>
      </c>
      <c r="Q495" s="787" t="s">
        <v>1524</v>
      </c>
      <c r="R495" s="796">
        <v>44963</v>
      </c>
      <c r="S495" s="787" t="s">
        <v>1525</v>
      </c>
      <c r="T495" s="796">
        <v>45000</v>
      </c>
      <c r="U495" s="815">
        <v>2150000</v>
      </c>
      <c r="V495" s="815">
        <v>450000</v>
      </c>
      <c r="W495" s="815" t="s">
        <v>1384</v>
      </c>
      <c r="X495" s="796" t="s">
        <v>1515</v>
      </c>
      <c r="Y495" s="2"/>
    </row>
    <row r="496" spans="1:25" ht="19.5" customHeight="1">
      <c r="A496" s="788"/>
      <c r="B496" s="788"/>
      <c r="C496" s="788"/>
      <c r="D496" s="788"/>
      <c r="E496" s="788"/>
      <c r="F496" s="9" t="s">
        <v>1526</v>
      </c>
      <c r="G496" s="788"/>
      <c r="H496" s="788"/>
      <c r="I496" s="788"/>
      <c r="J496" s="788"/>
      <c r="K496" s="788"/>
      <c r="L496" s="788"/>
      <c r="M496" s="813"/>
      <c r="N496" s="813"/>
      <c r="O496" s="813"/>
      <c r="P496" s="813"/>
      <c r="Q496" s="788"/>
      <c r="R496" s="813"/>
      <c r="S496" s="788"/>
      <c r="T496" s="788"/>
      <c r="U496" s="845"/>
      <c r="V496" s="816"/>
      <c r="W496" s="816"/>
      <c r="X496" s="839"/>
      <c r="Y496" s="2"/>
    </row>
    <row r="497" spans="1:25" ht="29.25" customHeight="1">
      <c r="A497" s="794"/>
      <c r="B497" s="794"/>
      <c r="C497" s="794"/>
      <c r="D497" s="794"/>
      <c r="E497" s="794"/>
      <c r="F497" s="62" t="s">
        <v>1527</v>
      </c>
      <c r="G497" s="794"/>
      <c r="H497" s="794"/>
      <c r="I497" s="794"/>
      <c r="J497" s="794"/>
      <c r="K497" s="794"/>
      <c r="L497" s="794"/>
      <c r="M497" s="794"/>
      <c r="N497" s="794"/>
      <c r="O497" s="794"/>
      <c r="P497" s="794"/>
      <c r="Q497" s="794"/>
      <c r="R497" s="794"/>
      <c r="S497" s="794"/>
      <c r="T497" s="794"/>
      <c r="U497" s="816"/>
      <c r="V497" s="20">
        <v>600000</v>
      </c>
      <c r="W497" s="20" t="s">
        <v>59</v>
      </c>
      <c r="X497" s="40" t="s">
        <v>1515</v>
      </c>
      <c r="Y497" s="2"/>
    </row>
    <row r="498" spans="1:25" ht="27" customHeight="1">
      <c r="A498" s="787">
        <v>3</v>
      </c>
      <c r="B498" s="787" t="s">
        <v>1375</v>
      </c>
      <c r="C498" s="787" t="s">
        <v>1528</v>
      </c>
      <c r="D498" s="787" t="s">
        <v>1529</v>
      </c>
      <c r="E498" s="787" t="s">
        <v>1530</v>
      </c>
      <c r="F498" s="787" t="s">
        <v>1531</v>
      </c>
      <c r="G498" s="787" t="s">
        <v>30</v>
      </c>
      <c r="H498" s="790" t="s">
        <v>1532</v>
      </c>
      <c r="I498" s="790" t="s">
        <v>1533</v>
      </c>
      <c r="J498" s="787" t="s">
        <v>94</v>
      </c>
      <c r="K498" s="787" t="s">
        <v>34</v>
      </c>
      <c r="L498" s="796">
        <v>44941</v>
      </c>
      <c r="M498" s="796">
        <v>44943</v>
      </c>
      <c r="N498" s="796">
        <v>44946</v>
      </c>
      <c r="O498" s="796">
        <v>44947</v>
      </c>
      <c r="P498" s="796">
        <v>44947</v>
      </c>
      <c r="Q498" s="787" t="s">
        <v>1534</v>
      </c>
      <c r="R498" s="796">
        <v>44970</v>
      </c>
      <c r="S498" s="787" t="s">
        <v>1535</v>
      </c>
      <c r="T498" s="796">
        <v>45000</v>
      </c>
      <c r="U498" s="815">
        <v>7944078</v>
      </c>
      <c r="V498" s="14">
        <v>150000</v>
      </c>
      <c r="W498" s="14" t="s">
        <v>1384</v>
      </c>
      <c r="X498" s="12" t="s">
        <v>1515</v>
      </c>
      <c r="Y498" s="2"/>
    </row>
    <row r="499" spans="1:25" ht="27" customHeight="1">
      <c r="A499" s="789"/>
      <c r="B499" s="789"/>
      <c r="C499" s="789"/>
      <c r="D499" s="789"/>
      <c r="E499" s="789"/>
      <c r="F499" s="900"/>
      <c r="G499" s="789"/>
      <c r="H499" s="789"/>
      <c r="I499" s="789"/>
      <c r="J499" s="789"/>
      <c r="K499" s="789"/>
      <c r="L499" s="789"/>
      <c r="M499" s="789"/>
      <c r="N499" s="789"/>
      <c r="O499" s="789"/>
      <c r="P499" s="789"/>
      <c r="Q499" s="789"/>
      <c r="R499" s="789"/>
      <c r="S499" s="789"/>
      <c r="T499" s="789"/>
      <c r="U499" s="815"/>
      <c r="V499" s="14">
        <v>200000</v>
      </c>
      <c r="W499" s="14" t="s">
        <v>59</v>
      </c>
      <c r="X499" s="9" t="s">
        <v>1515</v>
      </c>
      <c r="Y499" s="2"/>
    </row>
    <row r="500" spans="1:25" ht="24" customHeight="1">
      <c r="A500" s="13">
        <v>4</v>
      </c>
      <c r="B500" s="13" t="s">
        <v>1536</v>
      </c>
      <c r="C500" s="16" t="s">
        <v>1537</v>
      </c>
      <c r="D500" s="13" t="s">
        <v>25</v>
      </c>
      <c r="E500" s="13" t="s">
        <v>1538</v>
      </c>
      <c r="F500" s="13" t="s">
        <v>1539</v>
      </c>
      <c r="G500" s="13" t="s">
        <v>30</v>
      </c>
      <c r="H500" s="16" t="s">
        <v>1540</v>
      </c>
      <c r="I500" s="13" t="s">
        <v>40</v>
      </c>
      <c r="J500" s="13" t="s">
        <v>1541</v>
      </c>
      <c r="K500" s="13" t="s">
        <v>40</v>
      </c>
      <c r="L500" s="17">
        <v>44946</v>
      </c>
      <c r="M500" s="17">
        <v>44962</v>
      </c>
      <c r="N500" s="12" t="s">
        <v>40</v>
      </c>
      <c r="O500" s="12" t="s">
        <v>40</v>
      </c>
      <c r="P500" s="12" t="s">
        <v>40</v>
      </c>
      <c r="Q500" s="12" t="s">
        <v>40</v>
      </c>
      <c r="R500" s="17">
        <v>44963</v>
      </c>
      <c r="S500" s="17" t="s">
        <v>1542</v>
      </c>
      <c r="T500" s="17">
        <v>44964</v>
      </c>
      <c r="U500" s="19">
        <v>16336393</v>
      </c>
      <c r="V500" s="14" t="s">
        <v>40</v>
      </c>
      <c r="W500" s="14" t="s">
        <v>40</v>
      </c>
      <c r="X500" s="12" t="s">
        <v>40</v>
      </c>
      <c r="Y500" s="2"/>
    </row>
    <row r="501" spans="1:25" ht="27" customHeight="1">
      <c r="A501" s="9">
        <v>5</v>
      </c>
      <c r="B501" s="9" t="s">
        <v>1485</v>
      </c>
      <c r="C501" s="9" t="s">
        <v>1543</v>
      </c>
      <c r="D501" s="9" t="s">
        <v>25</v>
      </c>
      <c r="E501" s="9" t="s">
        <v>1544</v>
      </c>
      <c r="F501" s="9" t="s">
        <v>1545</v>
      </c>
      <c r="G501" s="9" t="s">
        <v>270</v>
      </c>
      <c r="H501" s="10" t="s">
        <v>1546</v>
      </c>
      <c r="I501" s="10" t="s">
        <v>1475</v>
      </c>
      <c r="J501" s="9" t="s">
        <v>1491</v>
      </c>
      <c r="K501" s="9" t="s">
        <v>99</v>
      </c>
      <c r="L501" s="12">
        <v>44934</v>
      </c>
      <c r="M501" s="12">
        <v>44940</v>
      </c>
      <c r="N501" s="12">
        <v>44943</v>
      </c>
      <c r="O501" s="12">
        <v>44943</v>
      </c>
      <c r="P501" s="12">
        <v>44944</v>
      </c>
      <c r="Q501" s="9" t="s">
        <v>1547</v>
      </c>
      <c r="R501" s="64">
        <v>44970</v>
      </c>
      <c r="S501" s="9" t="s">
        <v>1548</v>
      </c>
      <c r="T501" s="12">
        <v>45016</v>
      </c>
      <c r="U501" s="14">
        <v>900000</v>
      </c>
      <c r="V501" s="14" t="s">
        <v>40</v>
      </c>
      <c r="W501" s="14" t="s">
        <v>40</v>
      </c>
      <c r="X501" s="9" t="s">
        <v>40</v>
      </c>
      <c r="Y501" s="2"/>
    </row>
    <row r="502" spans="1:25" ht="76.5" customHeight="1">
      <c r="A502" s="9">
        <v>6</v>
      </c>
      <c r="B502" s="9" t="s">
        <v>1549</v>
      </c>
      <c r="C502" s="9" t="s">
        <v>1550</v>
      </c>
      <c r="D502" s="9" t="s">
        <v>1551</v>
      </c>
      <c r="E502" s="9" t="s">
        <v>1487</v>
      </c>
      <c r="F502" s="9" t="s">
        <v>1552</v>
      </c>
      <c r="G502" s="9" t="s">
        <v>1553</v>
      </c>
      <c r="H502" s="10" t="s">
        <v>1554</v>
      </c>
      <c r="I502" s="10" t="s">
        <v>40</v>
      </c>
      <c r="J502" s="9" t="s">
        <v>1555</v>
      </c>
      <c r="K502" s="9" t="s">
        <v>304</v>
      </c>
      <c r="L502" s="12">
        <v>44936</v>
      </c>
      <c r="M502" s="12">
        <v>44956</v>
      </c>
      <c r="N502" s="12">
        <v>44956</v>
      </c>
      <c r="O502" s="12">
        <v>44956</v>
      </c>
      <c r="P502" s="12">
        <v>44958</v>
      </c>
      <c r="Q502" s="9" t="s">
        <v>1556</v>
      </c>
      <c r="R502" s="12">
        <v>44966</v>
      </c>
      <c r="S502" s="9" t="s">
        <v>1557</v>
      </c>
      <c r="T502" s="12">
        <v>45022</v>
      </c>
      <c r="U502" s="14">
        <v>7237500</v>
      </c>
      <c r="V502" s="14">
        <v>250000</v>
      </c>
      <c r="W502" s="14" t="s">
        <v>1558</v>
      </c>
      <c r="X502" s="9" t="s">
        <v>1515</v>
      </c>
      <c r="Y502" s="2"/>
    </row>
    <row r="503" spans="1:25" ht="15.75" customHeight="1">
      <c r="A503" s="807" t="s">
        <v>128</v>
      </c>
      <c r="B503" s="817"/>
      <c r="C503" s="817"/>
      <c r="D503" s="817"/>
      <c r="E503" s="817"/>
      <c r="F503" s="817"/>
      <c r="G503" s="817"/>
      <c r="H503" s="817"/>
      <c r="I503" s="817"/>
      <c r="J503" s="817"/>
      <c r="K503" s="817"/>
      <c r="L503" s="817"/>
      <c r="M503" s="817"/>
      <c r="N503" s="817"/>
      <c r="O503" s="817"/>
      <c r="P503" s="817"/>
      <c r="Q503" s="817"/>
      <c r="R503" s="817"/>
      <c r="S503" s="817"/>
      <c r="T503" s="817"/>
      <c r="U503" s="817"/>
      <c r="V503" s="817"/>
      <c r="W503" s="817"/>
      <c r="X503" s="818"/>
      <c r="Y503" s="2"/>
    </row>
    <row r="504" spans="1:25" ht="35.25" customHeight="1">
      <c r="A504" s="13">
        <v>7</v>
      </c>
      <c r="B504" s="13" t="s">
        <v>1559</v>
      </c>
      <c r="C504" s="9" t="s">
        <v>1560</v>
      </c>
      <c r="D504" s="13" t="s">
        <v>1561</v>
      </c>
      <c r="E504" s="13" t="s">
        <v>1562</v>
      </c>
      <c r="F504" s="13" t="s">
        <v>1563</v>
      </c>
      <c r="G504" s="13" t="s">
        <v>71</v>
      </c>
      <c r="H504" s="16" t="s">
        <v>1564</v>
      </c>
      <c r="I504" s="16" t="s">
        <v>1565</v>
      </c>
      <c r="J504" s="13" t="s">
        <v>1566</v>
      </c>
      <c r="K504" s="13" t="s">
        <v>1567</v>
      </c>
      <c r="L504" s="17">
        <v>44953</v>
      </c>
      <c r="M504" s="17">
        <v>44957</v>
      </c>
      <c r="N504" s="800" t="s">
        <v>1568</v>
      </c>
      <c r="O504" s="907"/>
      <c r="P504" s="908"/>
      <c r="Q504" s="66" t="s">
        <v>1569</v>
      </c>
      <c r="R504" s="17">
        <v>44966</v>
      </c>
      <c r="S504" s="13" t="s">
        <v>1570</v>
      </c>
      <c r="T504" s="17">
        <v>45022</v>
      </c>
      <c r="U504" s="19">
        <v>750000</v>
      </c>
      <c r="V504" s="14" t="s">
        <v>40</v>
      </c>
      <c r="W504" s="14" t="s">
        <v>40</v>
      </c>
      <c r="X504" s="12" t="s">
        <v>40</v>
      </c>
      <c r="Y504" s="2"/>
    </row>
    <row r="505" spans="1:25" ht="35.25" customHeight="1">
      <c r="A505" s="66">
        <v>8</v>
      </c>
      <c r="B505" s="13" t="s">
        <v>1559</v>
      </c>
      <c r="C505" s="9" t="s">
        <v>1571</v>
      </c>
      <c r="D505" s="13" t="s">
        <v>1561</v>
      </c>
      <c r="E505" s="66" t="s">
        <v>1572</v>
      </c>
      <c r="F505" s="66" t="s">
        <v>1573</v>
      </c>
      <c r="G505" s="66" t="s">
        <v>71</v>
      </c>
      <c r="H505" s="67" t="s">
        <v>1574</v>
      </c>
      <c r="I505" s="67" t="s">
        <v>1575</v>
      </c>
      <c r="J505" s="66" t="s">
        <v>1576</v>
      </c>
      <c r="K505" s="66" t="s">
        <v>223</v>
      </c>
      <c r="L505" s="68">
        <v>44957</v>
      </c>
      <c r="M505" s="68">
        <v>45002</v>
      </c>
      <c r="N505" s="800" t="s">
        <v>1577</v>
      </c>
      <c r="O505" s="907"/>
      <c r="P505" s="908"/>
      <c r="Q505" s="66" t="s">
        <v>1578</v>
      </c>
      <c r="R505" s="68">
        <v>44970</v>
      </c>
      <c r="S505" s="66" t="s">
        <v>1570</v>
      </c>
      <c r="T505" s="68">
        <v>45022</v>
      </c>
      <c r="U505" s="69">
        <v>750000</v>
      </c>
      <c r="V505" s="14" t="s">
        <v>40</v>
      </c>
      <c r="W505" s="14" t="s">
        <v>40</v>
      </c>
      <c r="X505" s="12" t="s">
        <v>40</v>
      </c>
      <c r="Y505" s="2"/>
    </row>
    <row r="506" spans="1:25" ht="30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4"/>
      <c r="M506" s="35"/>
      <c r="N506" s="54"/>
      <c r="O506" s="54"/>
      <c r="P506" s="54"/>
      <c r="Q506" s="53"/>
      <c r="R506" s="53"/>
      <c r="S506" s="53"/>
      <c r="T506" s="25" t="s">
        <v>163</v>
      </c>
      <c r="U506" s="26">
        <f>SUM(U487:U504)</f>
        <v>38067971</v>
      </c>
      <c r="V506" s="26"/>
      <c r="W506" s="49"/>
      <c r="X506" s="53"/>
      <c r="Y506" s="2"/>
    </row>
    <row r="507" spans="1:25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4"/>
      <c r="M507" s="35"/>
      <c r="N507" s="54"/>
      <c r="O507" s="54"/>
      <c r="P507" s="54"/>
      <c r="Q507" s="53"/>
      <c r="R507" s="53"/>
      <c r="S507" s="53"/>
      <c r="T507" s="25" t="s">
        <v>544</v>
      </c>
      <c r="U507" s="30">
        <v>30000000</v>
      </c>
      <c r="V507" s="44" t="s">
        <v>278</v>
      </c>
      <c r="W507" s="49"/>
      <c r="X507" s="53"/>
      <c r="Y507" s="2"/>
    </row>
    <row r="508" spans="1:25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35"/>
      <c r="N508" s="35"/>
      <c r="O508" s="35"/>
      <c r="P508" s="35"/>
      <c r="Q508" s="23"/>
      <c r="R508" s="23"/>
      <c r="S508" s="23"/>
      <c r="T508" s="25"/>
      <c r="U508" s="26">
        <f>U506-U507</f>
        <v>8067971</v>
      </c>
      <c r="V508" s="44"/>
      <c r="W508" s="55"/>
      <c r="X508" s="23"/>
      <c r="Y508" s="2"/>
    </row>
    <row r="509" spans="1:25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3"/>
      <c r="N509" s="22"/>
      <c r="O509" s="22"/>
      <c r="P509" s="22"/>
      <c r="Q509" s="22"/>
      <c r="R509" s="22"/>
      <c r="S509" s="22"/>
      <c r="T509" s="888" t="s">
        <v>165</v>
      </c>
      <c r="U509" s="26">
        <f>U506*10/100</f>
        <v>3806797.1</v>
      </c>
      <c r="V509" s="42"/>
      <c r="W509" s="22"/>
      <c r="X509" s="22"/>
      <c r="Y509" s="2"/>
    </row>
    <row r="510" spans="1:25" ht="15.75" customHeight="1">
      <c r="A510" s="22"/>
      <c r="H510" s="22"/>
      <c r="I510" s="22"/>
      <c r="J510" s="22"/>
      <c r="K510" s="22"/>
      <c r="L510" s="22"/>
      <c r="M510" s="23"/>
      <c r="N510" s="22"/>
      <c r="O510" s="22"/>
      <c r="P510" s="22"/>
      <c r="Q510" s="22"/>
      <c r="R510" s="22"/>
      <c r="S510" s="22"/>
      <c r="T510" s="889"/>
      <c r="U510" s="30"/>
      <c r="V510" s="42" t="s">
        <v>282</v>
      </c>
      <c r="W510" s="22"/>
      <c r="X510" s="22"/>
      <c r="Y510" s="2"/>
    </row>
    <row r="511" spans="1:25" ht="15.75" customHeight="1">
      <c r="A511" s="22"/>
      <c r="H511" s="22"/>
      <c r="I511" s="22"/>
      <c r="J511" s="22"/>
      <c r="K511" s="22"/>
      <c r="L511" s="22"/>
      <c r="M511" s="23"/>
      <c r="N511" s="22"/>
      <c r="O511" s="22"/>
      <c r="P511" s="22"/>
      <c r="Q511" s="22"/>
      <c r="R511" s="22"/>
      <c r="S511" s="22"/>
      <c r="T511" s="42"/>
      <c r="U511" s="45">
        <f>U509+U510</f>
        <v>3806797.1</v>
      </c>
      <c r="V511" s="42"/>
      <c r="W511" s="22"/>
      <c r="X511" s="22"/>
      <c r="Y511" s="2"/>
    </row>
    <row r="512" spans="1:25" ht="30.75" customHeight="1">
      <c r="A512" s="886" t="s">
        <v>1579</v>
      </c>
      <c r="B512" s="887"/>
      <c r="C512" s="887"/>
      <c r="D512" s="887"/>
      <c r="E512" s="887"/>
      <c r="F512" s="887"/>
      <c r="G512" s="887"/>
      <c r="H512" s="887"/>
      <c r="I512" s="887"/>
      <c r="J512" s="887"/>
      <c r="K512" s="887"/>
      <c r="L512" s="887"/>
      <c r="M512" s="887"/>
      <c r="N512" s="887"/>
      <c r="O512" s="887"/>
      <c r="P512" s="887"/>
      <c r="Q512" s="887"/>
      <c r="R512" s="887"/>
      <c r="S512" s="887"/>
      <c r="T512" s="887"/>
      <c r="U512" s="887"/>
      <c r="V512" s="887"/>
      <c r="W512" s="887"/>
      <c r="X512" s="887"/>
      <c r="Y512" s="2"/>
    </row>
    <row r="513" spans="1:25" ht="25.5" customHeight="1">
      <c r="A513" s="3" t="s">
        <v>1</v>
      </c>
      <c r="B513" s="4" t="s">
        <v>2</v>
      </c>
      <c r="C513" s="5" t="s">
        <v>3</v>
      </c>
      <c r="D513" s="5" t="s">
        <v>4</v>
      </c>
      <c r="E513" s="5" t="s">
        <v>5</v>
      </c>
      <c r="F513" s="5" t="s">
        <v>6</v>
      </c>
      <c r="G513" s="5" t="s">
        <v>7</v>
      </c>
      <c r="H513" s="5" t="s">
        <v>167</v>
      </c>
      <c r="I513" s="5" t="s">
        <v>9</v>
      </c>
      <c r="J513" s="5" t="s">
        <v>10</v>
      </c>
      <c r="K513" s="5" t="s">
        <v>11</v>
      </c>
      <c r="L513" s="5" t="s">
        <v>12</v>
      </c>
      <c r="M513" s="6" t="s">
        <v>13</v>
      </c>
      <c r="N513" s="5" t="s">
        <v>14</v>
      </c>
      <c r="O513" s="5" t="s">
        <v>15</v>
      </c>
      <c r="P513" s="5" t="s">
        <v>16</v>
      </c>
      <c r="Q513" s="7" t="s">
        <v>17</v>
      </c>
      <c r="R513" s="8" t="s">
        <v>18</v>
      </c>
      <c r="S513" s="8" t="s">
        <v>19</v>
      </c>
      <c r="T513" s="8" t="s">
        <v>20</v>
      </c>
      <c r="U513" s="5" t="s">
        <v>21</v>
      </c>
      <c r="V513" s="5" t="s">
        <v>22</v>
      </c>
      <c r="W513" s="5" t="s">
        <v>23</v>
      </c>
      <c r="X513" s="5" t="s">
        <v>24</v>
      </c>
      <c r="Y513" s="2"/>
    </row>
    <row r="514" spans="1:25" ht="15.75" customHeight="1">
      <c r="A514" s="807" t="s">
        <v>25</v>
      </c>
      <c r="B514" s="817"/>
      <c r="C514" s="817"/>
      <c r="D514" s="817"/>
      <c r="E514" s="817"/>
      <c r="F514" s="817"/>
      <c r="G514" s="817"/>
      <c r="H514" s="817"/>
      <c r="I514" s="817"/>
      <c r="J514" s="817"/>
      <c r="K514" s="817"/>
      <c r="L514" s="817"/>
      <c r="M514" s="817"/>
      <c r="N514" s="817"/>
      <c r="O514" s="817"/>
      <c r="P514" s="817"/>
      <c r="Q514" s="817"/>
      <c r="R514" s="817"/>
      <c r="S514" s="817"/>
      <c r="T514" s="817"/>
      <c r="U514" s="817"/>
      <c r="V514" s="817"/>
      <c r="W514" s="817"/>
      <c r="X514" s="818"/>
      <c r="Y514" s="2"/>
    </row>
    <row r="515" spans="1:25" ht="40.5" customHeight="1">
      <c r="A515" s="9"/>
      <c r="B515" s="9" t="s">
        <v>1580</v>
      </c>
      <c r="C515" s="9" t="s">
        <v>1581</v>
      </c>
      <c r="D515" s="9" t="s">
        <v>1551</v>
      </c>
      <c r="E515" s="9" t="s">
        <v>1487</v>
      </c>
      <c r="F515" s="9" t="s">
        <v>1582</v>
      </c>
      <c r="G515" s="9" t="s">
        <v>1583</v>
      </c>
      <c r="H515" s="10" t="s">
        <v>1584</v>
      </c>
      <c r="I515" s="10" t="s">
        <v>40</v>
      </c>
      <c r="J515" s="9" t="s">
        <v>1585</v>
      </c>
      <c r="K515" s="9" t="s">
        <v>40</v>
      </c>
      <c r="L515" s="12">
        <v>44944</v>
      </c>
      <c r="M515" s="12">
        <v>44965</v>
      </c>
      <c r="N515" s="12">
        <v>44965</v>
      </c>
      <c r="O515" s="12">
        <v>44965</v>
      </c>
      <c r="P515" s="12">
        <v>44966</v>
      </c>
      <c r="Q515" s="9" t="s">
        <v>1556</v>
      </c>
      <c r="R515" s="12">
        <v>44971</v>
      </c>
      <c r="S515" s="9" t="s">
        <v>1586</v>
      </c>
      <c r="T515" s="12">
        <v>44986</v>
      </c>
      <c r="U515" s="14">
        <v>800000</v>
      </c>
      <c r="V515" s="14" t="s">
        <v>40</v>
      </c>
      <c r="W515" s="14" t="s">
        <v>40</v>
      </c>
      <c r="X515" s="9" t="s">
        <v>40</v>
      </c>
      <c r="Y515" s="2"/>
    </row>
    <row r="516" spans="1:25" ht="40.5" customHeight="1">
      <c r="A516" s="9"/>
      <c r="B516" s="9" t="s">
        <v>1485</v>
      </c>
      <c r="C516" s="9" t="s">
        <v>1587</v>
      </c>
      <c r="D516" s="9" t="s">
        <v>1588</v>
      </c>
      <c r="E516" s="9" t="s">
        <v>1589</v>
      </c>
      <c r="F516" s="9" t="s">
        <v>1590</v>
      </c>
      <c r="G516" s="9" t="s">
        <v>270</v>
      </c>
      <c r="H516" s="10" t="s">
        <v>1591</v>
      </c>
      <c r="I516" s="10" t="s">
        <v>1512</v>
      </c>
      <c r="J516" s="9" t="s">
        <v>1491</v>
      </c>
      <c r="K516" s="9" t="s">
        <v>501</v>
      </c>
      <c r="L516" s="12">
        <v>44964</v>
      </c>
      <c r="M516" s="12">
        <v>44970</v>
      </c>
      <c r="N516" s="12">
        <v>44972</v>
      </c>
      <c r="O516" s="12">
        <v>44972</v>
      </c>
      <c r="P516" s="12">
        <v>44973</v>
      </c>
      <c r="Q516" s="9" t="s">
        <v>1592</v>
      </c>
      <c r="R516" s="12">
        <v>44989</v>
      </c>
      <c r="S516" s="9" t="s">
        <v>1593</v>
      </c>
      <c r="T516" s="12">
        <v>45030</v>
      </c>
      <c r="U516" s="14">
        <v>850000</v>
      </c>
      <c r="V516" s="14" t="s">
        <v>40</v>
      </c>
      <c r="W516" s="14" t="s">
        <v>40</v>
      </c>
      <c r="X516" s="9" t="s">
        <v>40</v>
      </c>
      <c r="Y516" s="2"/>
    </row>
    <row r="517" spans="1:25" ht="40.5" customHeight="1">
      <c r="A517" s="9"/>
      <c r="B517" s="9" t="s">
        <v>1485</v>
      </c>
      <c r="C517" s="9" t="s">
        <v>1594</v>
      </c>
      <c r="D517" s="9" t="s">
        <v>1588</v>
      </c>
      <c r="E517" s="9" t="s">
        <v>1589</v>
      </c>
      <c r="F517" s="9" t="s">
        <v>1595</v>
      </c>
      <c r="G517" s="9" t="s">
        <v>270</v>
      </c>
      <c r="H517" s="10" t="s">
        <v>1596</v>
      </c>
      <c r="I517" s="10" t="s">
        <v>1523</v>
      </c>
      <c r="J517" s="9" t="s">
        <v>1491</v>
      </c>
      <c r="K517" s="9" t="s">
        <v>501</v>
      </c>
      <c r="L517" s="12">
        <v>44971</v>
      </c>
      <c r="M517" s="12">
        <v>44978</v>
      </c>
      <c r="N517" s="12">
        <v>44980</v>
      </c>
      <c r="O517" s="12">
        <v>44980</v>
      </c>
      <c r="P517" s="12">
        <v>44981</v>
      </c>
      <c r="Q517" s="9" t="s">
        <v>1592</v>
      </c>
      <c r="R517" s="12">
        <v>44989</v>
      </c>
      <c r="S517" s="9" t="s">
        <v>1597</v>
      </c>
      <c r="T517" s="12">
        <v>45030</v>
      </c>
      <c r="U517" s="14">
        <v>2150000</v>
      </c>
      <c r="V517" s="14" t="s">
        <v>40</v>
      </c>
      <c r="W517" s="14" t="s">
        <v>40</v>
      </c>
      <c r="X517" s="9" t="s">
        <v>40</v>
      </c>
      <c r="Y517" s="2"/>
    </row>
    <row r="518" spans="1:25" ht="40.5" customHeight="1">
      <c r="A518" s="9"/>
      <c r="B518" s="9" t="s">
        <v>749</v>
      </c>
      <c r="C518" s="9" t="s">
        <v>1598</v>
      </c>
      <c r="D518" s="9" t="s">
        <v>1599</v>
      </c>
      <c r="E518" s="9" t="s">
        <v>1487</v>
      </c>
      <c r="F518" s="9" t="s">
        <v>1600</v>
      </c>
      <c r="G518" s="9" t="s">
        <v>882</v>
      </c>
      <c r="H518" s="10" t="s">
        <v>1601</v>
      </c>
      <c r="I518" s="10" t="s">
        <v>1602</v>
      </c>
      <c r="J518" s="9" t="s">
        <v>1603</v>
      </c>
      <c r="K518" s="9" t="s">
        <v>304</v>
      </c>
      <c r="L518" s="12">
        <v>44978</v>
      </c>
      <c r="M518" s="12">
        <v>44982</v>
      </c>
      <c r="N518" s="12">
        <v>44982</v>
      </c>
      <c r="O518" s="12">
        <v>44983</v>
      </c>
      <c r="P518" s="12">
        <v>44984</v>
      </c>
      <c r="Q518" s="9" t="s">
        <v>1604</v>
      </c>
      <c r="R518" s="12">
        <v>44991</v>
      </c>
      <c r="S518" s="9" t="s">
        <v>1605</v>
      </c>
      <c r="T518" s="12">
        <v>45015</v>
      </c>
      <c r="U518" s="14">
        <v>1965000</v>
      </c>
      <c r="V518" s="14">
        <v>250000</v>
      </c>
      <c r="W518" s="14" t="s">
        <v>1606</v>
      </c>
      <c r="X518" s="9" t="s">
        <v>1515</v>
      </c>
      <c r="Y518" s="2"/>
    </row>
    <row r="519" spans="1:25" ht="40.5" customHeight="1">
      <c r="A519" s="9"/>
      <c r="B519" s="9" t="s">
        <v>1485</v>
      </c>
      <c r="C519" s="9" t="s">
        <v>1607</v>
      </c>
      <c r="D519" s="9" t="s">
        <v>1588</v>
      </c>
      <c r="E519" s="9" t="s">
        <v>1608</v>
      </c>
      <c r="F519" s="9" t="s">
        <v>1609</v>
      </c>
      <c r="G519" s="9" t="s">
        <v>270</v>
      </c>
      <c r="H519" s="10" t="s">
        <v>1610</v>
      </c>
      <c r="I519" s="10" t="s">
        <v>1496</v>
      </c>
      <c r="J519" s="9" t="s">
        <v>1491</v>
      </c>
      <c r="K519" s="9" t="s">
        <v>99</v>
      </c>
      <c r="L519" s="12">
        <v>44978</v>
      </c>
      <c r="M519" s="12">
        <v>44983</v>
      </c>
      <c r="N519" s="12">
        <v>44986</v>
      </c>
      <c r="O519" s="12">
        <v>44986</v>
      </c>
      <c r="P519" s="12">
        <v>44987</v>
      </c>
      <c r="Q519" s="9" t="s">
        <v>1611</v>
      </c>
      <c r="R519" s="12">
        <v>45001</v>
      </c>
      <c r="S519" s="9" t="s">
        <v>1612</v>
      </c>
      <c r="T519" s="12" t="s">
        <v>40</v>
      </c>
      <c r="U519" s="14">
        <v>850000</v>
      </c>
      <c r="V519" s="14" t="s">
        <v>40</v>
      </c>
      <c r="W519" s="14" t="s">
        <v>40</v>
      </c>
      <c r="X519" s="9" t="s">
        <v>40</v>
      </c>
      <c r="Y519" s="2"/>
    </row>
    <row r="520" spans="1:25" ht="30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4"/>
      <c r="M520" s="35"/>
      <c r="N520" s="54"/>
      <c r="O520" s="54"/>
      <c r="P520" s="54"/>
      <c r="Q520" s="53"/>
      <c r="R520" s="53"/>
      <c r="S520" s="53"/>
      <c r="T520" s="25" t="s">
        <v>163</v>
      </c>
      <c r="U520" s="26">
        <f>SUM(U515:U519)</f>
        <v>6615000</v>
      </c>
      <c r="V520" s="26"/>
      <c r="W520" s="49"/>
      <c r="X520" s="53"/>
      <c r="Y520" s="2"/>
    </row>
    <row r="521" spans="1:25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4"/>
      <c r="M521" s="35"/>
      <c r="N521" s="54"/>
      <c r="O521" s="54"/>
      <c r="P521" s="54"/>
      <c r="Q521" s="53"/>
      <c r="R521" s="53"/>
      <c r="S521" s="53"/>
      <c r="T521" s="25" t="s">
        <v>544</v>
      </c>
      <c r="U521" s="30">
        <v>36000000</v>
      </c>
      <c r="V521" s="44" t="s">
        <v>278</v>
      </c>
      <c r="W521" s="49"/>
      <c r="X521" s="53"/>
      <c r="Y521" s="2"/>
    </row>
    <row r="522" spans="1:25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35"/>
      <c r="N522" s="35"/>
      <c r="O522" s="35"/>
      <c r="P522" s="35"/>
      <c r="Q522" s="23"/>
      <c r="R522" s="23"/>
      <c r="S522" s="23"/>
      <c r="T522" s="25"/>
      <c r="U522" s="26">
        <f>U520-U521</f>
        <v>-29385000</v>
      </c>
      <c r="V522" s="44"/>
      <c r="W522" s="55"/>
      <c r="X522" s="23"/>
      <c r="Y522" s="2"/>
    </row>
    <row r="523" spans="1:25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3"/>
      <c r="N523" s="22"/>
      <c r="O523" s="22"/>
      <c r="P523" s="22"/>
      <c r="Q523" s="22"/>
      <c r="R523" s="22"/>
      <c r="S523" s="22"/>
      <c r="T523" s="888" t="s">
        <v>165</v>
      </c>
      <c r="U523" s="26">
        <f>U520*12.5/100</f>
        <v>826875</v>
      </c>
      <c r="V523" s="42"/>
      <c r="W523" s="22"/>
      <c r="X523" s="22"/>
      <c r="Y523" s="2"/>
    </row>
    <row r="524" spans="1:25" ht="15.75" customHeight="1">
      <c r="A524" s="22"/>
      <c r="H524" s="22"/>
      <c r="I524" s="22"/>
      <c r="J524" s="22"/>
      <c r="K524" s="22"/>
      <c r="L524" s="22"/>
      <c r="M524" s="23"/>
      <c r="N524" s="22"/>
      <c r="O524" s="22"/>
      <c r="P524" s="22"/>
      <c r="Q524" s="22"/>
      <c r="R524" s="22"/>
      <c r="S524" s="22"/>
      <c r="T524" s="889"/>
      <c r="U524" s="30"/>
      <c r="V524" s="42" t="s">
        <v>282</v>
      </c>
      <c r="W524" s="22"/>
      <c r="X524" s="22"/>
      <c r="Y524" s="2"/>
    </row>
    <row r="525" spans="1:25" ht="15.75" customHeight="1">
      <c r="A525" s="22"/>
      <c r="H525" s="22"/>
      <c r="I525" s="22"/>
      <c r="J525" s="22"/>
      <c r="K525" s="22"/>
      <c r="L525" s="22"/>
      <c r="M525" s="23"/>
      <c r="N525" s="22"/>
      <c r="O525" s="22"/>
      <c r="P525" s="22"/>
      <c r="Q525" s="22"/>
      <c r="R525" s="22"/>
      <c r="S525" s="22"/>
      <c r="T525" s="42"/>
      <c r="U525" s="45">
        <f>U523+U524</f>
        <v>826875</v>
      </c>
      <c r="V525" s="42"/>
      <c r="W525" s="22"/>
      <c r="X525" s="22"/>
      <c r="Y525" s="2"/>
    </row>
    <row r="526" spans="1:25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3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"/>
    </row>
    <row r="527" spans="1:25" ht="30" customHeight="1">
      <c r="A527" s="886" t="s">
        <v>1613</v>
      </c>
      <c r="B527" s="887"/>
      <c r="C527" s="887"/>
      <c r="D527" s="887"/>
      <c r="E527" s="887"/>
      <c r="F527" s="887"/>
      <c r="G527" s="887"/>
      <c r="H527" s="887"/>
      <c r="I527" s="887"/>
      <c r="J527" s="887"/>
      <c r="K527" s="887"/>
      <c r="L527" s="887"/>
      <c r="M527" s="887"/>
      <c r="N527" s="887"/>
      <c r="O527" s="887"/>
      <c r="P527" s="887"/>
      <c r="Q527" s="887"/>
      <c r="R527" s="887"/>
      <c r="S527" s="887"/>
      <c r="T527" s="887"/>
      <c r="U527" s="887"/>
      <c r="V527" s="887"/>
      <c r="W527" s="887"/>
      <c r="X527" s="887"/>
      <c r="Y527" s="2"/>
    </row>
    <row r="528" spans="1:25" ht="25.5" customHeight="1">
      <c r="A528" s="3" t="s">
        <v>1</v>
      </c>
      <c r="B528" s="4" t="s">
        <v>1614</v>
      </c>
      <c r="C528" s="5" t="s">
        <v>1615</v>
      </c>
      <c r="D528" s="5" t="s">
        <v>4</v>
      </c>
      <c r="E528" s="5" t="s">
        <v>5</v>
      </c>
      <c r="F528" s="5" t="s">
        <v>6</v>
      </c>
      <c r="G528" s="5" t="s">
        <v>7</v>
      </c>
      <c r="H528" s="5" t="s">
        <v>1616</v>
      </c>
      <c r="I528" s="5" t="s">
        <v>9</v>
      </c>
      <c r="J528" s="5" t="s">
        <v>10</v>
      </c>
      <c r="K528" s="5" t="s">
        <v>11</v>
      </c>
      <c r="L528" s="5" t="s">
        <v>12</v>
      </c>
      <c r="M528" s="6" t="s">
        <v>13</v>
      </c>
      <c r="N528" s="5" t="s">
        <v>14</v>
      </c>
      <c r="O528" s="5" t="s">
        <v>15</v>
      </c>
      <c r="P528" s="5" t="s">
        <v>16</v>
      </c>
      <c r="Q528" s="7" t="s">
        <v>17</v>
      </c>
      <c r="R528" s="8" t="s">
        <v>18</v>
      </c>
      <c r="S528" s="8" t="s">
        <v>19</v>
      </c>
      <c r="T528" s="8" t="s">
        <v>20</v>
      </c>
      <c r="U528" s="5" t="s">
        <v>21</v>
      </c>
      <c r="V528" s="5" t="s">
        <v>22</v>
      </c>
      <c r="W528" s="5" t="s">
        <v>23</v>
      </c>
      <c r="X528" s="5" t="s">
        <v>24</v>
      </c>
      <c r="Y528" s="2"/>
    </row>
    <row r="529" spans="1:25" ht="15.75" customHeight="1">
      <c r="A529" s="807" t="s">
        <v>25</v>
      </c>
      <c r="B529" s="817"/>
      <c r="C529" s="817"/>
      <c r="D529" s="817"/>
      <c r="E529" s="817"/>
      <c r="F529" s="817"/>
      <c r="G529" s="817"/>
      <c r="H529" s="817"/>
      <c r="I529" s="817"/>
      <c r="J529" s="817"/>
      <c r="K529" s="817"/>
      <c r="L529" s="817"/>
      <c r="M529" s="817"/>
      <c r="N529" s="817"/>
      <c r="O529" s="817"/>
      <c r="P529" s="817"/>
      <c r="Q529" s="817"/>
      <c r="R529" s="817"/>
      <c r="S529" s="817"/>
      <c r="T529" s="817"/>
      <c r="U529" s="817"/>
      <c r="V529" s="817"/>
      <c r="W529" s="817"/>
      <c r="X529" s="818"/>
      <c r="Y529" s="2"/>
    </row>
    <row r="530" spans="1:25" ht="24" customHeight="1">
      <c r="A530" s="787">
        <v>1</v>
      </c>
      <c r="B530" s="787" t="s">
        <v>1375</v>
      </c>
      <c r="C530" s="787" t="s">
        <v>1617</v>
      </c>
      <c r="D530" s="787" t="s">
        <v>1618</v>
      </c>
      <c r="E530" s="787" t="s">
        <v>1619</v>
      </c>
      <c r="F530" s="787" t="s">
        <v>1620</v>
      </c>
      <c r="G530" s="787" t="s">
        <v>30</v>
      </c>
      <c r="H530" s="790" t="s">
        <v>1621</v>
      </c>
      <c r="I530" s="790" t="s">
        <v>1622</v>
      </c>
      <c r="J530" s="787" t="s">
        <v>94</v>
      </c>
      <c r="K530" s="787" t="s">
        <v>637</v>
      </c>
      <c r="L530" s="796">
        <v>44983</v>
      </c>
      <c r="M530" s="796">
        <v>44986</v>
      </c>
      <c r="N530" s="796">
        <v>44992</v>
      </c>
      <c r="O530" s="796">
        <v>44993</v>
      </c>
      <c r="P530" s="796">
        <v>44993</v>
      </c>
      <c r="Q530" s="787" t="s">
        <v>1623</v>
      </c>
      <c r="R530" s="796" t="s">
        <v>1624</v>
      </c>
      <c r="S530" s="787" t="s">
        <v>1625</v>
      </c>
      <c r="T530" s="787" t="s">
        <v>1515</v>
      </c>
      <c r="U530" s="815">
        <v>1725000</v>
      </c>
      <c r="V530" s="14">
        <v>150000</v>
      </c>
      <c r="W530" s="14" t="s">
        <v>1384</v>
      </c>
      <c r="X530" s="12">
        <v>45033</v>
      </c>
      <c r="Y530" s="2"/>
    </row>
    <row r="531" spans="1:25" ht="24" customHeight="1">
      <c r="A531" s="789"/>
      <c r="B531" s="789"/>
      <c r="C531" s="789"/>
      <c r="D531" s="789"/>
      <c r="E531" s="789"/>
      <c r="F531" s="789"/>
      <c r="G531" s="789"/>
      <c r="H531" s="789"/>
      <c r="I531" s="789"/>
      <c r="J531" s="789"/>
      <c r="K531" s="789"/>
      <c r="L531" s="789"/>
      <c r="M531" s="789"/>
      <c r="N531" s="789"/>
      <c r="O531" s="789"/>
      <c r="P531" s="789"/>
      <c r="Q531" s="789"/>
      <c r="R531" s="789"/>
      <c r="S531" s="789"/>
      <c r="T531" s="789"/>
      <c r="U531" s="815"/>
      <c r="V531" s="14">
        <v>200000</v>
      </c>
      <c r="W531" s="14" t="s">
        <v>59</v>
      </c>
      <c r="X531" s="12">
        <v>45014</v>
      </c>
      <c r="Y531" s="2"/>
    </row>
    <row r="532" spans="1:25" ht="24" customHeight="1">
      <c r="A532" s="787">
        <v>2</v>
      </c>
      <c r="B532" s="787" t="s">
        <v>1375</v>
      </c>
      <c r="C532" s="787" t="s">
        <v>1626</v>
      </c>
      <c r="D532" s="787" t="s">
        <v>1618</v>
      </c>
      <c r="E532" s="787" t="s">
        <v>1619</v>
      </c>
      <c r="F532" s="787" t="s">
        <v>1620</v>
      </c>
      <c r="G532" s="787" t="s">
        <v>30</v>
      </c>
      <c r="H532" s="790" t="s">
        <v>1627</v>
      </c>
      <c r="I532" s="790" t="s">
        <v>1628</v>
      </c>
      <c r="J532" s="787" t="s">
        <v>94</v>
      </c>
      <c r="K532" s="787" t="s">
        <v>376</v>
      </c>
      <c r="L532" s="796">
        <v>44996</v>
      </c>
      <c r="M532" s="796">
        <v>44997</v>
      </c>
      <c r="N532" s="796">
        <v>45002</v>
      </c>
      <c r="O532" s="796">
        <v>45002</v>
      </c>
      <c r="P532" s="796">
        <v>45002</v>
      </c>
      <c r="Q532" s="787" t="s">
        <v>1629</v>
      </c>
      <c r="R532" s="796" t="s">
        <v>1630</v>
      </c>
      <c r="S532" s="787" t="s">
        <v>1631</v>
      </c>
      <c r="T532" s="787" t="s">
        <v>1515</v>
      </c>
      <c r="U532" s="815">
        <v>1875000</v>
      </c>
      <c r="V532" s="14">
        <v>150000</v>
      </c>
      <c r="W532" s="14" t="s">
        <v>1384</v>
      </c>
      <c r="X532" s="12">
        <v>45033</v>
      </c>
      <c r="Y532" s="2"/>
    </row>
    <row r="533" spans="1:25" ht="24" customHeight="1">
      <c r="A533" s="789"/>
      <c r="B533" s="789"/>
      <c r="C533" s="789"/>
      <c r="D533" s="789"/>
      <c r="E533" s="789"/>
      <c r="F533" s="789"/>
      <c r="G533" s="789"/>
      <c r="H533" s="789"/>
      <c r="I533" s="789"/>
      <c r="J533" s="789"/>
      <c r="K533" s="789"/>
      <c r="L533" s="789"/>
      <c r="M533" s="789"/>
      <c r="N533" s="789"/>
      <c r="O533" s="789"/>
      <c r="P533" s="789"/>
      <c r="Q533" s="789"/>
      <c r="R533" s="789"/>
      <c r="S533" s="789"/>
      <c r="T533" s="789"/>
      <c r="U533" s="816"/>
      <c r="V533" s="14">
        <v>200000</v>
      </c>
      <c r="W533" s="14" t="s">
        <v>59</v>
      </c>
      <c r="X533" s="12">
        <v>45014</v>
      </c>
      <c r="Y533" s="2"/>
    </row>
    <row r="534" spans="1:25" ht="24" customHeight="1">
      <c r="A534" s="9">
        <v>3</v>
      </c>
      <c r="B534" s="9" t="s">
        <v>1632</v>
      </c>
      <c r="C534" s="9" t="s">
        <v>1633</v>
      </c>
      <c r="D534" s="9" t="s">
        <v>1634</v>
      </c>
      <c r="E534" s="9" t="s">
        <v>1635</v>
      </c>
      <c r="F534" s="9" t="s">
        <v>1636</v>
      </c>
      <c r="G534" s="9" t="s">
        <v>833</v>
      </c>
      <c r="H534" s="10" t="s">
        <v>1637</v>
      </c>
      <c r="I534" s="10" t="s">
        <v>1638</v>
      </c>
      <c r="J534" s="9" t="s">
        <v>1250</v>
      </c>
      <c r="K534" s="9" t="s">
        <v>1639</v>
      </c>
      <c r="L534" s="12">
        <v>44984</v>
      </c>
      <c r="M534" s="12">
        <v>44988</v>
      </c>
      <c r="N534" s="12">
        <v>44995</v>
      </c>
      <c r="O534" s="12">
        <v>44998</v>
      </c>
      <c r="P534" s="12">
        <v>44998</v>
      </c>
      <c r="Q534" s="9" t="s">
        <v>40</v>
      </c>
      <c r="R534" s="12">
        <v>45008</v>
      </c>
      <c r="S534" s="9" t="s">
        <v>1640</v>
      </c>
      <c r="T534" s="12">
        <v>45092</v>
      </c>
      <c r="U534" s="14">
        <v>5261044</v>
      </c>
      <c r="V534" s="14">
        <v>300000</v>
      </c>
      <c r="W534" s="14" t="s">
        <v>1641</v>
      </c>
      <c r="X534" s="12">
        <v>44988</v>
      </c>
      <c r="Y534" s="2"/>
    </row>
    <row r="535" spans="1:25" ht="24" customHeight="1">
      <c r="A535" s="787">
        <v>4</v>
      </c>
      <c r="B535" s="787" t="s">
        <v>1375</v>
      </c>
      <c r="C535" s="787" t="s">
        <v>1642</v>
      </c>
      <c r="D535" s="787" t="s">
        <v>25</v>
      </c>
      <c r="E535" s="787" t="s">
        <v>1643</v>
      </c>
      <c r="F535" s="787" t="s">
        <v>1644</v>
      </c>
      <c r="G535" s="787" t="s">
        <v>30</v>
      </c>
      <c r="H535" s="790" t="s">
        <v>1645</v>
      </c>
      <c r="I535" s="790" t="s">
        <v>1646</v>
      </c>
      <c r="J535" s="787" t="s">
        <v>94</v>
      </c>
      <c r="K535" s="787" t="s">
        <v>34</v>
      </c>
      <c r="L535" s="796">
        <v>44992</v>
      </c>
      <c r="M535" s="796">
        <v>45176</v>
      </c>
      <c r="N535" s="796">
        <v>44998</v>
      </c>
      <c r="O535" s="796">
        <v>44998</v>
      </c>
      <c r="P535" s="796">
        <v>44998</v>
      </c>
      <c r="Q535" s="787" t="s">
        <v>1647</v>
      </c>
      <c r="R535" s="796">
        <v>45013</v>
      </c>
      <c r="S535" s="787" t="s">
        <v>1648</v>
      </c>
      <c r="T535" s="796" t="s">
        <v>1649</v>
      </c>
      <c r="U535" s="815">
        <v>3305399.5</v>
      </c>
      <c r="V535" s="14">
        <v>1550000</v>
      </c>
      <c r="W535" s="14" t="s">
        <v>1384</v>
      </c>
      <c r="X535" s="12">
        <v>45033</v>
      </c>
      <c r="Y535" s="2"/>
    </row>
    <row r="536" spans="1:25" ht="24" customHeight="1">
      <c r="A536" s="789"/>
      <c r="B536" s="789"/>
      <c r="C536" s="789"/>
      <c r="D536" s="789"/>
      <c r="E536" s="789"/>
      <c r="F536" s="789"/>
      <c r="G536" s="789"/>
      <c r="H536" s="789"/>
      <c r="I536" s="789"/>
      <c r="J536" s="789"/>
      <c r="K536" s="789"/>
      <c r="L536" s="789"/>
      <c r="M536" s="789"/>
      <c r="N536" s="789"/>
      <c r="O536" s="789"/>
      <c r="P536" s="789"/>
      <c r="Q536" s="789"/>
      <c r="R536" s="789"/>
      <c r="S536" s="789"/>
      <c r="T536" s="789"/>
      <c r="U536" s="815"/>
      <c r="V536" s="14">
        <v>1150000</v>
      </c>
      <c r="W536" s="14" t="s">
        <v>59</v>
      </c>
      <c r="X536" s="12">
        <v>45014</v>
      </c>
      <c r="Y536" s="2"/>
    </row>
    <row r="537" spans="1:25" ht="24" customHeight="1">
      <c r="A537" s="9">
        <v>5</v>
      </c>
      <c r="B537" s="9" t="s">
        <v>1485</v>
      </c>
      <c r="C537" s="9" t="s">
        <v>1650</v>
      </c>
      <c r="D537" s="9" t="s">
        <v>1588</v>
      </c>
      <c r="E537" s="9" t="s">
        <v>1651</v>
      </c>
      <c r="F537" s="9" t="s">
        <v>1652</v>
      </c>
      <c r="G537" s="9" t="s">
        <v>1583</v>
      </c>
      <c r="H537" s="10" t="s">
        <v>1653</v>
      </c>
      <c r="I537" s="10" t="s">
        <v>1533</v>
      </c>
      <c r="J537" s="9" t="s">
        <v>1491</v>
      </c>
      <c r="K537" s="9" t="s">
        <v>501</v>
      </c>
      <c r="L537" s="12">
        <v>44986</v>
      </c>
      <c r="M537" s="12">
        <v>44993</v>
      </c>
      <c r="N537" s="12">
        <v>44994</v>
      </c>
      <c r="O537" s="12">
        <v>44994</v>
      </c>
      <c r="P537" s="12">
        <v>44995</v>
      </c>
      <c r="Q537" s="9" t="s">
        <v>1654</v>
      </c>
      <c r="R537" s="12" t="s">
        <v>1655</v>
      </c>
      <c r="S537" s="9" t="s">
        <v>40</v>
      </c>
      <c r="T537" s="12">
        <v>45072</v>
      </c>
      <c r="U537" s="14">
        <v>1850000</v>
      </c>
      <c r="V537" s="14" t="s">
        <v>40</v>
      </c>
      <c r="W537" s="14" t="s">
        <v>40</v>
      </c>
      <c r="X537" s="9" t="s">
        <v>40</v>
      </c>
      <c r="Y537" s="2"/>
    </row>
    <row r="538" spans="1:25" ht="24" customHeight="1">
      <c r="A538" s="9">
        <v>6</v>
      </c>
      <c r="B538" s="9" t="s">
        <v>1656</v>
      </c>
      <c r="C538" s="9" t="s">
        <v>1657</v>
      </c>
      <c r="D538" s="9" t="s">
        <v>1588</v>
      </c>
      <c r="E538" s="9" t="s">
        <v>1658</v>
      </c>
      <c r="F538" s="9" t="s">
        <v>1659</v>
      </c>
      <c r="G538" s="9" t="s">
        <v>270</v>
      </c>
      <c r="H538" s="10" t="s">
        <v>1660</v>
      </c>
      <c r="I538" s="10" t="s">
        <v>1661</v>
      </c>
      <c r="J538" s="9" t="s">
        <v>1208</v>
      </c>
      <c r="K538" s="9" t="s">
        <v>304</v>
      </c>
      <c r="L538" s="12">
        <v>44963</v>
      </c>
      <c r="M538" s="12">
        <v>44999</v>
      </c>
      <c r="N538" s="12">
        <v>45003</v>
      </c>
      <c r="O538" s="12">
        <v>45004</v>
      </c>
      <c r="P538" s="12">
        <v>45005</v>
      </c>
      <c r="Q538" s="9" t="s">
        <v>1662</v>
      </c>
      <c r="R538" s="12" t="s">
        <v>1655</v>
      </c>
      <c r="S538" s="9" t="s">
        <v>1663</v>
      </c>
      <c r="T538" s="12">
        <v>45019</v>
      </c>
      <c r="U538" s="14">
        <v>3575000</v>
      </c>
      <c r="V538" s="14">
        <v>1500000</v>
      </c>
      <c r="W538" s="14" t="s">
        <v>1664</v>
      </c>
      <c r="X538" s="12">
        <v>45014</v>
      </c>
      <c r="Y538" s="2"/>
    </row>
    <row r="539" spans="1:25" ht="24" customHeight="1">
      <c r="A539" s="9">
        <v>7</v>
      </c>
      <c r="B539" s="9" t="s">
        <v>1485</v>
      </c>
      <c r="C539" s="9" t="s">
        <v>1665</v>
      </c>
      <c r="D539" s="9" t="s">
        <v>1588</v>
      </c>
      <c r="E539" s="9" t="s">
        <v>1666</v>
      </c>
      <c r="F539" s="9" t="s">
        <v>1667</v>
      </c>
      <c r="G539" s="9" t="s">
        <v>71</v>
      </c>
      <c r="H539" s="10" t="s">
        <v>1668</v>
      </c>
      <c r="I539" s="10" t="s">
        <v>1669</v>
      </c>
      <c r="J539" s="9" t="s">
        <v>1670</v>
      </c>
      <c r="K539" s="9"/>
      <c r="L539" s="12">
        <v>44978</v>
      </c>
      <c r="M539" s="12">
        <v>44999</v>
      </c>
      <c r="N539" s="12">
        <v>45000</v>
      </c>
      <c r="O539" s="12">
        <v>45000</v>
      </c>
      <c r="P539" s="12">
        <v>45001</v>
      </c>
      <c r="Q539" s="9" t="s">
        <v>1671</v>
      </c>
      <c r="R539" s="12" t="s">
        <v>1655</v>
      </c>
      <c r="S539" s="70"/>
      <c r="T539" s="12">
        <v>45072</v>
      </c>
      <c r="U539" s="14">
        <v>1050000</v>
      </c>
      <c r="V539" s="14" t="s">
        <v>40</v>
      </c>
      <c r="W539" s="14" t="s">
        <v>40</v>
      </c>
      <c r="X539" s="9" t="s">
        <v>40</v>
      </c>
      <c r="Y539" s="2"/>
    </row>
    <row r="540" spans="1:25" ht="24" customHeight="1">
      <c r="A540" s="787">
        <v>8</v>
      </c>
      <c r="B540" s="787" t="s">
        <v>1375</v>
      </c>
      <c r="C540" s="787" t="s">
        <v>1672</v>
      </c>
      <c r="D540" s="787" t="s">
        <v>1618</v>
      </c>
      <c r="E540" s="787" t="s">
        <v>1673</v>
      </c>
      <c r="F540" s="787" t="s">
        <v>1674</v>
      </c>
      <c r="G540" s="787" t="s">
        <v>30</v>
      </c>
      <c r="H540" s="790" t="s">
        <v>1675</v>
      </c>
      <c r="I540" s="790" t="s">
        <v>1676</v>
      </c>
      <c r="J540" s="787" t="s">
        <v>172</v>
      </c>
      <c r="K540" s="787" t="s">
        <v>935</v>
      </c>
      <c r="L540" s="796">
        <v>44990</v>
      </c>
      <c r="M540" s="796">
        <v>45000</v>
      </c>
      <c r="N540" s="796">
        <v>45012</v>
      </c>
      <c r="O540" s="796">
        <v>45013</v>
      </c>
      <c r="P540" s="796">
        <v>45013</v>
      </c>
      <c r="Q540" s="787" t="s">
        <v>1623</v>
      </c>
      <c r="R540" s="796" t="s">
        <v>1655</v>
      </c>
      <c r="S540" s="787" t="s">
        <v>1677</v>
      </c>
      <c r="T540" s="796">
        <v>45098</v>
      </c>
      <c r="U540" s="815">
        <v>1725000</v>
      </c>
      <c r="V540" s="14">
        <v>150000</v>
      </c>
      <c r="W540" s="14" t="s">
        <v>1384</v>
      </c>
      <c r="X540" s="12">
        <v>45033</v>
      </c>
      <c r="Y540" s="2"/>
    </row>
    <row r="541" spans="1:25" ht="24" customHeight="1">
      <c r="A541" s="789"/>
      <c r="B541" s="789"/>
      <c r="C541" s="789"/>
      <c r="D541" s="789"/>
      <c r="E541" s="789"/>
      <c r="F541" s="789"/>
      <c r="G541" s="789"/>
      <c r="H541" s="789"/>
      <c r="I541" s="789"/>
      <c r="J541" s="789"/>
      <c r="K541" s="789"/>
      <c r="L541" s="789"/>
      <c r="M541" s="789"/>
      <c r="N541" s="789"/>
      <c r="O541" s="789"/>
      <c r="P541" s="789"/>
      <c r="Q541" s="789"/>
      <c r="R541" s="789"/>
      <c r="S541" s="789"/>
      <c r="T541" s="789"/>
      <c r="U541" s="816"/>
      <c r="V541" s="14">
        <v>200000</v>
      </c>
      <c r="W541" s="14" t="s">
        <v>59</v>
      </c>
      <c r="X541" s="12">
        <v>45014</v>
      </c>
      <c r="Y541" s="2"/>
    </row>
    <row r="542" spans="1:25" ht="24" customHeight="1">
      <c r="A542" s="787">
        <v>9</v>
      </c>
      <c r="B542" s="787" t="s">
        <v>1375</v>
      </c>
      <c r="C542" s="787">
        <v>914876507</v>
      </c>
      <c r="D542" s="787" t="s">
        <v>1678</v>
      </c>
      <c r="E542" s="787" t="s">
        <v>1679</v>
      </c>
      <c r="F542" s="9" t="s">
        <v>1680</v>
      </c>
      <c r="G542" s="787" t="s">
        <v>1681</v>
      </c>
      <c r="H542" s="790" t="s">
        <v>1682</v>
      </c>
      <c r="I542" s="790" t="s">
        <v>40</v>
      </c>
      <c r="J542" s="787" t="s">
        <v>66</v>
      </c>
      <c r="K542" s="787" t="s">
        <v>40</v>
      </c>
      <c r="L542" s="796">
        <v>44988</v>
      </c>
      <c r="M542" s="796">
        <v>45001</v>
      </c>
      <c r="N542" s="796" t="s">
        <v>40</v>
      </c>
      <c r="O542" s="796" t="s">
        <v>40</v>
      </c>
      <c r="P542" s="796" t="s">
        <v>40</v>
      </c>
      <c r="Q542" s="796" t="s">
        <v>40</v>
      </c>
      <c r="R542" s="796">
        <v>45009</v>
      </c>
      <c r="S542" s="787" t="s">
        <v>1683</v>
      </c>
      <c r="T542" s="796">
        <v>45026</v>
      </c>
      <c r="U542" s="815">
        <v>3112150</v>
      </c>
      <c r="V542" s="815">
        <v>1260000</v>
      </c>
      <c r="W542" s="815" t="s">
        <v>1384</v>
      </c>
      <c r="X542" s="796">
        <v>45033</v>
      </c>
      <c r="Y542" s="2"/>
    </row>
    <row r="543" spans="1:25" ht="24" customHeight="1">
      <c r="A543" s="788"/>
      <c r="B543" s="788"/>
      <c r="C543" s="788"/>
      <c r="D543" s="788"/>
      <c r="E543" s="788"/>
      <c r="F543" s="9" t="s">
        <v>1526</v>
      </c>
      <c r="G543" s="788"/>
      <c r="H543" s="788"/>
      <c r="I543" s="788"/>
      <c r="J543" s="788"/>
      <c r="K543" s="788"/>
      <c r="L543" s="788"/>
      <c r="M543" s="813"/>
      <c r="N543" s="813"/>
      <c r="O543" s="813"/>
      <c r="P543" s="813"/>
      <c r="Q543" s="813"/>
      <c r="R543" s="813"/>
      <c r="S543" s="788"/>
      <c r="T543" s="788"/>
      <c r="U543" s="815"/>
      <c r="V543" s="816"/>
      <c r="W543" s="816"/>
      <c r="X543" s="839"/>
      <c r="Y543" s="2"/>
    </row>
    <row r="544" spans="1:25" ht="24" customHeight="1">
      <c r="A544" s="794"/>
      <c r="B544" s="794"/>
      <c r="C544" s="794"/>
      <c r="D544" s="794"/>
      <c r="E544" s="794"/>
      <c r="F544" s="62" t="s">
        <v>1527</v>
      </c>
      <c r="G544" s="794"/>
      <c r="H544" s="794"/>
      <c r="I544" s="794"/>
      <c r="J544" s="794"/>
      <c r="K544" s="794"/>
      <c r="L544" s="794"/>
      <c r="M544" s="794"/>
      <c r="N544" s="794"/>
      <c r="O544" s="794"/>
      <c r="P544" s="794"/>
      <c r="Q544" s="794"/>
      <c r="R544" s="794"/>
      <c r="S544" s="794"/>
      <c r="T544" s="794"/>
      <c r="U544" s="815"/>
      <c r="V544" s="20">
        <v>1000000</v>
      </c>
      <c r="W544" s="20" t="s">
        <v>59</v>
      </c>
      <c r="X544" s="12">
        <v>45014</v>
      </c>
      <c r="Y544" s="2"/>
    </row>
    <row r="545" spans="1:25" ht="24" customHeight="1">
      <c r="A545" s="9">
        <v>10</v>
      </c>
      <c r="B545" s="9" t="s">
        <v>749</v>
      </c>
      <c r="C545" s="9" t="s">
        <v>1684</v>
      </c>
      <c r="D545" s="9" t="s">
        <v>1599</v>
      </c>
      <c r="E545" s="9" t="s">
        <v>1572</v>
      </c>
      <c r="F545" s="9" t="s">
        <v>1685</v>
      </c>
      <c r="G545" s="9" t="s">
        <v>270</v>
      </c>
      <c r="H545" s="10" t="s">
        <v>1686</v>
      </c>
      <c r="I545" s="10" t="s">
        <v>1687</v>
      </c>
      <c r="J545" s="9" t="s">
        <v>1688</v>
      </c>
      <c r="K545" s="9" t="s">
        <v>99</v>
      </c>
      <c r="L545" s="12">
        <v>44990</v>
      </c>
      <c r="M545" s="12">
        <v>45009</v>
      </c>
      <c r="N545" s="12" t="s">
        <v>1689</v>
      </c>
      <c r="O545" s="12">
        <v>45013</v>
      </c>
      <c r="P545" s="12">
        <v>45013</v>
      </c>
      <c r="Q545" s="9" t="s">
        <v>1690</v>
      </c>
      <c r="R545" s="12" t="s">
        <v>1655</v>
      </c>
      <c r="S545" s="9" t="s">
        <v>1691</v>
      </c>
      <c r="T545" s="12">
        <v>45077</v>
      </c>
      <c r="U545" s="14">
        <v>1815000</v>
      </c>
      <c r="V545" s="14">
        <v>400000</v>
      </c>
      <c r="W545" s="14" t="s">
        <v>1606</v>
      </c>
      <c r="X545" s="12">
        <v>45006</v>
      </c>
      <c r="Y545" s="2"/>
    </row>
    <row r="546" spans="1:25" ht="24" customHeight="1">
      <c r="A546" s="787">
        <v>11</v>
      </c>
      <c r="B546" s="787" t="s">
        <v>1375</v>
      </c>
      <c r="C546" s="787" t="s">
        <v>1692</v>
      </c>
      <c r="D546" s="787" t="s">
        <v>25</v>
      </c>
      <c r="E546" s="787" t="s">
        <v>1693</v>
      </c>
      <c r="F546" s="787" t="s">
        <v>1694</v>
      </c>
      <c r="G546" s="787" t="s">
        <v>30</v>
      </c>
      <c r="H546" s="790" t="s">
        <v>1695</v>
      </c>
      <c r="I546" s="790" t="s">
        <v>1696</v>
      </c>
      <c r="J546" s="787" t="s">
        <v>1688</v>
      </c>
      <c r="K546" s="787" t="s">
        <v>1697</v>
      </c>
      <c r="L546" s="796">
        <v>44999</v>
      </c>
      <c r="M546" s="796">
        <v>45010</v>
      </c>
      <c r="N546" s="796">
        <v>45013</v>
      </c>
      <c r="O546" s="796">
        <v>45015</v>
      </c>
      <c r="P546" s="796">
        <v>45015</v>
      </c>
      <c r="Q546" s="787" t="s">
        <v>1629</v>
      </c>
      <c r="R546" s="796">
        <v>45026</v>
      </c>
      <c r="S546" s="787" t="s">
        <v>1698</v>
      </c>
      <c r="T546" s="796">
        <v>45098</v>
      </c>
      <c r="U546" s="815">
        <v>1775000</v>
      </c>
      <c r="V546" s="14">
        <v>150000</v>
      </c>
      <c r="W546" s="14" t="s">
        <v>1384</v>
      </c>
      <c r="X546" s="12">
        <v>45033</v>
      </c>
      <c r="Y546" s="2"/>
    </row>
    <row r="547" spans="1:25" ht="24" customHeight="1">
      <c r="A547" s="789"/>
      <c r="B547" s="789"/>
      <c r="C547" s="789"/>
      <c r="D547" s="789"/>
      <c r="E547" s="789"/>
      <c r="F547" s="789"/>
      <c r="G547" s="789"/>
      <c r="H547" s="789"/>
      <c r="I547" s="789"/>
      <c r="J547" s="789"/>
      <c r="K547" s="789"/>
      <c r="L547" s="789"/>
      <c r="M547" s="789"/>
      <c r="N547" s="789"/>
      <c r="O547" s="789"/>
      <c r="P547" s="789"/>
      <c r="Q547" s="789"/>
      <c r="R547" s="789"/>
      <c r="S547" s="789"/>
      <c r="T547" s="789"/>
      <c r="U547" s="815"/>
      <c r="V547" s="14">
        <v>200000</v>
      </c>
      <c r="W547" s="14" t="s">
        <v>59</v>
      </c>
      <c r="X547" s="12">
        <v>45014</v>
      </c>
      <c r="Y547" s="2"/>
    </row>
    <row r="548" spans="1:25" ht="24" customHeight="1">
      <c r="A548" s="9">
        <v>12</v>
      </c>
      <c r="B548" s="9" t="s">
        <v>749</v>
      </c>
      <c r="C548" s="9" t="s">
        <v>1699</v>
      </c>
      <c r="D548" s="9" t="s">
        <v>1599</v>
      </c>
      <c r="E548" s="9" t="s">
        <v>1700</v>
      </c>
      <c r="F548" s="9" t="s">
        <v>1685</v>
      </c>
      <c r="G548" s="9" t="s">
        <v>270</v>
      </c>
      <c r="H548" s="10" t="s">
        <v>1701</v>
      </c>
      <c r="I548" s="10" t="s">
        <v>1638</v>
      </c>
      <c r="J548" s="9" t="s">
        <v>1688</v>
      </c>
      <c r="K548" s="9" t="s">
        <v>304</v>
      </c>
      <c r="L548" s="12">
        <v>44990</v>
      </c>
      <c r="M548" s="12">
        <v>45012</v>
      </c>
      <c r="N548" s="12">
        <v>45013</v>
      </c>
      <c r="O548" s="12">
        <v>45014</v>
      </c>
      <c r="P548" s="12">
        <v>45014</v>
      </c>
      <c r="Q548" s="9" t="s">
        <v>1690</v>
      </c>
      <c r="R548" s="12" t="s">
        <v>1655</v>
      </c>
      <c r="S548" s="9" t="s">
        <v>1702</v>
      </c>
      <c r="T548" s="12">
        <v>45092</v>
      </c>
      <c r="U548" s="14">
        <v>2865000</v>
      </c>
      <c r="V548" s="14">
        <v>400000</v>
      </c>
      <c r="W548" s="14" t="s">
        <v>1606</v>
      </c>
      <c r="X548" s="12">
        <v>44996</v>
      </c>
      <c r="Y548" s="2"/>
    </row>
    <row r="549" spans="1:25" ht="24" customHeight="1">
      <c r="A549" s="850" t="s">
        <v>128</v>
      </c>
      <c r="B549" s="865"/>
      <c r="C549" s="865"/>
      <c r="D549" s="865"/>
      <c r="E549" s="865"/>
      <c r="F549" s="865"/>
      <c r="G549" s="865"/>
      <c r="H549" s="865"/>
      <c r="I549" s="865"/>
      <c r="J549" s="865"/>
      <c r="K549" s="865"/>
      <c r="L549" s="865"/>
      <c r="M549" s="865"/>
      <c r="N549" s="865"/>
      <c r="O549" s="865"/>
      <c r="P549" s="865"/>
      <c r="Q549" s="865"/>
      <c r="R549" s="865"/>
      <c r="S549" s="865"/>
      <c r="T549" s="865"/>
      <c r="U549" s="865"/>
      <c r="V549" s="865"/>
      <c r="W549" s="865"/>
      <c r="X549" s="866"/>
      <c r="Y549" s="2"/>
    </row>
    <row r="550" spans="1:25" ht="24" customHeight="1">
      <c r="A550" s="47">
        <v>13</v>
      </c>
      <c r="B550" s="47" t="s">
        <v>45</v>
      </c>
      <c r="C550" s="47" t="s">
        <v>1703</v>
      </c>
      <c r="D550" s="47" t="s">
        <v>128</v>
      </c>
      <c r="E550" s="47" t="s">
        <v>1402</v>
      </c>
      <c r="F550" s="47" t="s">
        <v>1704</v>
      </c>
      <c r="G550" s="47" t="s">
        <v>71</v>
      </c>
      <c r="H550" s="73" t="s">
        <v>1705</v>
      </c>
      <c r="I550" s="73" t="s">
        <v>1706</v>
      </c>
      <c r="J550" s="47" t="s">
        <v>533</v>
      </c>
      <c r="K550" s="47" t="s">
        <v>1707</v>
      </c>
      <c r="L550" s="56">
        <v>45000</v>
      </c>
      <c r="M550" s="56">
        <v>45003</v>
      </c>
      <c r="N550" s="971" t="s">
        <v>1708</v>
      </c>
      <c r="O550" s="865"/>
      <c r="P550" s="866"/>
      <c r="Q550" s="47" t="s">
        <v>1709</v>
      </c>
      <c r="R550" s="56" t="s">
        <v>1655</v>
      </c>
      <c r="S550" s="47" t="s">
        <v>1710</v>
      </c>
      <c r="T550" s="56">
        <v>45056</v>
      </c>
      <c r="U550" s="61">
        <v>4010340</v>
      </c>
      <c r="V550" s="20">
        <v>2100000</v>
      </c>
      <c r="W550" s="20" t="s">
        <v>290</v>
      </c>
      <c r="X550" s="40">
        <v>45079</v>
      </c>
      <c r="Y550" s="2"/>
    </row>
    <row r="551" spans="1:25" ht="24" customHeight="1">
      <c r="A551" s="9">
        <v>14</v>
      </c>
      <c r="B551" s="9" t="s">
        <v>1711</v>
      </c>
      <c r="C551" s="9" t="s">
        <v>1712</v>
      </c>
      <c r="D551" s="9" t="s">
        <v>1713</v>
      </c>
      <c r="E551" s="9" t="s">
        <v>1487</v>
      </c>
      <c r="F551" s="9" t="s">
        <v>1714</v>
      </c>
      <c r="G551" s="9" t="s">
        <v>1715</v>
      </c>
      <c r="H551" s="10" t="s">
        <v>1716</v>
      </c>
      <c r="I551" s="10" t="s">
        <v>1717</v>
      </c>
      <c r="J551" s="9" t="s">
        <v>1718</v>
      </c>
      <c r="K551" s="9" t="s">
        <v>159</v>
      </c>
      <c r="L551" s="12">
        <v>45008</v>
      </c>
      <c r="M551" s="12">
        <v>45042</v>
      </c>
      <c r="N551" s="846" t="s">
        <v>1719</v>
      </c>
      <c r="O551" s="847"/>
      <c r="P551" s="848"/>
      <c r="Q551" s="9" t="s">
        <v>1720</v>
      </c>
      <c r="R551" s="12">
        <v>45014</v>
      </c>
      <c r="S551" s="9" t="s">
        <v>1721</v>
      </c>
      <c r="T551" s="12">
        <v>45028</v>
      </c>
      <c r="U551" s="14">
        <v>6353480</v>
      </c>
      <c r="V551" s="14" t="s">
        <v>40</v>
      </c>
      <c r="W551" s="14" t="s">
        <v>40</v>
      </c>
      <c r="X551" s="9" t="s">
        <v>40</v>
      </c>
      <c r="Y551" s="2"/>
    </row>
    <row r="552" spans="1:25" ht="24" customHeight="1">
      <c r="A552" s="66">
        <v>15</v>
      </c>
      <c r="B552" s="66" t="s">
        <v>45</v>
      </c>
      <c r="C552" s="66" t="s">
        <v>1722</v>
      </c>
      <c r="D552" s="66" t="s">
        <v>128</v>
      </c>
      <c r="E552" s="66" t="s">
        <v>1723</v>
      </c>
      <c r="F552" s="66" t="s">
        <v>1724</v>
      </c>
      <c r="G552" s="66" t="s">
        <v>30</v>
      </c>
      <c r="H552" s="67" t="s">
        <v>1725</v>
      </c>
      <c r="I552" s="67" t="s">
        <v>1726</v>
      </c>
      <c r="J552" s="66" t="s">
        <v>149</v>
      </c>
      <c r="K552" s="66" t="s">
        <v>1727</v>
      </c>
      <c r="L552" s="68">
        <v>45008</v>
      </c>
      <c r="M552" s="68">
        <v>45012</v>
      </c>
      <c r="N552" s="800" t="s">
        <v>1728</v>
      </c>
      <c r="O552" s="863"/>
      <c r="P552" s="864"/>
      <c r="Q552" s="66" t="s">
        <v>1729</v>
      </c>
      <c r="R552" s="68" t="s">
        <v>1655</v>
      </c>
      <c r="S552" s="66" t="s">
        <v>1730</v>
      </c>
      <c r="T552" s="68">
        <v>45056</v>
      </c>
      <c r="U552" s="69">
        <v>2964190</v>
      </c>
      <c r="V552" s="14">
        <v>2113860</v>
      </c>
      <c r="W552" s="14" t="s">
        <v>290</v>
      </c>
      <c r="X552" s="12">
        <v>45079</v>
      </c>
      <c r="Y552" s="2"/>
    </row>
    <row r="553" spans="1:25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4"/>
      <c r="M553" s="24"/>
      <c r="N553" s="24"/>
      <c r="O553" s="24"/>
      <c r="P553" s="24"/>
      <c r="Q553" s="22"/>
      <c r="R553" s="22"/>
      <c r="S553" s="22"/>
      <c r="T553" s="25" t="s">
        <v>163</v>
      </c>
      <c r="U553" s="26">
        <f>SUM(U530:U552)</f>
        <v>43261603.5</v>
      </c>
      <c r="V553" s="26"/>
      <c r="W553" s="29"/>
      <c r="X553" s="22"/>
      <c r="Y553" s="2"/>
    </row>
    <row r="554" spans="1:25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4"/>
      <c r="M554" s="24"/>
      <c r="N554" s="24"/>
      <c r="O554" s="24"/>
      <c r="P554" s="24"/>
      <c r="Q554" s="22"/>
      <c r="R554" s="22"/>
      <c r="S554" s="22"/>
      <c r="T554" s="25" t="s">
        <v>544</v>
      </c>
      <c r="U554" s="30">
        <v>36000000</v>
      </c>
      <c r="V554" s="44"/>
      <c r="W554" s="29"/>
      <c r="X554" s="22"/>
      <c r="Y554" s="2"/>
    </row>
    <row r="555" spans="1:2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3"/>
      <c r="N555" s="22"/>
      <c r="O555" s="22"/>
      <c r="P555" s="22"/>
      <c r="Q555" s="22"/>
      <c r="R555" s="22"/>
      <c r="S555" s="22"/>
      <c r="T555" s="25" t="s">
        <v>165</v>
      </c>
      <c r="U555" s="26">
        <f>U553*12.5/100</f>
        <v>5407700.4375</v>
      </c>
      <c r="V555" s="42"/>
      <c r="W555" s="22"/>
      <c r="X555" s="22"/>
      <c r="Y555" s="2"/>
    </row>
    <row r="556" spans="1:25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3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"/>
    </row>
    <row r="557" spans="1:25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3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"/>
    </row>
    <row r="558" spans="1:25" s="59" customFormat="1" ht="31.5" customHeight="1">
      <c r="A558" s="861" t="s">
        <v>1731</v>
      </c>
      <c r="B558" s="862"/>
      <c r="C558" s="862"/>
      <c r="D558" s="862"/>
      <c r="E558" s="862"/>
      <c r="F558" s="862"/>
      <c r="G558" s="862"/>
      <c r="H558" s="862"/>
      <c r="I558" s="862"/>
      <c r="J558" s="862"/>
      <c r="K558" s="862"/>
      <c r="L558" s="862"/>
      <c r="M558" s="862"/>
      <c r="N558" s="862"/>
      <c r="O558" s="862"/>
      <c r="P558" s="862"/>
      <c r="Q558" s="862"/>
      <c r="R558" s="862"/>
      <c r="S558" s="862"/>
      <c r="T558" s="862"/>
      <c r="U558" s="862"/>
      <c r="V558" s="862"/>
      <c r="W558" s="862"/>
      <c r="X558" s="862"/>
      <c r="Y558" s="60"/>
    </row>
    <row r="559" spans="1:25" s="74" customFormat="1" ht="29.25" customHeight="1">
      <c r="A559" s="75" t="s">
        <v>1</v>
      </c>
      <c r="B559" s="76" t="s">
        <v>2</v>
      </c>
      <c r="C559" s="77" t="s">
        <v>3</v>
      </c>
      <c r="D559" s="77" t="s">
        <v>4</v>
      </c>
      <c r="E559" s="77" t="s">
        <v>5</v>
      </c>
      <c r="F559" s="77" t="s">
        <v>6</v>
      </c>
      <c r="G559" s="77" t="s">
        <v>7</v>
      </c>
      <c r="H559" s="77" t="s">
        <v>167</v>
      </c>
      <c r="I559" s="77" t="s">
        <v>9</v>
      </c>
      <c r="J559" s="77" t="s">
        <v>10</v>
      </c>
      <c r="K559" s="77" t="s">
        <v>11</v>
      </c>
      <c r="L559" s="77" t="s">
        <v>12</v>
      </c>
      <c r="M559" s="78" t="s">
        <v>13</v>
      </c>
      <c r="N559" s="77" t="s">
        <v>14</v>
      </c>
      <c r="O559" s="77" t="s">
        <v>15</v>
      </c>
      <c r="P559" s="77" t="s">
        <v>16</v>
      </c>
      <c r="Q559" s="79" t="s">
        <v>17</v>
      </c>
      <c r="R559" s="80" t="s">
        <v>18</v>
      </c>
      <c r="S559" s="80" t="s">
        <v>19</v>
      </c>
      <c r="T559" s="80" t="s">
        <v>20</v>
      </c>
      <c r="U559" s="77" t="s">
        <v>21</v>
      </c>
      <c r="V559" s="77" t="s">
        <v>22</v>
      </c>
      <c r="W559" s="77" t="s">
        <v>23</v>
      </c>
      <c r="X559" s="77" t="s">
        <v>24</v>
      </c>
      <c r="Y559" s="81"/>
    </row>
    <row r="560" spans="1:25" s="59" customFormat="1" ht="15.75" customHeight="1">
      <c r="A560" s="807" t="s">
        <v>25</v>
      </c>
      <c r="B560" s="808"/>
      <c r="C560" s="808"/>
      <c r="D560" s="808"/>
      <c r="E560" s="808"/>
      <c r="F560" s="808"/>
      <c r="G560" s="808"/>
      <c r="H560" s="808"/>
      <c r="I560" s="808"/>
      <c r="J560" s="808"/>
      <c r="K560" s="808"/>
      <c r="L560" s="808"/>
      <c r="M560" s="808"/>
      <c r="N560" s="808"/>
      <c r="O560" s="808"/>
      <c r="P560" s="808"/>
      <c r="Q560" s="808"/>
      <c r="R560" s="808"/>
      <c r="S560" s="808"/>
      <c r="T560" s="808"/>
      <c r="U560" s="808"/>
      <c r="V560" s="808"/>
      <c r="W560" s="808"/>
      <c r="X560" s="809"/>
      <c r="Y560" s="60"/>
    </row>
    <row r="561" spans="1:25" s="59" customFormat="1" ht="27.75" customHeight="1">
      <c r="A561" s="787"/>
      <c r="B561" s="787" t="s">
        <v>1375</v>
      </c>
      <c r="C561" s="787" t="s">
        <v>1732</v>
      </c>
      <c r="D561" s="787" t="s">
        <v>1733</v>
      </c>
      <c r="E561" s="787" t="s">
        <v>1734</v>
      </c>
      <c r="F561" s="787" t="s">
        <v>1735</v>
      </c>
      <c r="G561" s="787" t="s">
        <v>270</v>
      </c>
      <c r="H561" s="790" t="s">
        <v>1736</v>
      </c>
      <c r="I561" s="790" t="s">
        <v>1737</v>
      </c>
      <c r="J561" s="787" t="s">
        <v>94</v>
      </c>
      <c r="K561" s="787" t="s">
        <v>1738</v>
      </c>
      <c r="L561" s="796">
        <v>45013</v>
      </c>
      <c r="M561" s="796">
        <v>45017</v>
      </c>
      <c r="N561" s="796">
        <v>45029</v>
      </c>
      <c r="O561" s="796">
        <v>45030</v>
      </c>
      <c r="P561" s="796">
        <v>45030</v>
      </c>
      <c r="Q561" s="787" t="s">
        <v>1604</v>
      </c>
      <c r="R561" s="796" t="s">
        <v>1739</v>
      </c>
      <c r="S561" s="787" t="s">
        <v>1740</v>
      </c>
      <c r="T561" s="796">
        <v>45117</v>
      </c>
      <c r="U561" s="815">
        <v>6519989</v>
      </c>
      <c r="V561" s="14">
        <v>1550000</v>
      </c>
      <c r="W561" s="14" t="s">
        <v>1384</v>
      </c>
      <c r="X561" s="12">
        <v>45033</v>
      </c>
      <c r="Y561" s="60"/>
    </row>
    <row r="562" spans="1:25" s="59" customFormat="1" ht="27.75" customHeight="1">
      <c r="A562" s="794"/>
      <c r="B562" s="794"/>
      <c r="C562" s="794"/>
      <c r="D562" s="794"/>
      <c r="E562" s="794"/>
      <c r="F562" s="794"/>
      <c r="G562" s="794"/>
      <c r="H562" s="794"/>
      <c r="I562" s="794"/>
      <c r="J562" s="794"/>
      <c r="K562" s="794"/>
      <c r="L562" s="794"/>
      <c r="M562" s="794"/>
      <c r="N562" s="794"/>
      <c r="O562" s="794"/>
      <c r="P562" s="794"/>
      <c r="Q562" s="794"/>
      <c r="R562" s="794"/>
      <c r="S562" s="794"/>
      <c r="T562" s="794"/>
      <c r="U562" s="815"/>
      <c r="V562" s="14">
        <v>1000000</v>
      </c>
      <c r="W562" s="14" t="s">
        <v>59</v>
      </c>
      <c r="X562" s="12">
        <v>45052</v>
      </c>
      <c r="Y562" s="60"/>
    </row>
    <row r="563" spans="1:25" s="59" customFormat="1" ht="27.75" customHeight="1">
      <c r="A563" s="13"/>
      <c r="B563" s="13" t="s">
        <v>45</v>
      </c>
      <c r="C563" s="13" t="s">
        <v>1741</v>
      </c>
      <c r="D563" s="13" t="s">
        <v>1742</v>
      </c>
      <c r="E563" s="13" t="s">
        <v>1743</v>
      </c>
      <c r="F563" s="13" t="s">
        <v>1744</v>
      </c>
      <c r="G563" s="13" t="s">
        <v>71</v>
      </c>
      <c r="H563" s="16" t="s">
        <v>1745</v>
      </c>
      <c r="I563" s="16" t="s">
        <v>1746</v>
      </c>
      <c r="J563" s="13" t="s">
        <v>66</v>
      </c>
      <c r="K563" s="13" t="s">
        <v>304</v>
      </c>
      <c r="L563" s="17">
        <v>45007</v>
      </c>
      <c r="M563" s="17">
        <v>45019</v>
      </c>
      <c r="N563" s="17">
        <v>45020</v>
      </c>
      <c r="O563" s="17">
        <v>45020</v>
      </c>
      <c r="P563" s="17">
        <v>45021</v>
      </c>
      <c r="Q563" s="13" t="s">
        <v>1747</v>
      </c>
      <c r="R563" s="17" t="s">
        <v>40</v>
      </c>
      <c r="S563" s="13" t="s">
        <v>40</v>
      </c>
      <c r="T563" s="17">
        <v>45056</v>
      </c>
      <c r="U563" s="19">
        <v>6762500</v>
      </c>
      <c r="V563" s="14">
        <v>2030000</v>
      </c>
      <c r="W563" s="14" t="s">
        <v>290</v>
      </c>
      <c r="X563" s="12">
        <v>45056</v>
      </c>
      <c r="Y563" s="60"/>
    </row>
    <row r="564" spans="1:25" s="59" customFormat="1" ht="15.75" customHeight="1">
      <c r="A564" s="787"/>
      <c r="B564" s="787" t="s">
        <v>1375</v>
      </c>
      <c r="C564" s="787" t="s">
        <v>1748</v>
      </c>
      <c r="D564" s="787" t="s">
        <v>1678</v>
      </c>
      <c r="E564" s="787" t="s">
        <v>1749</v>
      </c>
      <c r="F564" s="9" t="s">
        <v>1750</v>
      </c>
      <c r="G564" s="787" t="s">
        <v>1751</v>
      </c>
      <c r="H564" s="790" t="s">
        <v>1752</v>
      </c>
      <c r="I564" s="790" t="s">
        <v>40</v>
      </c>
      <c r="J564" s="787" t="s">
        <v>66</v>
      </c>
      <c r="K564" s="787" t="s">
        <v>40</v>
      </c>
      <c r="L564" s="796">
        <v>45008</v>
      </c>
      <c r="M564" s="796">
        <v>45019</v>
      </c>
      <c r="N564" s="796" t="s">
        <v>40</v>
      </c>
      <c r="O564" s="796" t="s">
        <v>40</v>
      </c>
      <c r="P564" s="796" t="s">
        <v>40</v>
      </c>
      <c r="Q564" s="796" t="s">
        <v>40</v>
      </c>
      <c r="R564" s="796">
        <v>45026</v>
      </c>
      <c r="S564" s="787" t="s">
        <v>1753</v>
      </c>
      <c r="T564" s="796">
        <v>45174</v>
      </c>
      <c r="U564" s="815">
        <v>6927010</v>
      </c>
      <c r="V564" s="815">
        <v>700000</v>
      </c>
      <c r="W564" s="815" t="s">
        <v>1384</v>
      </c>
      <c r="X564" s="796">
        <v>45033</v>
      </c>
      <c r="Y564" s="60"/>
    </row>
    <row r="565" spans="1:25" s="59" customFormat="1" ht="15.75" customHeight="1">
      <c r="A565" s="788"/>
      <c r="B565" s="788"/>
      <c r="C565" s="788"/>
      <c r="D565" s="788"/>
      <c r="E565" s="788"/>
      <c r="F565" s="9" t="s">
        <v>1754</v>
      </c>
      <c r="G565" s="788"/>
      <c r="H565" s="788"/>
      <c r="I565" s="788"/>
      <c r="J565" s="788"/>
      <c r="K565" s="788"/>
      <c r="L565" s="788"/>
      <c r="M565" s="813"/>
      <c r="N565" s="813"/>
      <c r="O565" s="813"/>
      <c r="P565" s="813"/>
      <c r="Q565" s="813"/>
      <c r="R565" s="813"/>
      <c r="S565" s="788"/>
      <c r="T565" s="788"/>
      <c r="U565" s="815"/>
      <c r="V565" s="816"/>
      <c r="W565" s="816"/>
      <c r="X565" s="839"/>
      <c r="Y565" s="60"/>
    </row>
    <row r="566" spans="1:25" s="59" customFormat="1" ht="15.75" customHeight="1">
      <c r="A566" s="788"/>
      <c r="B566" s="788"/>
      <c r="C566" s="788"/>
      <c r="D566" s="788"/>
      <c r="E566" s="788"/>
      <c r="F566" s="9" t="s">
        <v>1755</v>
      </c>
      <c r="G566" s="788"/>
      <c r="H566" s="788"/>
      <c r="I566" s="788"/>
      <c r="J566" s="788"/>
      <c r="K566" s="788"/>
      <c r="L566" s="788"/>
      <c r="M566" s="813"/>
      <c r="N566" s="813"/>
      <c r="O566" s="813"/>
      <c r="P566" s="813"/>
      <c r="Q566" s="813"/>
      <c r="R566" s="813"/>
      <c r="S566" s="788"/>
      <c r="T566" s="788"/>
      <c r="U566" s="815"/>
      <c r="V566" s="815">
        <v>300000</v>
      </c>
      <c r="W566" s="815" t="s">
        <v>59</v>
      </c>
      <c r="X566" s="796">
        <v>45052</v>
      </c>
      <c r="Y566" s="60"/>
    </row>
    <row r="567" spans="1:25" s="59" customFormat="1" ht="15.75" customHeight="1">
      <c r="A567" s="788"/>
      <c r="B567" s="788"/>
      <c r="C567" s="788"/>
      <c r="D567" s="788"/>
      <c r="E567" s="788"/>
      <c r="F567" s="9" t="s">
        <v>1756</v>
      </c>
      <c r="G567" s="788"/>
      <c r="H567" s="788"/>
      <c r="I567" s="788"/>
      <c r="J567" s="788"/>
      <c r="K567" s="788"/>
      <c r="L567" s="788"/>
      <c r="M567" s="813"/>
      <c r="N567" s="813"/>
      <c r="O567" s="813"/>
      <c r="P567" s="813"/>
      <c r="Q567" s="813"/>
      <c r="R567" s="813"/>
      <c r="S567" s="788"/>
      <c r="T567" s="788"/>
      <c r="U567" s="815"/>
      <c r="V567" s="845"/>
      <c r="W567" s="845"/>
      <c r="X567" s="813"/>
      <c r="Y567" s="60"/>
    </row>
    <row r="568" spans="1:25" s="59" customFormat="1" ht="15.75" customHeight="1">
      <c r="A568" s="794"/>
      <c r="B568" s="794"/>
      <c r="C568" s="794"/>
      <c r="D568" s="794"/>
      <c r="E568" s="794"/>
      <c r="F568" s="62" t="s">
        <v>1757</v>
      </c>
      <c r="G568" s="794"/>
      <c r="H568" s="794"/>
      <c r="I568" s="794"/>
      <c r="J568" s="794"/>
      <c r="K568" s="794"/>
      <c r="L568" s="794"/>
      <c r="M568" s="794"/>
      <c r="N568" s="794"/>
      <c r="O568" s="794"/>
      <c r="P568" s="794"/>
      <c r="Q568" s="794"/>
      <c r="R568" s="794"/>
      <c r="S568" s="794"/>
      <c r="T568" s="794"/>
      <c r="U568" s="815"/>
      <c r="V568" s="816"/>
      <c r="W568" s="816"/>
      <c r="X568" s="839"/>
      <c r="Y568" s="60"/>
    </row>
    <row r="569" spans="1:25" s="82" customFormat="1" ht="27.75" customHeight="1">
      <c r="A569" s="83"/>
      <c r="B569" s="83" t="s">
        <v>1758</v>
      </c>
      <c r="C569" s="83" t="s">
        <v>1759</v>
      </c>
      <c r="D569" s="83" t="s">
        <v>1588</v>
      </c>
      <c r="E569" s="83" t="s">
        <v>1760</v>
      </c>
      <c r="F569" s="83" t="s">
        <v>1761</v>
      </c>
      <c r="G569" s="83" t="s">
        <v>833</v>
      </c>
      <c r="H569" s="83" t="s">
        <v>1762</v>
      </c>
      <c r="I569" s="84" t="s">
        <v>1763</v>
      </c>
      <c r="J569" s="83" t="s">
        <v>1764</v>
      </c>
      <c r="K569" s="83" t="s">
        <v>1765</v>
      </c>
      <c r="L569" s="85">
        <v>45020</v>
      </c>
      <c r="M569" s="85">
        <v>45023</v>
      </c>
      <c r="N569" s="40">
        <v>45026</v>
      </c>
      <c r="O569" s="40">
        <v>45026</v>
      </c>
      <c r="P569" s="40">
        <v>45026</v>
      </c>
      <c r="Q569" s="83" t="s">
        <v>1766</v>
      </c>
      <c r="R569" s="85">
        <v>45029</v>
      </c>
      <c r="S569" s="83" t="s">
        <v>1767</v>
      </c>
      <c r="T569" s="85">
        <v>45030</v>
      </c>
      <c r="U569" s="14">
        <v>1260500</v>
      </c>
      <c r="V569" s="14" t="s">
        <v>40</v>
      </c>
      <c r="W569" s="14" t="s">
        <v>40</v>
      </c>
      <c r="X569" s="12" t="s">
        <v>40</v>
      </c>
      <c r="Y569" s="86"/>
    </row>
    <row r="570" spans="1:25" s="59" customFormat="1" ht="27.75" customHeight="1">
      <c r="A570" s="13"/>
      <c r="B570" s="13" t="s">
        <v>45</v>
      </c>
      <c r="C570" s="13" t="s">
        <v>1768</v>
      </c>
      <c r="D570" s="13" t="s">
        <v>1742</v>
      </c>
      <c r="E570" s="13" t="s">
        <v>1743</v>
      </c>
      <c r="F570" s="13" t="s">
        <v>1744</v>
      </c>
      <c r="G570" s="13" t="s">
        <v>71</v>
      </c>
      <c r="H570" s="16" t="s">
        <v>1769</v>
      </c>
      <c r="I570" s="16" t="s">
        <v>1770</v>
      </c>
      <c r="J570" s="13" t="s">
        <v>365</v>
      </c>
      <c r="K570" s="13" t="s">
        <v>1771</v>
      </c>
      <c r="L570" s="17">
        <v>45023</v>
      </c>
      <c r="M570" s="17">
        <v>45025</v>
      </c>
      <c r="N570" s="17">
        <v>45026</v>
      </c>
      <c r="O570" s="17">
        <v>45027</v>
      </c>
      <c r="P570" s="17">
        <v>45027</v>
      </c>
      <c r="Q570" s="13" t="s">
        <v>1772</v>
      </c>
      <c r="R570" s="17">
        <v>45033</v>
      </c>
      <c r="S570" s="13" t="s">
        <v>1773</v>
      </c>
      <c r="T570" s="17">
        <v>45056</v>
      </c>
      <c r="U570" s="19">
        <v>52924400</v>
      </c>
      <c r="V570" s="14">
        <v>52108000</v>
      </c>
      <c r="W570" s="14" t="s">
        <v>290</v>
      </c>
      <c r="X570" s="12">
        <v>45058</v>
      </c>
      <c r="Y570" s="87"/>
    </row>
    <row r="571" spans="1:25" ht="24" customHeight="1">
      <c r="A571" s="9"/>
      <c r="B571" s="9" t="s">
        <v>1485</v>
      </c>
      <c r="C571" s="9" t="s">
        <v>1774</v>
      </c>
      <c r="D571" s="9" t="s">
        <v>1588</v>
      </c>
      <c r="E571" s="9" t="s">
        <v>1651</v>
      </c>
      <c r="F571" s="9" t="s">
        <v>1775</v>
      </c>
      <c r="G571" s="9" t="s">
        <v>71</v>
      </c>
      <c r="H571" s="10" t="s">
        <v>1776</v>
      </c>
      <c r="I571" s="10" t="s">
        <v>1777</v>
      </c>
      <c r="J571" s="9" t="s">
        <v>1050</v>
      </c>
      <c r="K571" s="9" t="s">
        <v>40</v>
      </c>
      <c r="L571" s="12">
        <v>45020</v>
      </c>
      <c r="M571" s="12">
        <v>45026</v>
      </c>
      <c r="N571" s="12">
        <v>45028</v>
      </c>
      <c r="O571" s="12">
        <v>45028</v>
      </c>
      <c r="P571" s="12">
        <v>45029</v>
      </c>
      <c r="Q571" s="9" t="s">
        <v>1671</v>
      </c>
      <c r="R571" s="12">
        <v>44962</v>
      </c>
      <c r="S571" s="9" t="s">
        <v>40</v>
      </c>
      <c r="T571" s="12">
        <v>45086</v>
      </c>
      <c r="U571" s="14">
        <v>1050000</v>
      </c>
      <c r="V571" s="14" t="s">
        <v>40</v>
      </c>
      <c r="W571" s="14" t="s">
        <v>40</v>
      </c>
      <c r="X571" s="9" t="s">
        <v>40</v>
      </c>
      <c r="Y571" s="88"/>
    </row>
    <row r="572" spans="1:25" s="59" customFormat="1" ht="24" customHeight="1">
      <c r="A572" s="9"/>
      <c r="B572" s="9" t="s">
        <v>749</v>
      </c>
      <c r="C572" s="9" t="s">
        <v>1778</v>
      </c>
      <c r="D572" s="9" t="s">
        <v>1599</v>
      </c>
      <c r="E572" s="9" t="s">
        <v>1572</v>
      </c>
      <c r="F572" s="9" t="s">
        <v>1779</v>
      </c>
      <c r="G572" s="9" t="s">
        <v>882</v>
      </c>
      <c r="H572" s="10" t="s">
        <v>1780</v>
      </c>
      <c r="I572" s="10" t="s">
        <v>1781</v>
      </c>
      <c r="J572" s="9" t="s">
        <v>110</v>
      </c>
      <c r="K572" s="9" t="s">
        <v>1782</v>
      </c>
      <c r="L572" s="12">
        <v>45019</v>
      </c>
      <c r="M572" s="12">
        <v>45026</v>
      </c>
      <c r="N572" s="12">
        <v>45026</v>
      </c>
      <c r="O572" s="12">
        <v>45026</v>
      </c>
      <c r="P572" s="12">
        <v>45027</v>
      </c>
      <c r="Q572" s="9" t="s">
        <v>1783</v>
      </c>
      <c r="R572" s="12">
        <v>44962</v>
      </c>
      <c r="S572" s="9" t="s">
        <v>1784</v>
      </c>
      <c r="T572" s="12">
        <v>45077</v>
      </c>
      <c r="U572" s="14">
        <v>1915000</v>
      </c>
      <c r="V572" s="14">
        <v>400000</v>
      </c>
      <c r="W572" s="14" t="s">
        <v>1606</v>
      </c>
      <c r="X572" s="12">
        <v>45022</v>
      </c>
      <c r="Y572" s="60"/>
    </row>
    <row r="573" spans="1:25" s="59" customFormat="1" ht="27.75" customHeight="1">
      <c r="A573" s="9"/>
      <c r="B573" s="9" t="s">
        <v>1785</v>
      </c>
      <c r="C573" s="9" t="s">
        <v>1786</v>
      </c>
      <c r="D573" s="9" t="s">
        <v>1599</v>
      </c>
      <c r="E573" s="9" t="s">
        <v>1787</v>
      </c>
      <c r="F573" s="9" t="s">
        <v>1788</v>
      </c>
      <c r="G573" s="9" t="s">
        <v>71</v>
      </c>
      <c r="H573" s="10" t="s">
        <v>1789</v>
      </c>
      <c r="I573" s="10" t="s">
        <v>1790</v>
      </c>
      <c r="J573" s="9" t="s">
        <v>1791</v>
      </c>
      <c r="K573" s="9" t="s">
        <v>201</v>
      </c>
      <c r="L573" s="12">
        <v>45008</v>
      </c>
      <c r="M573" s="12">
        <v>45026</v>
      </c>
      <c r="N573" s="12">
        <v>45028</v>
      </c>
      <c r="O573" s="12">
        <v>45028</v>
      </c>
      <c r="P573" s="12">
        <v>45029</v>
      </c>
      <c r="Q573" s="9" t="s">
        <v>1671</v>
      </c>
      <c r="R573" s="12">
        <v>45044</v>
      </c>
      <c r="S573" s="9" t="s">
        <v>1792</v>
      </c>
      <c r="T573" s="12">
        <v>45054</v>
      </c>
      <c r="U573" s="14">
        <v>9376250</v>
      </c>
      <c r="V573" s="14" t="s">
        <v>40</v>
      </c>
      <c r="W573" s="14" t="s">
        <v>40</v>
      </c>
      <c r="X573" s="9" t="s">
        <v>40</v>
      </c>
      <c r="Y573" s="60"/>
    </row>
    <row r="574" spans="1:25" s="59" customFormat="1" ht="27.75" customHeight="1">
      <c r="A574" s="9"/>
      <c r="B574" s="9" t="s">
        <v>1086</v>
      </c>
      <c r="C574" s="9" t="s">
        <v>1793</v>
      </c>
      <c r="D574" s="9" t="s">
        <v>1599</v>
      </c>
      <c r="E574" s="9" t="s">
        <v>1794</v>
      </c>
      <c r="F574" s="9" t="s">
        <v>1795</v>
      </c>
      <c r="G574" s="9" t="s">
        <v>71</v>
      </c>
      <c r="H574" s="10" t="s">
        <v>1796</v>
      </c>
      <c r="I574" s="10" t="s">
        <v>1797</v>
      </c>
      <c r="J574" s="9" t="s">
        <v>172</v>
      </c>
      <c r="K574" s="9" t="s">
        <v>201</v>
      </c>
      <c r="L574" s="12">
        <v>45011</v>
      </c>
      <c r="M574" s="12">
        <v>45029</v>
      </c>
      <c r="N574" s="12">
        <v>45029</v>
      </c>
      <c r="O574" s="12">
        <v>45030</v>
      </c>
      <c r="P574" s="12">
        <v>45031</v>
      </c>
      <c r="Q574" s="9" t="s">
        <v>1798</v>
      </c>
      <c r="R574" s="12">
        <v>45044</v>
      </c>
      <c r="S574" s="9" t="s">
        <v>1799</v>
      </c>
      <c r="T574" s="12">
        <v>45174</v>
      </c>
      <c r="U574" s="14">
        <v>1375000</v>
      </c>
      <c r="V574" s="14" t="s">
        <v>40</v>
      </c>
      <c r="W574" s="14" t="s">
        <v>40</v>
      </c>
      <c r="X574" s="9" t="s">
        <v>40</v>
      </c>
      <c r="Y574" s="60"/>
    </row>
    <row r="575" spans="1:25" s="59" customFormat="1" ht="15.75" customHeight="1">
      <c r="A575" s="787"/>
      <c r="B575" s="787" t="s">
        <v>1375</v>
      </c>
      <c r="C575" s="787" t="s">
        <v>1800</v>
      </c>
      <c r="D575" s="787" t="s">
        <v>25</v>
      </c>
      <c r="E575" s="787" t="s">
        <v>1700</v>
      </c>
      <c r="F575" s="9" t="s">
        <v>1801</v>
      </c>
      <c r="G575" s="787" t="s">
        <v>1802</v>
      </c>
      <c r="H575" s="790" t="s">
        <v>1803</v>
      </c>
      <c r="I575" s="790" t="s">
        <v>1804</v>
      </c>
      <c r="J575" s="787" t="s">
        <v>1805</v>
      </c>
      <c r="K575" s="787" t="s">
        <v>201</v>
      </c>
      <c r="L575" s="796">
        <v>45025</v>
      </c>
      <c r="M575" s="796">
        <v>45029</v>
      </c>
      <c r="N575" s="796">
        <v>45029</v>
      </c>
      <c r="O575" s="796">
        <v>45030</v>
      </c>
      <c r="P575" s="796">
        <v>45030</v>
      </c>
      <c r="Q575" s="796" t="s">
        <v>1806</v>
      </c>
      <c r="R575" s="796">
        <v>45034</v>
      </c>
      <c r="S575" s="787" t="s">
        <v>1807</v>
      </c>
      <c r="T575" s="796">
        <v>45112</v>
      </c>
      <c r="U575" s="815">
        <v>9900000</v>
      </c>
      <c r="V575" s="815">
        <v>1950000</v>
      </c>
      <c r="W575" s="815" t="s">
        <v>1384</v>
      </c>
      <c r="X575" s="796">
        <v>45033</v>
      </c>
      <c r="Y575" s="60"/>
    </row>
    <row r="576" spans="1:25" s="59" customFormat="1" ht="15.75" customHeight="1">
      <c r="A576" s="788"/>
      <c r="B576" s="788"/>
      <c r="C576" s="788"/>
      <c r="D576" s="788"/>
      <c r="E576" s="788"/>
      <c r="F576" s="9" t="s">
        <v>1808</v>
      </c>
      <c r="G576" s="788"/>
      <c r="H576" s="788"/>
      <c r="I576" s="788"/>
      <c r="J576" s="788"/>
      <c r="K576" s="788"/>
      <c r="L576" s="813"/>
      <c r="M576" s="813"/>
      <c r="N576" s="813"/>
      <c r="O576" s="813"/>
      <c r="P576" s="813"/>
      <c r="Q576" s="813"/>
      <c r="R576" s="813"/>
      <c r="S576" s="788"/>
      <c r="T576" s="788"/>
      <c r="U576" s="815"/>
      <c r="V576" s="845"/>
      <c r="W576" s="845"/>
      <c r="X576" s="813"/>
      <c r="Y576" s="60"/>
    </row>
    <row r="577" spans="1:25" s="59" customFormat="1" ht="15.75" customHeight="1">
      <c r="A577" s="788"/>
      <c r="B577" s="788"/>
      <c r="C577" s="788"/>
      <c r="D577" s="788"/>
      <c r="E577" s="788"/>
      <c r="F577" s="9" t="s">
        <v>1809</v>
      </c>
      <c r="G577" s="788"/>
      <c r="H577" s="788"/>
      <c r="I577" s="788"/>
      <c r="J577" s="788"/>
      <c r="K577" s="788"/>
      <c r="L577" s="813"/>
      <c r="M577" s="813"/>
      <c r="N577" s="813"/>
      <c r="O577" s="813"/>
      <c r="P577" s="813"/>
      <c r="Q577" s="813"/>
      <c r="R577" s="813"/>
      <c r="S577" s="788"/>
      <c r="T577" s="788"/>
      <c r="U577" s="815"/>
      <c r="V577" s="845"/>
      <c r="W577" s="845"/>
      <c r="X577" s="813"/>
      <c r="Y577" s="60"/>
    </row>
    <row r="578" spans="1:25" s="59" customFormat="1" ht="15.75" customHeight="1">
      <c r="A578" s="788"/>
      <c r="B578" s="788"/>
      <c r="C578" s="788"/>
      <c r="D578" s="788"/>
      <c r="E578" s="788"/>
      <c r="F578" s="9" t="s">
        <v>1810</v>
      </c>
      <c r="G578" s="788"/>
      <c r="H578" s="788"/>
      <c r="I578" s="788"/>
      <c r="J578" s="788"/>
      <c r="K578" s="788"/>
      <c r="L578" s="813"/>
      <c r="M578" s="813"/>
      <c r="N578" s="813"/>
      <c r="O578" s="813"/>
      <c r="P578" s="813"/>
      <c r="Q578" s="813"/>
      <c r="R578" s="813"/>
      <c r="S578" s="788"/>
      <c r="T578" s="788"/>
      <c r="U578" s="815"/>
      <c r="V578" s="845"/>
      <c r="W578" s="845"/>
      <c r="X578" s="813"/>
      <c r="Y578" s="60"/>
    </row>
    <row r="579" spans="1:25" s="59" customFormat="1" ht="15.75" customHeight="1">
      <c r="A579" s="788"/>
      <c r="B579" s="788"/>
      <c r="C579" s="788"/>
      <c r="D579" s="788"/>
      <c r="E579" s="788"/>
      <c r="F579" s="9" t="s">
        <v>1811</v>
      </c>
      <c r="G579" s="788"/>
      <c r="H579" s="788"/>
      <c r="I579" s="788"/>
      <c r="J579" s="788"/>
      <c r="K579" s="788"/>
      <c r="L579" s="813"/>
      <c r="M579" s="813"/>
      <c r="N579" s="813"/>
      <c r="O579" s="813"/>
      <c r="P579" s="813"/>
      <c r="Q579" s="813"/>
      <c r="R579" s="813"/>
      <c r="S579" s="788"/>
      <c r="T579" s="788"/>
      <c r="U579" s="815"/>
      <c r="V579" s="845"/>
      <c r="W579" s="845"/>
      <c r="X579" s="813"/>
      <c r="Y579" s="60"/>
    </row>
    <row r="580" spans="1:25" s="59" customFormat="1" ht="15.75" customHeight="1">
      <c r="A580" s="788"/>
      <c r="B580" s="788"/>
      <c r="C580" s="788"/>
      <c r="D580" s="788"/>
      <c r="E580" s="788"/>
      <c r="F580" s="9" t="s">
        <v>1812</v>
      </c>
      <c r="G580" s="788"/>
      <c r="H580" s="788"/>
      <c r="I580" s="788"/>
      <c r="J580" s="788"/>
      <c r="K580" s="788"/>
      <c r="L580" s="813"/>
      <c r="M580" s="813"/>
      <c r="N580" s="813"/>
      <c r="O580" s="813"/>
      <c r="P580" s="813"/>
      <c r="Q580" s="813"/>
      <c r="R580" s="813"/>
      <c r="S580" s="788"/>
      <c r="T580" s="788"/>
      <c r="U580" s="815"/>
      <c r="V580" s="845"/>
      <c r="W580" s="845"/>
      <c r="X580" s="813"/>
      <c r="Y580" s="60"/>
    </row>
    <row r="581" spans="1:25" s="59" customFormat="1" ht="15.75" customHeight="1">
      <c r="A581" s="788"/>
      <c r="B581" s="788"/>
      <c r="C581" s="788"/>
      <c r="D581" s="788"/>
      <c r="E581" s="788"/>
      <c r="F581" s="9" t="s">
        <v>1813</v>
      </c>
      <c r="G581" s="788"/>
      <c r="H581" s="788"/>
      <c r="I581" s="788"/>
      <c r="J581" s="788"/>
      <c r="K581" s="788"/>
      <c r="L581" s="813"/>
      <c r="M581" s="813"/>
      <c r="N581" s="813"/>
      <c r="O581" s="813"/>
      <c r="P581" s="813"/>
      <c r="Q581" s="813"/>
      <c r="R581" s="813"/>
      <c r="S581" s="788"/>
      <c r="T581" s="788"/>
      <c r="U581" s="815"/>
      <c r="V581" s="845"/>
      <c r="W581" s="845"/>
      <c r="X581" s="813"/>
      <c r="Y581" s="60"/>
    </row>
    <row r="582" spans="1:25" s="59" customFormat="1" ht="15.75" customHeight="1">
      <c r="A582" s="788"/>
      <c r="B582" s="788"/>
      <c r="C582" s="788"/>
      <c r="D582" s="788"/>
      <c r="E582" s="788"/>
      <c r="F582" s="9" t="s">
        <v>1814</v>
      </c>
      <c r="G582" s="788"/>
      <c r="H582" s="788"/>
      <c r="I582" s="788"/>
      <c r="J582" s="788"/>
      <c r="K582" s="788"/>
      <c r="L582" s="813"/>
      <c r="M582" s="813"/>
      <c r="N582" s="813"/>
      <c r="O582" s="813"/>
      <c r="P582" s="813"/>
      <c r="Q582" s="813"/>
      <c r="R582" s="813"/>
      <c r="S582" s="788"/>
      <c r="T582" s="788"/>
      <c r="U582" s="815"/>
      <c r="V582" s="845"/>
      <c r="W582" s="845"/>
      <c r="X582" s="813"/>
      <c r="Y582" s="60"/>
    </row>
    <row r="583" spans="1:25" s="59" customFormat="1" ht="15.75" customHeight="1">
      <c r="A583" s="788"/>
      <c r="B583" s="788"/>
      <c r="C583" s="788"/>
      <c r="D583" s="788"/>
      <c r="E583" s="788"/>
      <c r="F583" s="9" t="s">
        <v>1815</v>
      </c>
      <c r="G583" s="788"/>
      <c r="H583" s="788"/>
      <c r="I583" s="788"/>
      <c r="J583" s="788"/>
      <c r="K583" s="788"/>
      <c r="L583" s="813"/>
      <c r="M583" s="813"/>
      <c r="N583" s="813"/>
      <c r="O583" s="813"/>
      <c r="P583" s="813"/>
      <c r="Q583" s="813"/>
      <c r="R583" s="813"/>
      <c r="S583" s="788"/>
      <c r="T583" s="788"/>
      <c r="U583" s="815"/>
      <c r="V583" s="845"/>
      <c r="W583" s="845"/>
      <c r="X583" s="813"/>
      <c r="Y583" s="60"/>
    </row>
    <row r="584" spans="1:25" s="59" customFormat="1" ht="15.75" customHeight="1">
      <c r="A584" s="788"/>
      <c r="B584" s="788"/>
      <c r="C584" s="788"/>
      <c r="D584" s="788"/>
      <c r="E584" s="788"/>
      <c r="F584" s="9" t="s">
        <v>1816</v>
      </c>
      <c r="G584" s="788"/>
      <c r="H584" s="788"/>
      <c r="I584" s="788"/>
      <c r="J584" s="788"/>
      <c r="K584" s="788"/>
      <c r="L584" s="813"/>
      <c r="M584" s="813"/>
      <c r="N584" s="813"/>
      <c r="O584" s="813"/>
      <c r="P584" s="813"/>
      <c r="Q584" s="813"/>
      <c r="R584" s="813"/>
      <c r="S584" s="788"/>
      <c r="T584" s="788"/>
      <c r="U584" s="815"/>
      <c r="V584" s="845"/>
      <c r="W584" s="845"/>
      <c r="X584" s="813"/>
      <c r="Y584" s="60"/>
    </row>
    <row r="585" spans="1:25" s="59" customFormat="1" ht="15.75" customHeight="1">
      <c r="A585" s="788"/>
      <c r="B585" s="788"/>
      <c r="C585" s="788"/>
      <c r="D585" s="788"/>
      <c r="E585" s="788"/>
      <c r="F585" s="9" t="s">
        <v>1817</v>
      </c>
      <c r="G585" s="788"/>
      <c r="H585" s="788"/>
      <c r="I585" s="788"/>
      <c r="J585" s="788"/>
      <c r="K585" s="788"/>
      <c r="L585" s="788"/>
      <c r="M585" s="813"/>
      <c r="N585" s="813"/>
      <c r="O585" s="813"/>
      <c r="P585" s="813"/>
      <c r="Q585" s="813"/>
      <c r="R585" s="813"/>
      <c r="S585" s="788"/>
      <c r="T585" s="788"/>
      <c r="U585" s="815"/>
      <c r="V585" s="816"/>
      <c r="W585" s="816"/>
      <c r="X585" s="839"/>
      <c r="Y585" s="60"/>
    </row>
    <row r="586" spans="1:25" s="59" customFormat="1" ht="15.75" customHeight="1">
      <c r="A586" s="788"/>
      <c r="B586" s="788"/>
      <c r="C586" s="788"/>
      <c r="D586" s="788"/>
      <c r="E586" s="788"/>
      <c r="F586" s="9" t="s">
        <v>1818</v>
      </c>
      <c r="G586" s="788"/>
      <c r="H586" s="788"/>
      <c r="I586" s="788"/>
      <c r="J586" s="788"/>
      <c r="K586" s="788"/>
      <c r="L586" s="788"/>
      <c r="M586" s="813"/>
      <c r="N586" s="813"/>
      <c r="O586" s="813"/>
      <c r="P586" s="813"/>
      <c r="Q586" s="813"/>
      <c r="R586" s="813"/>
      <c r="S586" s="788"/>
      <c r="T586" s="788"/>
      <c r="U586" s="815"/>
      <c r="V586" s="815">
        <v>2600000</v>
      </c>
      <c r="W586" s="815" t="s">
        <v>59</v>
      </c>
      <c r="X586" s="796">
        <v>45052</v>
      </c>
      <c r="Y586" s="60"/>
    </row>
    <row r="587" spans="1:25" s="59" customFormat="1" ht="15.75" customHeight="1">
      <c r="A587" s="792"/>
      <c r="B587" s="792"/>
      <c r="C587" s="792"/>
      <c r="D587" s="792"/>
      <c r="E587" s="792"/>
      <c r="F587" s="66" t="s">
        <v>1819</v>
      </c>
      <c r="G587" s="792"/>
      <c r="H587" s="792"/>
      <c r="I587" s="792"/>
      <c r="J587" s="792"/>
      <c r="K587" s="792"/>
      <c r="L587" s="792"/>
      <c r="M587" s="797"/>
      <c r="N587" s="797"/>
      <c r="O587" s="797"/>
      <c r="P587" s="797"/>
      <c r="Q587" s="797"/>
      <c r="R587" s="797"/>
      <c r="S587" s="792"/>
      <c r="T587" s="792"/>
      <c r="U587" s="815"/>
      <c r="V587" s="844"/>
      <c r="W587" s="844"/>
      <c r="X587" s="797"/>
      <c r="Y587" s="92"/>
    </row>
    <row r="588" spans="1:25" s="59" customFormat="1" ht="27" customHeight="1">
      <c r="A588" s="787"/>
      <c r="B588" s="787" t="s">
        <v>1375</v>
      </c>
      <c r="C588" s="787">
        <v>226222927</v>
      </c>
      <c r="D588" s="787" t="s">
        <v>1820</v>
      </c>
      <c r="E588" s="787" t="s">
        <v>1679</v>
      </c>
      <c r="F588" s="9" t="s">
        <v>1821</v>
      </c>
      <c r="G588" s="787" t="s">
        <v>1822</v>
      </c>
      <c r="H588" s="790" t="s">
        <v>1823</v>
      </c>
      <c r="I588" s="790" t="s">
        <v>1824</v>
      </c>
      <c r="J588" s="787" t="s">
        <v>66</v>
      </c>
      <c r="K588" s="787" t="s">
        <v>1782</v>
      </c>
      <c r="L588" s="796">
        <v>45016</v>
      </c>
      <c r="M588" s="796">
        <v>45029</v>
      </c>
      <c r="N588" s="796">
        <v>45033</v>
      </c>
      <c r="O588" s="796">
        <v>45033</v>
      </c>
      <c r="P588" s="796">
        <v>45033</v>
      </c>
      <c r="Q588" s="796" t="s">
        <v>1825</v>
      </c>
      <c r="R588" s="796">
        <v>45042</v>
      </c>
      <c r="S588" s="787" t="s">
        <v>1826</v>
      </c>
      <c r="T588" s="796">
        <v>45112</v>
      </c>
      <c r="U588" s="923">
        <v>4675900</v>
      </c>
      <c r="V588" s="93">
        <v>400000</v>
      </c>
      <c r="W588" s="93" t="s">
        <v>1384</v>
      </c>
      <c r="X588" s="94">
        <v>45051</v>
      </c>
      <c r="Y588" s="60"/>
    </row>
    <row r="589" spans="1:25" s="59" customFormat="1" ht="27" customHeight="1">
      <c r="A589" s="794"/>
      <c r="B589" s="794"/>
      <c r="C589" s="794"/>
      <c r="D589" s="794"/>
      <c r="E589" s="794"/>
      <c r="F589" s="62" t="s">
        <v>1827</v>
      </c>
      <c r="G589" s="794"/>
      <c r="H589" s="794"/>
      <c r="I589" s="794"/>
      <c r="J589" s="794"/>
      <c r="K589" s="794"/>
      <c r="L589" s="794"/>
      <c r="M589" s="794"/>
      <c r="N589" s="794"/>
      <c r="O589" s="794"/>
      <c r="P589" s="794"/>
      <c r="Q589" s="794"/>
      <c r="R589" s="794"/>
      <c r="S589" s="794"/>
      <c r="T589" s="794"/>
      <c r="U589" s="972"/>
      <c r="V589" s="93">
        <v>400000</v>
      </c>
      <c r="W589" s="93" t="s">
        <v>59</v>
      </c>
      <c r="X589" s="94">
        <v>45052</v>
      </c>
      <c r="Y589" s="60"/>
    </row>
    <row r="590" spans="1:25" s="59" customFormat="1" ht="15.75" customHeight="1">
      <c r="A590" s="787"/>
      <c r="B590" s="787" t="s">
        <v>1375</v>
      </c>
      <c r="C590" s="787" t="s">
        <v>1828</v>
      </c>
      <c r="D590" s="787" t="s">
        <v>1829</v>
      </c>
      <c r="E590" s="787" t="s">
        <v>1487</v>
      </c>
      <c r="F590" s="9" t="s">
        <v>1830</v>
      </c>
      <c r="G590" s="787" t="s">
        <v>1831</v>
      </c>
      <c r="H590" s="790" t="s">
        <v>1832</v>
      </c>
      <c r="I590" s="790" t="s">
        <v>1833</v>
      </c>
      <c r="J590" s="787" t="s">
        <v>1805</v>
      </c>
      <c r="K590" s="787" t="s">
        <v>304</v>
      </c>
      <c r="L590" s="796">
        <v>45025</v>
      </c>
      <c r="M590" s="796">
        <v>45036</v>
      </c>
      <c r="N590" s="796">
        <v>45043</v>
      </c>
      <c r="O590" s="796">
        <v>45043</v>
      </c>
      <c r="P590" s="796">
        <v>45044</v>
      </c>
      <c r="Q590" s="796" t="s">
        <v>1834</v>
      </c>
      <c r="R590" s="796">
        <v>45042</v>
      </c>
      <c r="S590" s="787" t="s">
        <v>1835</v>
      </c>
      <c r="T590" s="796">
        <v>45112</v>
      </c>
      <c r="U590" s="815"/>
      <c r="V590" s="843">
        <v>600000</v>
      </c>
      <c r="W590" s="843" t="s">
        <v>1384</v>
      </c>
      <c r="X590" s="849">
        <v>45051</v>
      </c>
      <c r="Y590" s="60"/>
    </row>
    <row r="591" spans="1:25" s="59" customFormat="1" ht="15.75" customHeight="1">
      <c r="A591" s="788"/>
      <c r="B591" s="788"/>
      <c r="C591" s="788"/>
      <c r="D591" s="788"/>
      <c r="E591" s="788"/>
      <c r="F591" s="9" t="s">
        <v>1836</v>
      </c>
      <c r="G591" s="788"/>
      <c r="H591" s="788"/>
      <c r="I591" s="788"/>
      <c r="J591" s="788"/>
      <c r="K591" s="788"/>
      <c r="L591" s="788"/>
      <c r="M591" s="813"/>
      <c r="N591" s="813"/>
      <c r="O591" s="813"/>
      <c r="P591" s="813"/>
      <c r="Q591" s="813"/>
      <c r="R591" s="813"/>
      <c r="S591" s="788"/>
      <c r="T591" s="788"/>
      <c r="U591" s="815"/>
      <c r="V591" s="816"/>
      <c r="W591" s="816"/>
      <c r="X591" s="839"/>
      <c r="Y591" s="60"/>
    </row>
    <row r="592" spans="1:25" s="59" customFormat="1" ht="15.75" customHeight="1">
      <c r="A592" s="788"/>
      <c r="B592" s="788"/>
      <c r="C592" s="788"/>
      <c r="D592" s="788"/>
      <c r="E592" s="788"/>
      <c r="F592" s="9" t="s">
        <v>1837</v>
      </c>
      <c r="G592" s="788"/>
      <c r="H592" s="788"/>
      <c r="I592" s="788"/>
      <c r="J592" s="788"/>
      <c r="K592" s="788"/>
      <c r="L592" s="788"/>
      <c r="M592" s="813"/>
      <c r="N592" s="813"/>
      <c r="O592" s="813"/>
      <c r="P592" s="813"/>
      <c r="Q592" s="813"/>
      <c r="R592" s="813"/>
      <c r="S592" s="788"/>
      <c r="T592" s="788"/>
      <c r="U592" s="815"/>
      <c r="V592" s="815">
        <v>800000</v>
      </c>
      <c r="W592" s="815" t="s">
        <v>59</v>
      </c>
      <c r="X592" s="796">
        <v>45052</v>
      </c>
      <c r="Y592" s="60"/>
    </row>
    <row r="593" spans="1:25" s="59" customFormat="1" ht="15.75" customHeight="1">
      <c r="A593" s="788"/>
      <c r="B593" s="788"/>
      <c r="C593" s="788"/>
      <c r="D593" s="788"/>
      <c r="E593" s="788"/>
      <c r="F593" s="9" t="s">
        <v>1838</v>
      </c>
      <c r="G593" s="788"/>
      <c r="H593" s="788"/>
      <c r="I593" s="788"/>
      <c r="J593" s="788"/>
      <c r="K593" s="788"/>
      <c r="L593" s="788"/>
      <c r="M593" s="797"/>
      <c r="N593" s="813"/>
      <c r="O593" s="813"/>
      <c r="P593" s="813"/>
      <c r="Q593" s="813"/>
      <c r="R593" s="813"/>
      <c r="S593" s="788"/>
      <c r="T593" s="788"/>
      <c r="U593" s="815"/>
      <c r="V593" s="816"/>
      <c r="W593" s="816"/>
      <c r="X593" s="839"/>
      <c r="Y593" s="60"/>
    </row>
    <row r="594" spans="1:25" s="59" customFormat="1" ht="15.75" customHeight="1">
      <c r="A594" s="787"/>
      <c r="B594" s="787" t="s">
        <v>1375</v>
      </c>
      <c r="C594" s="787" t="s">
        <v>1839</v>
      </c>
      <c r="D594" s="787" t="s">
        <v>1829</v>
      </c>
      <c r="E594" s="787" t="s">
        <v>1487</v>
      </c>
      <c r="F594" s="9" t="s">
        <v>1840</v>
      </c>
      <c r="G594" s="787" t="s">
        <v>1831</v>
      </c>
      <c r="H594" s="790" t="s">
        <v>1841</v>
      </c>
      <c r="I594" s="790" t="s">
        <v>1842</v>
      </c>
      <c r="J594" s="787" t="s">
        <v>1805</v>
      </c>
      <c r="K594" s="787" t="s">
        <v>304</v>
      </c>
      <c r="L594" s="796">
        <v>45025</v>
      </c>
      <c r="M594" s="796">
        <v>45036</v>
      </c>
      <c r="N594" s="796">
        <v>45044</v>
      </c>
      <c r="O594" s="796">
        <v>45044</v>
      </c>
      <c r="P594" s="796">
        <v>45045</v>
      </c>
      <c r="Q594" s="796" t="s">
        <v>1834</v>
      </c>
      <c r="R594" s="796">
        <v>45042</v>
      </c>
      <c r="S594" s="787" t="s">
        <v>1843</v>
      </c>
      <c r="T594" s="796">
        <v>45112</v>
      </c>
      <c r="U594" s="815"/>
      <c r="V594" s="815">
        <v>600000</v>
      </c>
      <c r="W594" s="815" t="s">
        <v>1384</v>
      </c>
      <c r="X594" s="796">
        <v>45051</v>
      </c>
      <c r="Y594" s="60"/>
    </row>
    <row r="595" spans="1:25" s="59" customFormat="1" ht="15.75" customHeight="1">
      <c r="A595" s="788"/>
      <c r="B595" s="788"/>
      <c r="C595" s="788"/>
      <c r="D595" s="788"/>
      <c r="E595" s="788"/>
      <c r="F595" s="9" t="s">
        <v>1844</v>
      </c>
      <c r="G595" s="788"/>
      <c r="H595" s="788"/>
      <c r="I595" s="788"/>
      <c r="J595" s="788"/>
      <c r="K595" s="788"/>
      <c r="L595" s="788"/>
      <c r="M595" s="813"/>
      <c r="N595" s="813"/>
      <c r="O595" s="813"/>
      <c r="P595" s="813"/>
      <c r="Q595" s="813"/>
      <c r="R595" s="813"/>
      <c r="S595" s="788"/>
      <c r="T595" s="788"/>
      <c r="U595" s="815"/>
      <c r="V595" s="816"/>
      <c r="W595" s="816"/>
      <c r="X595" s="839"/>
      <c r="Y595" s="60"/>
    </row>
    <row r="596" spans="1:25" s="59" customFormat="1" ht="15.75" customHeight="1">
      <c r="A596" s="788"/>
      <c r="B596" s="788"/>
      <c r="C596" s="788"/>
      <c r="D596" s="788"/>
      <c r="E596" s="788"/>
      <c r="F596" s="9" t="s">
        <v>1845</v>
      </c>
      <c r="G596" s="788"/>
      <c r="H596" s="788"/>
      <c r="I596" s="788"/>
      <c r="J596" s="788"/>
      <c r="K596" s="788"/>
      <c r="L596" s="788"/>
      <c r="M596" s="813"/>
      <c r="N596" s="813"/>
      <c r="O596" s="813"/>
      <c r="P596" s="813"/>
      <c r="Q596" s="813"/>
      <c r="R596" s="813"/>
      <c r="S596" s="788"/>
      <c r="T596" s="788"/>
      <c r="U596" s="815"/>
      <c r="V596" s="815">
        <v>800000</v>
      </c>
      <c r="W596" s="815" t="s">
        <v>59</v>
      </c>
      <c r="X596" s="796">
        <v>45052</v>
      </c>
      <c r="Y596" s="60"/>
    </row>
    <row r="597" spans="1:25" s="59" customFormat="1" ht="15.75" customHeight="1">
      <c r="A597" s="792"/>
      <c r="B597" s="792"/>
      <c r="C597" s="792"/>
      <c r="D597" s="792"/>
      <c r="E597" s="792"/>
      <c r="F597" s="66" t="s">
        <v>1846</v>
      </c>
      <c r="G597" s="792"/>
      <c r="H597" s="792"/>
      <c r="I597" s="792"/>
      <c r="J597" s="792"/>
      <c r="K597" s="792"/>
      <c r="L597" s="792"/>
      <c r="M597" s="797"/>
      <c r="N597" s="797"/>
      <c r="O597" s="797"/>
      <c r="P597" s="797"/>
      <c r="Q597" s="797"/>
      <c r="R597" s="797"/>
      <c r="S597" s="792"/>
      <c r="T597" s="792"/>
      <c r="U597" s="815"/>
      <c r="V597" s="816"/>
      <c r="W597" s="816"/>
      <c r="X597" s="839"/>
      <c r="Y597" s="92"/>
    </row>
    <row r="598" spans="1:25" s="59" customFormat="1" ht="15.75" customHeight="1">
      <c r="A598" s="787"/>
      <c r="B598" s="787" t="s">
        <v>1375</v>
      </c>
      <c r="C598" s="787">
        <v>226373719</v>
      </c>
      <c r="D598" s="787" t="s">
        <v>1847</v>
      </c>
      <c r="E598" s="867" t="s">
        <v>1679</v>
      </c>
      <c r="F598" s="96" t="s">
        <v>1848</v>
      </c>
      <c r="G598" s="869" t="s">
        <v>1849</v>
      </c>
      <c r="H598" s="790" t="s">
        <v>1850</v>
      </c>
      <c r="I598" s="790" t="s">
        <v>1851</v>
      </c>
      <c r="J598" s="787" t="s">
        <v>66</v>
      </c>
      <c r="K598" s="787" t="s">
        <v>1782</v>
      </c>
      <c r="L598" s="796">
        <v>45030</v>
      </c>
      <c r="M598" s="796">
        <v>45043</v>
      </c>
      <c r="N598" s="796">
        <v>45049</v>
      </c>
      <c r="O598" s="796">
        <v>45049</v>
      </c>
      <c r="P598" s="796">
        <v>45050</v>
      </c>
      <c r="Q598" s="787"/>
      <c r="R598" s="796">
        <v>45057</v>
      </c>
      <c r="S598" s="787" t="s">
        <v>1852</v>
      </c>
      <c r="T598" s="796" t="s">
        <v>1853</v>
      </c>
      <c r="U598" s="815">
        <v>6631500</v>
      </c>
      <c r="V598" s="815">
        <v>500000</v>
      </c>
      <c r="W598" s="815" t="s">
        <v>1384</v>
      </c>
      <c r="X598" s="796">
        <v>45091</v>
      </c>
      <c r="Y598" s="60"/>
    </row>
    <row r="599" spans="1:25" s="59" customFormat="1" ht="15.75" customHeight="1">
      <c r="A599" s="788"/>
      <c r="B599" s="788"/>
      <c r="C599" s="788"/>
      <c r="D599" s="788"/>
      <c r="E599" s="906"/>
      <c r="F599" s="96" t="s">
        <v>1854</v>
      </c>
      <c r="G599" s="856"/>
      <c r="H599" s="788"/>
      <c r="I599" s="788"/>
      <c r="J599" s="788"/>
      <c r="K599" s="788"/>
      <c r="L599" s="813"/>
      <c r="M599" s="813"/>
      <c r="N599" s="813"/>
      <c r="O599" s="813"/>
      <c r="P599" s="813"/>
      <c r="Q599" s="788"/>
      <c r="R599" s="813"/>
      <c r="S599" s="788"/>
      <c r="T599" s="813"/>
      <c r="U599" s="845"/>
      <c r="V599" s="845"/>
      <c r="W599" s="845"/>
      <c r="X599" s="813"/>
      <c r="Y599" s="60"/>
    </row>
    <row r="600" spans="1:25" s="59" customFormat="1" ht="15.75" customHeight="1">
      <c r="A600" s="788"/>
      <c r="B600" s="788"/>
      <c r="C600" s="788"/>
      <c r="D600" s="788"/>
      <c r="E600" s="906"/>
      <c r="F600" s="96" t="s">
        <v>1855</v>
      </c>
      <c r="G600" s="856"/>
      <c r="H600" s="788"/>
      <c r="I600" s="788"/>
      <c r="J600" s="788"/>
      <c r="K600" s="788"/>
      <c r="L600" s="813"/>
      <c r="M600" s="813"/>
      <c r="N600" s="813"/>
      <c r="O600" s="813"/>
      <c r="P600" s="813"/>
      <c r="Q600" s="788"/>
      <c r="R600" s="813"/>
      <c r="S600" s="788"/>
      <c r="T600" s="813"/>
      <c r="U600" s="845"/>
      <c r="V600" s="816"/>
      <c r="W600" s="816"/>
      <c r="X600" s="839"/>
      <c r="Y600" s="60"/>
    </row>
    <row r="601" spans="1:25" s="59" customFormat="1" ht="15.75" customHeight="1">
      <c r="A601" s="788"/>
      <c r="B601" s="788"/>
      <c r="C601" s="788"/>
      <c r="D601" s="788"/>
      <c r="E601" s="906"/>
      <c r="F601" s="96" t="s">
        <v>1856</v>
      </c>
      <c r="G601" s="856"/>
      <c r="H601" s="788"/>
      <c r="I601" s="788"/>
      <c r="J601" s="788"/>
      <c r="K601" s="788"/>
      <c r="L601" s="813"/>
      <c r="M601" s="813"/>
      <c r="N601" s="813"/>
      <c r="O601" s="813"/>
      <c r="P601" s="813"/>
      <c r="Q601" s="788"/>
      <c r="R601" s="813"/>
      <c r="S601" s="788"/>
      <c r="T601" s="813"/>
      <c r="U601" s="845"/>
      <c r="V601" s="815">
        <v>1000000</v>
      </c>
      <c r="W601" s="815" t="s">
        <v>59</v>
      </c>
      <c r="X601" s="796">
        <v>45070</v>
      </c>
      <c r="Y601" s="60"/>
    </row>
    <row r="602" spans="1:25" s="59" customFormat="1" ht="15.75" customHeight="1">
      <c r="A602" s="794"/>
      <c r="B602" s="794"/>
      <c r="C602" s="794"/>
      <c r="D602" s="794"/>
      <c r="E602" s="868"/>
      <c r="F602" s="97" t="s">
        <v>1857</v>
      </c>
      <c r="G602" s="809"/>
      <c r="H602" s="794"/>
      <c r="I602" s="794"/>
      <c r="J602" s="794"/>
      <c r="K602" s="794"/>
      <c r="L602" s="794"/>
      <c r="M602" s="794"/>
      <c r="N602" s="839"/>
      <c r="O602" s="839"/>
      <c r="P602" s="839"/>
      <c r="Q602" s="794"/>
      <c r="R602" s="794"/>
      <c r="S602" s="794"/>
      <c r="T602" s="794"/>
      <c r="U602" s="816"/>
      <c r="V602" s="816"/>
      <c r="W602" s="816"/>
      <c r="X602" s="839"/>
      <c r="Y602" s="60"/>
    </row>
    <row r="603" spans="1:25" s="59" customFormat="1" ht="15.75" customHeight="1">
      <c r="A603" s="787"/>
      <c r="B603" s="787" t="s">
        <v>1375</v>
      </c>
      <c r="C603" s="787">
        <v>226373665</v>
      </c>
      <c r="D603" s="787" t="s">
        <v>1847</v>
      </c>
      <c r="E603" s="867" t="s">
        <v>1679</v>
      </c>
      <c r="F603" s="96" t="s">
        <v>1858</v>
      </c>
      <c r="G603" s="869" t="s">
        <v>1859</v>
      </c>
      <c r="H603" s="790" t="s">
        <v>1860</v>
      </c>
      <c r="I603" s="790" t="s">
        <v>1861</v>
      </c>
      <c r="J603" s="787" t="s">
        <v>66</v>
      </c>
      <c r="K603" s="787" t="s">
        <v>1782</v>
      </c>
      <c r="L603" s="796">
        <v>45030</v>
      </c>
      <c r="M603" s="796">
        <v>45043</v>
      </c>
      <c r="N603" s="796">
        <v>45049</v>
      </c>
      <c r="O603" s="796">
        <v>45050</v>
      </c>
      <c r="P603" s="796">
        <v>45051</v>
      </c>
      <c r="Q603" s="787"/>
      <c r="R603" s="796">
        <v>45057</v>
      </c>
      <c r="S603" s="787" t="s">
        <v>1862</v>
      </c>
      <c r="T603" s="796" t="s">
        <v>1863</v>
      </c>
      <c r="U603" s="815">
        <v>8985200</v>
      </c>
      <c r="V603" s="815">
        <v>400000</v>
      </c>
      <c r="W603" s="815" t="s">
        <v>1384</v>
      </c>
      <c r="X603" s="796">
        <v>45091</v>
      </c>
      <c r="Y603" s="60"/>
    </row>
    <row r="604" spans="1:25" s="59" customFormat="1" ht="15.75" customHeight="1">
      <c r="A604" s="788"/>
      <c r="B604" s="788"/>
      <c r="C604" s="788"/>
      <c r="D604" s="788"/>
      <c r="E604" s="906"/>
      <c r="F604" s="96" t="s">
        <v>1864</v>
      </c>
      <c r="G604" s="856"/>
      <c r="H604" s="788"/>
      <c r="I604" s="788"/>
      <c r="J604" s="788"/>
      <c r="K604" s="788"/>
      <c r="L604" s="813"/>
      <c r="M604" s="813"/>
      <c r="N604" s="813"/>
      <c r="O604" s="813"/>
      <c r="P604" s="813"/>
      <c r="Q604" s="788"/>
      <c r="R604" s="813"/>
      <c r="S604" s="788"/>
      <c r="T604" s="813"/>
      <c r="U604" s="845"/>
      <c r="V604" s="816"/>
      <c r="W604" s="816"/>
      <c r="X604" s="839"/>
      <c r="Y604" s="60"/>
    </row>
    <row r="605" spans="1:25" s="59" customFormat="1" ht="15.75" customHeight="1">
      <c r="A605" s="788"/>
      <c r="B605" s="788"/>
      <c r="C605" s="788"/>
      <c r="D605" s="788"/>
      <c r="E605" s="906"/>
      <c r="F605" s="96" t="s">
        <v>1865</v>
      </c>
      <c r="G605" s="856"/>
      <c r="H605" s="788"/>
      <c r="I605" s="788"/>
      <c r="J605" s="788"/>
      <c r="K605" s="788"/>
      <c r="L605" s="813"/>
      <c r="M605" s="813"/>
      <c r="N605" s="813"/>
      <c r="O605" s="813"/>
      <c r="P605" s="813"/>
      <c r="Q605" s="788"/>
      <c r="R605" s="813"/>
      <c r="S605" s="788"/>
      <c r="T605" s="813"/>
      <c r="U605" s="845"/>
      <c r="V605" s="815">
        <v>800000</v>
      </c>
      <c r="W605" s="815" t="s">
        <v>59</v>
      </c>
      <c r="X605" s="796">
        <v>45070</v>
      </c>
      <c r="Y605" s="60"/>
    </row>
    <row r="606" spans="1:25" s="59" customFormat="1" ht="15.75" customHeight="1">
      <c r="A606" s="794"/>
      <c r="B606" s="794"/>
      <c r="C606" s="794"/>
      <c r="D606" s="794"/>
      <c r="E606" s="868"/>
      <c r="F606" s="97" t="s">
        <v>1866</v>
      </c>
      <c r="G606" s="809"/>
      <c r="H606" s="794"/>
      <c r="I606" s="794"/>
      <c r="J606" s="794"/>
      <c r="K606" s="794"/>
      <c r="L606" s="794"/>
      <c r="M606" s="794"/>
      <c r="N606" s="839"/>
      <c r="O606" s="839"/>
      <c r="P606" s="839"/>
      <c r="Q606" s="794"/>
      <c r="R606" s="794"/>
      <c r="S606" s="794"/>
      <c r="T606" s="794"/>
      <c r="U606" s="816"/>
      <c r="V606" s="816"/>
      <c r="W606" s="816"/>
      <c r="X606" s="839"/>
      <c r="Y606" s="60"/>
    </row>
    <row r="607" spans="1:25" s="59" customFormat="1" ht="15.75" customHeight="1">
      <c r="A607" s="787"/>
      <c r="B607" s="787" t="s">
        <v>1375</v>
      </c>
      <c r="C607" s="787">
        <v>226373780</v>
      </c>
      <c r="D607" s="787" t="s">
        <v>1847</v>
      </c>
      <c r="E607" s="867" t="s">
        <v>1679</v>
      </c>
      <c r="F607" s="96" t="s">
        <v>1867</v>
      </c>
      <c r="G607" s="869" t="s">
        <v>1859</v>
      </c>
      <c r="H607" s="790" t="s">
        <v>1868</v>
      </c>
      <c r="I607" s="790" t="s">
        <v>1777</v>
      </c>
      <c r="J607" s="787" t="s">
        <v>66</v>
      </c>
      <c r="K607" s="787" t="s">
        <v>1782</v>
      </c>
      <c r="L607" s="796">
        <v>45030</v>
      </c>
      <c r="M607" s="796">
        <v>45043</v>
      </c>
      <c r="N607" s="796">
        <v>45049</v>
      </c>
      <c r="O607" s="796">
        <v>45049</v>
      </c>
      <c r="P607" s="796">
        <v>45050</v>
      </c>
      <c r="Q607" s="787" t="s">
        <v>40</v>
      </c>
      <c r="R607" s="796">
        <v>45057</v>
      </c>
      <c r="S607" s="787" t="s">
        <v>1869</v>
      </c>
      <c r="T607" s="796" t="s">
        <v>1870</v>
      </c>
      <c r="U607" s="815">
        <v>4038900</v>
      </c>
      <c r="V607" s="815">
        <v>400000</v>
      </c>
      <c r="W607" s="815" t="s">
        <v>1384</v>
      </c>
      <c r="X607" s="796">
        <v>45051</v>
      </c>
      <c r="Y607" s="60"/>
    </row>
    <row r="608" spans="1:25" s="59" customFormat="1" ht="15.75" customHeight="1">
      <c r="A608" s="788"/>
      <c r="B608" s="788"/>
      <c r="C608" s="788"/>
      <c r="D608" s="788"/>
      <c r="E608" s="906"/>
      <c r="F608" s="96" t="s">
        <v>1871</v>
      </c>
      <c r="G608" s="856"/>
      <c r="H608" s="788"/>
      <c r="I608" s="788"/>
      <c r="J608" s="788"/>
      <c r="K608" s="788"/>
      <c r="L608" s="813"/>
      <c r="M608" s="813"/>
      <c r="N608" s="813"/>
      <c r="O608" s="813"/>
      <c r="P608" s="813"/>
      <c r="Q608" s="788"/>
      <c r="R608" s="813"/>
      <c r="S608" s="788"/>
      <c r="T608" s="813"/>
      <c r="U608" s="845"/>
      <c r="V608" s="816"/>
      <c r="W608" s="816"/>
      <c r="X608" s="839"/>
      <c r="Y608" s="60"/>
    </row>
    <row r="609" spans="1:25" s="59" customFormat="1" ht="27" customHeight="1">
      <c r="A609" s="794"/>
      <c r="B609" s="794"/>
      <c r="C609" s="794"/>
      <c r="D609" s="794"/>
      <c r="E609" s="868"/>
      <c r="F609" s="98" t="s">
        <v>1872</v>
      </c>
      <c r="G609" s="809"/>
      <c r="H609" s="794"/>
      <c r="I609" s="794"/>
      <c r="J609" s="794"/>
      <c r="K609" s="794"/>
      <c r="L609" s="794"/>
      <c r="M609" s="794"/>
      <c r="N609" s="839"/>
      <c r="O609" s="839"/>
      <c r="P609" s="839"/>
      <c r="Q609" s="794"/>
      <c r="R609" s="794"/>
      <c r="S609" s="794"/>
      <c r="T609" s="794"/>
      <c r="U609" s="816"/>
      <c r="V609" s="14">
        <v>600000</v>
      </c>
      <c r="W609" s="14" t="s">
        <v>59</v>
      </c>
      <c r="X609" s="12">
        <v>45070</v>
      </c>
      <c r="Y609" s="60"/>
    </row>
    <row r="610" spans="1:25" s="59" customFormat="1" ht="15.75" customHeight="1">
      <c r="A610" s="787"/>
      <c r="B610" s="787" t="s">
        <v>1375</v>
      </c>
      <c r="C610" s="787">
        <v>226373746</v>
      </c>
      <c r="D610" s="787" t="s">
        <v>1847</v>
      </c>
      <c r="E610" s="787" t="s">
        <v>1679</v>
      </c>
      <c r="F610" s="96" t="s">
        <v>1873</v>
      </c>
      <c r="G610" s="787" t="s">
        <v>1874</v>
      </c>
      <c r="H610" s="790" t="s">
        <v>1875</v>
      </c>
      <c r="I610" s="790" t="s">
        <v>1876</v>
      </c>
      <c r="J610" s="787" t="s">
        <v>66</v>
      </c>
      <c r="K610" s="787" t="s">
        <v>1782</v>
      </c>
      <c r="L610" s="796">
        <v>45030</v>
      </c>
      <c r="M610" s="796">
        <v>45043</v>
      </c>
      <c r="N610" s="796">
        <v>45048</v>
      </c>
      <c r="O610" s="796">
        <v>45048</v>
      </c>
      <c r="P610" s="796">
        <v>45049</v>
      </c>
      <c r="Q610" s="787" t="s">
        <v>1877</v>
      </c>
      <c r="R610" s="796" t="s">
        <v>40</v>
      </c>
      <c r="S610" s="787" t="s">
        <v>1878</v>
      </c>
      <c r="T610" s="796" t="s">
        <v>1853</v>
      </c>
      <c r="U610" s="815">
        <v>12863000</v>
      </c>
      <c r="V610" s="815">
        <v>1000000</v>
      </c>
      <c r="W610" s="815" t="s">
        <v>1384</v>
      </c>
      <c r="X610" s="796">
        <v>45091</v>
      </c>
      <c r="Y610" s="60"/>
    </row>
    <row r="611" spans="1:25" s="59" customFormat="1" ht="15.75" customHeight="1">
      <c r="A611" s="788"/>
      <c r="B611" s="788"/>
      <c r="C611" s="788"/>
      <c r="D611" s="788"/>
      <c r="E611" s="788"/>
      <c r="F611" s="96" t="s">
        <v>1879</v>
      </c>
      <c r="G611" s="788"/>
      <c r="H611" s="788"/>
      <c r="I611" s="788"/>
      <c r="J611" s="788"/>
      <c r="K611" s="788"/>
      <c r="L611" s="813"/>
      <c r="M611" s="813"/>
      <c r="N611" s="813"/>
      <c r="O611" s="813"/>
      <c r="P611" s="813"/>
      <c r="Q611" s="788"/>
      <c r="R611" s="813"/>
      <c r="S611" s="788"/>
      <c r="T611" s="788"/>
      <c r="U611" s="845"/>
      <c r="V611" s="845"/>
      <c r="W611" s="845"/>
      <c r="X611" s="813"/>
      <c r="Y611" s="60"/>
    </row>
    <row r="612" spans="1:25" s="59" customFormat="1" ht="15.75" customHeight="1">
      <c r="A612" s="788"/>
      <c r="B612" s="788"/>
      <c r="C612" s="788"/>
      <c r="D612" s="788"/>
      <c r="E612" s="788"/>
      <c r="F612" s="96" t="s">
        <v>1880</v>
      </c>
      <c r="G612" s="788"/>
      <c r="H612" s="788"/>
      <c r="I612" s="788"/>
      <c r="J612" s="788"/>
      <c r="K612" s="788"/>
      <c r="L612" s="813"/>
      <c r="M612" s="813"/>
      <c r="N612" s="813"/>
      <c r="O612" s="813"/>
      <c r="P612" s="813"/>
      <c r="Q612" s="788"/>
      <c r="R612" s="813"/>
      <c r="S612" s="788"/>
      <c r="T612" s="788"/>
      <c r="U612" s="845"/>
      <c r="V612" s="845"/>
      <c r="W612" s="845"/>
      <c r="X612" s="813"/>
      <c r="Y612" s="60"/>
    </row>
    <row r="613" spans="1:25" s="59" customFormat="1" ht="15.75" customHeight="1">
      <c r="A613" s="788"/>
      <c r="B613" s="788"/>
      <c r="C613" s="788"/>
      <c r="D613" s="788"/>
      <c r="E613" s="788"/>
      <c r="F613" s="97" t="s">
        <v>1881</v>
      </c>
      <c r="G613" s="788"/>
      <c r="H613" s="788"/>
      <c r="I613" s="788"/>
      <c r="J613" s="788"/>
      <c r="K613" s="788"/>
      <c r="L613" s="813"/>
      <c r="M613" s="813"/>
      <c r="N613" s="813"/>
      <c r="O613" s="813"/>
      <c r="P613" s="813"/>
      <c r="Q613" s="788"/>
      <c r="R613" s="813"/>
      <c r="S613" s="788"/>
      <c r="T613" s="788"/>
      <c r="U613" s="845"/>
      <c r="V613" s="845"/>
      <c r="W613" s="845"/>
      <c r="X613" s="813"/>
      <c r="Y613" s="60"/>
    </row>
    <row r="614" spans="1:25" s="59" customFormat="1" ht="15.75" customHeight="1">
      <c r="A614" s="788"/>
      <c r="B614" s="788"/>
      <c r="C614" s="788"/>
      <c r="D614" s="788"/>
      <c r="E614" s="788"/>
      <c r="F614" s="96" t="s">
        <v>1882</v>
      </c>
      <c r="G614" s="788"/>
      <c r="H614" s="788"/>
      <c r="I614" s="788"/>
      <c r="J614" s="788"/>
      <c r="K614" s="788"/>
      <c r="L614" s="813"/>
      <c r="M614" s="813"/>
      <c r="N614" s="813"/>
      <c r="O614" s="813"/>
      <c r="P614" s="813"/>
      <c r="Q614" s="788"/>
      <c r="R614" s="813"/>
      <c r="S614" s="788"/>
      <c r="T614" s="788"/>
      <c r="U614" s="845"/>
      <c r="V614" s="816"/>
      <c r="W614" s="816"/>
      <c r="X614" s="839"/>
      <c r="Y614" s="60"/>
    </row>
    <row r="615" spans="1:25" s="59" customFormat="1" ht="15.75" customHeight="1">
      <c r="A615" s="788"/>
      <c r="B615" s="788"/>
      <c r="C615" s="788"/>
      <c r="D615" s="788"/>
      <c r="E615" s="788"/>
      <c r="F615" s="96" t="s">
        <v>1883</v>
      </c>
      <c r="G615" s="788"/>
      <c r="H615" s="788"/>
      <c r="I615" s="788"/>
      <c r="J615" s="788"/>
      <c r="K615" s="788"/>
      <c r="L615" s="813"/>
      <c r="M615" s="813"/>
      <c r="N615" s="813"/>
      <c r="O615" s="813"/>
      <c r="P615" s="813"/>
      <c r="Q615" s="788"/>
      <c r="R615" s="813"/>
      <c r="S615" s="788"/>
      <c r="T615" s="788"/>
      <c r="U615" s="845"/>
      <c r="V615" s="815">
        <v>2000000</v>
      </c>
      <c r="W615" s="815" t="s">
        <v>59</v>
      </c>
      <c r="X615" s="796">
        <v>45079</v>
      </c>
      <c r="Y615" s="60"/>
    </row>
    <row r="616" spans="1:25" s="59" customFormat="1" ht="15.75" customHeight="1">
      <c r="A616" s="788"/>
      <c r="B616" s="788"/>
      <c r="C616" s="788"/>
      <c r="D616" s="788"/>
      <c r="E616" s="788"/>
      <c r="F616" s="96" t="s">
        <v>1884</v>
      </c>
      <c r="G616" s="788"/>
      <c r="H616" s="788"/>
      <c r="I616" s="788"/>
      <c r="J616" s="788"/>
      <c r="K616" s="788"/>
      <c r="L616" s="813"/>
      <c r="M616" s="813"/>
      <c r="N616" s="813"/>
      <c r="O616" s="813"/>
      <c r="P616" s="813"/>
      <c r="Q616" s="788"/>
      <c r="R616" s="813"/>
      <c r="S616" s="788"/>
      <c r="T616" s="788"/>
      <c r="U616" s="845"/>
      <c r="V616" s="845"/>
      <c r="W616" s="845"/>
      <c r="X616" s="813"/>
      <c r="Y616" s="60"/>
    </row>
    <row r="617" spans="1:25" s="59" customFormat="1" ht="15.75" customHeight="1">
      <c r="A617" s="788"/>
      <c r="B617" s="788"/>
      <c r="C617" s="788"/>
      <c r="D617" s="788"/>
      <c r="E617" s="788"/>
      <c r="F617" s="97" t="s">
        <v>1885</v>
      </c>
      <c r="G617" s="788"/>
      <c r="H617" s="788"/>
      <c r="I617" s="788"/>
      <c r="J617" s="788"/>
      <c r="K617" s="788"/>
      <c r="L617" s="813"/>
      <c r="M617" s="813"/>
      <c r="N617" s="813"/>
      <c r="O617" s="813"/>
      <c r="P617" s="813"/>
      <c r="Q617" s="788"/>
      <c r="R617" s="813"/>
      <c r="S617" s="788"/>
      <c r="T617" s="788"/>
      <c r="U617" s="845"/>
      <c r="V617" s="845"/>
      <c r="W617" s="845"/>
      <c r="X617" s="813"/>
      <c r="Y617" s="60"/>
    </row>
    <row r="618" spans="1:25" s="59" customFormat="1" ht="15.75" customHeight="1">
      <c r="A618" s="788"/>
      <c r="B618" s="788"/>
      <c r="C618" s="788"/>
      <c r="D618" s="788"/>
      <c r="E618" s="788"/>
      <c r="F618" s="96" t="s">
        <v>1886</v>
      </c>
      <c r="G618" s="788"/>
      <c r="H618" s="788"/>
      <c r="I618" s="788"/>
      <c r="J618" s="788"/>
      <c r="K618" s="788"/>
      <c r="L618" s="813"/>
      <c r="M618" s="813"/>
      <c r="N618" s="813"/>
      <c r="O618" s="813"/>
      <c r="P618" s="813"/>
      <c r="Q618" s="788"/>
      <c r="R618" s="813"/>
      <c r="S618" s="788"/>
      <c r="T618" s="788"/>
      <c r="U618" s="845"/>
      <c r="V618" s="845"/>
      <c r="W618" s="845"/>
      <c r="X618" s="813"/>
      <c r="Y618" s="60"/>
    </row>
    <row r="619" spans="1:25" s="59" customFormat="1" ht="12" customHeight="1">
      <c r="A619" s="794"/>
      <c r="B619" s="794"/>
      <c r="C619" s="794"/>
      <c r="D619" s="794"/>
      <c r="E619" s="794"/>
      <c r="F619" s="97" t="s">
        <v>1887</v>
      </c>
      <c r="G619" s="794"/>
      <c r="H619" s="794"/>
      <c r="I619" s="794"/>
      <c r="J619" s="794"/>
      <c r="K619" s="794"/>
      <c r="L619" s="794"/>
      <c r="M619" s="794"/>
      <c r="N619" s="794"/>
      <c r="O619" s="794"/>
      <c r="P619" s="794"/>
      <c r="Q619" s="794"/>
      <c r="R619" s="794"/>
      <c r="S619" s="794"/>
      <c r="T619" s="794"/>
      <c r="U619" s="816"/>
      <c r="V619" s="816"/>
      <c r="W619" s="816"/>
      <c r="X619" s="839"/>
      <c r="Y619" s="60"/>
    </row>
    <row r="620" spans="1:25" ht="24" customHeight="1">
      <c r="A620" s="9"/>
      <c r="B620" s="9" t="s">
        <v>1485</v>
      </c>
      <c r="C620" s="9" t="s">
        <v>1888</v>
      </c>
      <c r="D620" s="9" t="s">
        <v>1829</v>
      </c>
      <c r="E620" s="9" t="s">
        <v>1508</v>
      </c>
      <c r="F620" s="9" t="s">
        <v>1889</v>
      </c>
      <c r="G620" s="9" t="s">
        <v>1890</v>
      </c>
      <c r="H620" s="10" t="s">
        <v>1891</v>
      </c>
      <c r="I620" s="10" t="s">
        <v>1861</v>
      </c>
      <c r="J620" s="9" t="s">
        <v>1892</v>
      </c>
      <c r="K620" s="9" t="s">
        <v>304</v>
      </c>
      <c r="L620" s="12">
        <v>45032</v>
      </c>
      <c r="M620" s="12">
        <v>45044</v>
      </c>
      <c r="N620" s="12" t="s">
        <v>1893</v>
      </c>
      <c r="O620" s="12">
        <v>45064</v>
      </c>
      <c r="P620" s="12">
        <v>45065</v>
      </c>
      <c r="Q620" s="9" t="s">
        <v>1894</v>
      </c>
      <c r="R620" s="12">
        <v>45075</v>
      </c>
      <c r="S620" s="9" t="s">
        <v>1895</v>
      </c>
      <c r="T620" s="12">
        <v>45128</v>
      </c>
      <c r="U620" s="14"/>
      <c r="V620" s="14" t="s">
        <v>40</v>
      </c>
      <c r="W620" s="14" t="s">
        <v>40</v>
      </c>
      <c r="X620" s="9" t="s">
        <v>40</v>
      </c>
      <c r="Y620" s="2"/>
    </row>
    <row r="621" spans="1:25" s="59" customFormat="1" ht="15.75" customHeight="1">
      <c r="A621" s="850" t="s">
        <v>128</v>
      </c>
      <c r="B621" s="851"/>
      <c r="C621" s="851"/>
      <c r="D621" s="851"/>
      <c r="E621" s="851"/>
      <c r="F621" s="851"/>
      <c r="G621" s="851"/>
      <c r="H621" s="851"/>
      <c r="I621" s="851"/>
      <c r="J621" s="851"/>
      <c r="K621" s="851"/>
      <c r="L621" s="851"/>
      <c r="M621" s="851"/>
      <c r="N621" s="851"/>
      <c r="O621" s="851"/>
      <c r="P621" s="851"/>
      <c r="Q621" s="851"/>
      <c r="R621" s="851"/>
      <c r="S621" s="851"/>
      <c r="T621" s="851"/>
      <c r="U621" s="851"/>
      <c r="V621" s="851"/>
      <c r="W621" s="851"/>
      <c r="X621" s="852"/>
      <c r="Y621" s="60"/>
    </row>
    <row r="622" spans="1:25" s="100" customFormat="1" ht="43.5" customHeight="1">
      <c r="A622" s="9"/>
      <c r="B622" s="9" t="s">
        <v>1896</v>
      </c>
      <c r="C622" s="9" t="s">
        <v>1897</v>
      </c>
      <c r="D622" s="9" t="s">
        <v>1270</v>
      </c>
      <c r="E622" s="9" t="s">
        <v>1700</v>
      </c>
      <c r="F622" s="9" t="s">
        <v>40</v>
      </c>
      <c r="G622" s="9" t="s">
        <v>1898</v>
      </c>
      <c r="H622" s="10" t="s">
        <v>1899</v>
      </c>
      <c r="I622" s="10" t="s">
        <v>40</v>
      </c>
      <c r="J622" s="9" t="s">
        <v>1900</v>
      </c>
      <c r="K622" s="9" t="s">
        <v>201</v>
      </c>
      <c r="L622" s="12">
        <v>45032</v>
      </c>
      <c r="M622" s="12">
        <v>45049</v>
      </c>
      <c r="N622" s="846" t="s">
        <v>1901</v>
      </c>
      <c r="O622" s="847"/>
      <c r="P622" s="848"/>
      <c r="Q622" s="9" t="s">
        <v>1902</v>
      </c>
      <c r="R622" s="12" t="s">
        <v>1903</v>
      </c>
      <c r="S622" s="9" t="s">
        <v>1904</v>
      </c>
      <c r="T622" s="12">
        <v>45034</v>
      </c>
      <c r="U622" s="14">
        <v>500000</v>
      </c>
      <c r="V622" s="14" t="s">
        <v>40</v>
      </c>
      <c r="W622" s="14" t="s">
        <v>40</v>
      </c>
      <c r="X622" s="9" t="s">
        <v>40</v>
      </c>
      <c r="Y622" s="60"/>
    </row>
    <row r="623" spans="1:25" s="59" customFormat="1" ht="15.75" customHeight="1">
      <c r="A623" s="850" t="s">
        <v>1905</v>
      </c>
      <c r="B623" s="851"/>
      <c r="C623" s="851"/>
      <c r="D623" s="851"/>
      <c r="E623" s="851"/>
      <c r="F623" s="851"/>
      <c r="G623" s="851"/>
      <c r="H623" s="851"/>
      <c r="I623" s="851"/>
      <c r="J623" s="851"/>
      <c r="K623" s="851"/>
      <c r="L623" s="851"/>
      <c r="M623" s="851"/>
      <c r="N623" s="851"/>
      <c r="O623" s="851"/>
      <c r="P623" s="851"/>
      <c r="Q623" s="851"/>
      <c r="R623" s="851"/>
      <c r="S623" s="851"/>
      <c r="T623" s="851"/>
      <c r="U623" s="851"/>
      <c r="V623" s="851"/>
      <c r="W623" s="851"/>
      <c r="X623" s="852"/>
      <c r="Y623" s="60"/>
    </row>
    <row r="624" spans="1:25" s="100" customFormat="1" ht="43.5" customHeight="1">
      <c r="A624" s="9"/>
      <c r="B624" s="9" t="s">
        <v>1906</v>
      </c>
      <c r="C624" s="9" t="s">
        <v>1907</v>
      </c>
      <c r="D624" s="9" t="s">
        <v>1908</v>
      </c>
      <c r="E624" s="9" t="s">
        <v>1909</v>
      </c>
      <c r="F624" s="9" t="s">
        <v>1910</v>
      </c>
      <c r="G624" s="9" t="s">
        <v>156</v>
      </c>
      <c r="H624" s="10" t="s">
        <v>1911</v>
      </c>
      <c r="I624" s="10" t="s">
        <v>40</v>
      </c>
      <c r="J624" s="9" t="s">
        <v>1912</v>
      </c>
      <c r="K624" s="9" t="s">
        <v>1913</v>
      </c>
      <c r="L624" s="12" t="s">
        <v>40</v>
      </c>
      <c r="M624" s="12" t="s">
        <v>40</v>
      </c>
      <c r="N624" s="846" t="s">
        <v>1914</v>
      </c>
      <c r="O624" s="847"/>
      <c r="P624" s="848"/>
      <c r="Q624" s="9" t="s">
        <v>1915</v>
      </c>
      <c r="R624" s="12" t="s">
        <v>1916</v>
      </c>
      <c r="S624" s="9" t="s">
        <v>1917</v>
      </c>
      <c r="T624" s="12">
        <v>45034</v>
      </c>
      <c r="U624" s="14">
        <v>700000</v>
      </c>
      <c r="V624" s="14" t="s">
        <v>40</v>
      </c>
      <c r="W624" s="14" t="s">
        <v>40</v>
      </c>
      <c r="X624" s="9" t="s">
        <v>40</v>
      </c>
      <c r="Y624" s="60"/>
    </row>
    <row r="625" spans="1:25" s="100" customFormat="1" ht="43.5" customHeight="1">
      <c r="A625" s="66"/>
      <c r="B625" s="66" t="s">
        <v>1375</v>
      </c>
      <c r="C625" s="66" t="s">
        <v>1918</v>
      </c>
      <c r="D625" s="66" t="s">
        <v>1919</v>
      </c>
      <c r="E625" s="66" t="s">
        <v>1920</v>
      </c>
      <c r="F625" s="66" t="s">
        <v>40</v>
      </c>
      <c r="G625" s="66" t="s">
        <v>1921</v>
      </c>
      <c r="H625" s="67" t="s">
        <v>1922</v>
      </c>
      <c r="I625" s="67" t="s">
        <v>40</v>
      </c>
      <c r="J625" s="66" t="s">
        <v>1923</v>
      </c>
      <c r="K625" s="66" t="s">
        <v>1924</v>
      </c>
      <c r="L625" s="68">
        <v>45029</v>
      </c>
      <c r="M625" s="68">
        <v>45032</v>
      </c>
      <c r="N625" s="800" t="s">
        <v>1925</v>
      </c>
      <c r="O625" s="801"/>
      <c r="P625" s="802"/>
      <c r="Q625" s="66" t="s">
        <v>1926</v>
      </c>
      <c r="R625" s="68">
        <v>45021</v>
      </c>
      <c r="S625" s="66" t="s">
        <v>1927</v>
      </c>
      <c r="T625" s="68">
        <v>45090</v>
      </c>
      <c r="U625" s="69">
        <v>16800000</v>
      </c>
      <c r="V625" s="69">
        <v>1500000</v>
      </c>
      <c r="W625" s="69" t="s">
        <v>59</v>
      </c>
      <c r="X625" s="68">
        <v>45079</v>
      </c>
      <c r="Y625" s="60"/>
    </row>
    <row r="626" spans="1:25" s="59" customFormat="1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4"/>
      <c r="M626" s="35"/>
      <c r="N626" s="54"/>
      <c r="O626" s="54"/>
      <c r="P626" s="54"/>
      <c r="Q626" s="53"/>
      <c r="R626" s="53"/>
      <c r="S626" s="53"/>
      <c r="T626" s="36" t="s">
        <v>163</v>
      </c>
      <c r="U626" s="27">
        <f>SUM(U561:U625)</f>
        <v>153205149</v>
      </c>
      <c r="V626" s="27"/>
      <c r="W626" s="49"/>
      <c r="X626" s="53"/>
      <c r="Y626" s="60"/>
    </row>
    <row r="627" spans="1:25" s="59" customFormat="1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4"/>
      <c r="M627" s="35"/>
      <c r="N627" s="54"/>
      <c r="O627" s="54"/>
      <c r="P627" s="54"/>
      <c r="Q627" s="53"/>
      <c r="R627" s="53"/>
      <c r="S627" s="53"/>
      <c r="T627" s="36" t="s">
        <v>544</v>
      </c>
      <c r="U627" s="101">
        <v>36000000</v>
      </c>
      <c r="V627" s="102" t="s">
        <v>278</v>
      </c>
      <c r="W627" s="49"/>
      <c r="X627" s="53"/>
      <c r="Y627" s="60"/>
    </row>
    <row r="628" spans="1:25" s="59" customFormat="1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35"/>
      <c r="N628" s="35"/>
      <c r="O628" s="35"/>
      <c r="P628" s="35"/>
      <c r="Q628" s="23"/>
      <c r="R628" s="23"/>
      <c r="S628" s="23"/>
      <c r="T628" s="36"/>
      <c r="U628" s="27">
        <f>U626-U627</f>
        <v>117205149</v>
      </c>
      <c r="V628" s="102"/>
      <c r="W628" s="55"/>
      <c r="X628" s="23"/>
      <c r="Y628" s="60"/>
    </row>
    <row r="629" spans="1:25" s="59" customFormat="1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3"/>
      <c r="N629" s="22"/>
      <c r="O629" s="22"/>
      <c r="P629" s="22"/>
      <c r="Q629" s="22"/>
      <c r="R629" s="22"/>
      <c r="S629" s="22"/>
      <c r="T629" s="36" t="s">
        <v>165</v>
      </c>
      <c r="U629" s="27">
        <f>U626*12.5/100</f>
        <v>19150643.625</v>
      </c>
      <c r="V629" s="27">
        <f>U626*10/100</f>
        <v>15320514.9</v>
      </c>
      <c r="W629" s="27">
        <f>U628*5/100</f>
        <v>5860257.4500000002</v>
      </c>
      <c r="X629" s="22"/>
      <c r="Y629" s="60"/>
    </row>
    <row r="630" spans="1:25" s="59" customFormat="1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3"/>
      <c r="N630" s="22"/>
      <c r="O630" s="22"/>
      <c r="P630" s="22"/>
      <c r="Q630" s="22"/>
      <c r="R630" s="22"/>
      <c r="S630" s="22"/>
      <c r="T630" s="22"/>
      <c r="U630" s="22"/>
      <c r="V630" s="29">
        <f>V629+W629</f>
        <v>21180772.350000001</v>
      </c>
      <c r="W630" s="22"/>
      <c r="X630" s="22"/>
      <c r="Y630" s="60"/>
    </row>
    <row r="631" spans="1:25" s="59" customFormat="1" ht="45.75" customHeight="1">
      <c r="A631" s="861" t="s">
        <v>1928</v>
      </c>
      <c r="B631" s="862"/>
      <c r="C631" s="862"/>
      <c r="D631" s="862"/>
      <c r="E631" s="862"/>
      <c r="F631" s="862"/>
      <c r="G631" s="862"/>
      <c r="H631" s="862"/>
      <c r="I631" s="862"/>
      <c r="J631" s="862"/>
      <c r="K631" s="862"/>
      <c r="L631" s="862"/>
      <c r="M631" s="862"/>
      <c r="N631" s="862"/>
      <c r="O631" s="862"/>
      <c r="P631" s="862"/>
      <c r="Q631" s="862"/>
      <c r="R631" s="862"/>
      <c r="S631" s="862"/>
      <c r="T631" s="862"/>
      <c r="U631" s="862"/>
      <c r="V631" s="862"/>
      <c r="W631" s="862"/>
      <c r="X631" s="862"/>
      <c r="Y631" s="60"/>
    </row>
    <row r="632" spans="1:25" s="74" customFormat="1" ht="30.75" customHeight="1">
      <c r="A632" s="75" t="s">
        <v>1</v>
      </c>
      <c r="B632" s="76" t="s">
        <v>2</v>
      </c>
      <c r="C632" s="77" t="s">
        <v>3</v>
      </c>
      <c r="D632" s="77" t="s">
        <v>4</v>
      </c>
      <c r="E632" s="77" t="s">
        <v>5</v>
      </c>
      <c r="F632" s="77" t="s">
        <v>6</v>
      </c>
      <c r="G632" s="77" t="s">
        <v>7</v>
      </c>
      <c r="H632" s="77" t="s">
        <v>167</v>
      </c>
      <c r="I632" s="77" t="s">
        <v>9</v>
      </c>
      <c r="J632" s="77" t="s">
        <v>10</v>
      </c>
      <c r="K632" s="77" t="s">
        <v>11</v>
      </c>
      <c r="L632" s="77" t="s">
        <v>12</v>
      </c>
      <c r="M632" s="78" t="s">
        <v>13</v>
      </c>
      <c r="N632" s="77" t="s">
        <v>14</v>
      </c>
      <c r="O632" s="77" t="s">
        <v>15</v>
      </c>
      <c r="P632" s="77" t="s">
        <v>16</v>
      </c>
      <c r="Q632" s="79" t="s">
        <v>17</v>
      </c>
      <c r="R632" s="80" t="s">
        <v>18</v>
      </c>
      <c r="S632" s="80" t="s">
        <v>19</v>
      </c>
      <c r="T632" s="80" t="s">
        <v>20</v>
      </c>
      <c r="U632" s="77" t="s">
        <v>21</v>
      </c>
      <c r="V632" s="77" t="s">
        <v>22</v>
      </c>
      <c r="W632" s="77" t="s">
        <v>23</v>
      </c>
      <c r="X632" s="77" t="s">
        <v>24</v>
      </c>
      <c r="Y632" s="81"/>
    </row>
    <row r="633" spans="1:25" s="59" customFormat="1" ht="15.75" customHeight="1">
      <c r="A633" s="807" t="s">
        <v>25</v>
      </c>
      <c r="B633" s="808"/>
      <c r="C633" s="808"/>
      <c r="D633" s="808"/>
      <c r="E633" s="808"/>
      <c r="F633" s="808"/>
      <c r="G633" s="808"/>
      <c r="H633" s="808"/>
      <c r="I633" s="808"/>
      <c r="J633" s="808"/>
      <c r="K633" s="808"/>
      <c r="L633" s="808"/>
      <c r="M633" s="808"/>
      <c r="N633" s="808"/>
      <c r="O633" s="808"/>
      <c r="P633" s="808"/>
      <c r="Q633" s="808"/>
      <c r="R633" s="808"/>
      <c r="S633" s="808"/>
      <c r="T633" s="808"/>
      <c r="U633" s="808"/>
      <c r="V633" s="808"/>
      <c r="W633" s="808"/>
      <c r="X633" s="809"/>
      <c r="Y633" s="60"/>
    </row>
    <row r="634" spans="1:25" ht="24" customHeight="1">
      <c r="A634" s="9"/>
      <c r="B634" s="9" t="s">
        <v>1485</v>
      </c>
      <c r="C634" s="9" t="s">
        <v>1929</v>
      </c>
      <c r="D634" s="9" t="s">
        <v>1829</v>
      </c>
      <c r="E634" s="9" t="s">
        <v>1562</v>
      </c>
      <c r="F634" s="9" t="s">
        <v>1930</v>
      </c>
      <c r="G634" s="9" t="s">
        <v>1931</v>
      </c>
      <c r="H634" s="10" t="s">
        <v>1932</v>
      </c>
      <c r="I634" s="10" t="s">
        <v>1933</v>
      </c>
      <c r="J634" s="9" t="s">
        <v>1050</v>
      </c>
      <c r="K634" s="9" t="s">
        <v>99</v>
      </c>
      <c r="L634" s="12">
        <v>45041</v>
      </c>
      <c r="M634" s="12">
        <v>45048</v>
      </c>
      <c r="N634" s="12">
        <v>45051</v>
      </c>
      <c r="O634" s="12">
        <v>45051</v>
      </c>
      <c r="P634" s="12">
        <v>45082</v>
      </c>
      <c r="Q634" s="9" t="s">
        <v>1894</v>
      </c>
      <c r="R634" s="12">
        <v>45075</v>
      </c>
      <c r="S634" s="9" t="s">
        <v>1934</v>
      </c>
      <c r="T634" s="12">
        <v>45128</v>
      </c>
      <c r="U634" s="14">
        <v>850000</v>
      </c>
      <c r="V634" s="14" t="s">
        <v>40</v>
      </c>
      <c r="W634" s="14" t="s">
        <v>40</v>
      </c>
      <c r="X634" s="9" t="s">
        <v>40</v>
      </c>
      <c r="Y634" s="2"/>
    </row>
    <row r="635" spans="1:25" s="59" customFormat="1" ht="15.75" customHeight="1">
      <c r="A635" s="787"/>
      <c r="B635" s="787" t="s">
        <v>1375</v>
      </c>
      <c r="C635" s="787">
        <v>914906633</v>
      </c>
      <c r="D635" s="787" t="s">
        <v>1847</v>
      </c>
      <c r="E635" s="867" t="s">
        <v>1679</v>
      </c>
      <c r="F635" s="96" t="s">
        <v>1935</v>
      </c>
      <c r="G635" s="869" t="s">
        <v>1936</v>
      </c>
      <c r="H635" s="790" t="s">
        <v>1937</v>
      </c>
      <c r="I635" s="790" t="s">
        <v>1938</v>
      </c>
      <c r="J635" s="787" t="s">
        <v>66</v>
      </c>
      <c r="K635" s="787" t="s">
        <v>1782</v>
      </c>
      <c r="L635" s="796">
        <v>45039</v>
      </c>
      <c r="M635" s="796">
        <v>45050</v>
      </c>
      <c r="N635" s="796">
        <v>45051</v>
      </c>
      <c r="O635" s="796">
        <v>45051</v>
      </c>
      <c r="P635" s="796">
        <v>45052</v>
      </c>
      <c r="Q635" s="787" t="s">
        <v>1939</v>
      </c>
      <c r="R635" s="796">
        <v>45057</v>
      </c>
      <c r="S635" s="787" t="s">
        <v>1940</v>
      </c>
      <c r="T635" s="796" t="s">
        <v>1853</v>
      </c>
      <c r="U635" s="815">
        <v>6360600</v>
      </c>
      <c r="V635" s="815">
        <v>500000</v>
      </c>
      <c r="W635" s="815" t="s">
        <v>1384</v>
      </c>
      <c r="X635" s="796">
        <v>45091</v>
      </c>
      <c r="Y635" s="60"/>
    </row>
    <row r="636" spans="1:25" s="59" customFormat="1" ht="15.75" customHeight="1">
      <c r="A636" s="788"/>
      <c r="B636" s="788"/>
      <c r="C636" s="788"/>
      <c r="D636" s="788"/>
      <c r="E636" s="906"/>
      <c r="F636" s="96" t="s">
        <v>1941</v>
      </c>
      <c r="G636" s="856"/>
      <c r="H636" s="788"/>
      <c r="I636" s="788"/>
      <c r="J636" s="788"/>
      <c r="K636" s="788"/>
      <c r="L636" s="813"/>
      <c r="M636" s="813"/>
      <c r="N636" s="813"/>
      <c r="O636" s="813"/>
      <c r="P636" s="813"/>
      <c r="Q636" s="788"/>
      <c r="R636" s="813"/>
      <c r="S636" s="788"/>
      <c r="T636" s="813"/>
      <c r="U636" s="815"/>
      <c r="V636" s="845"/>
      <c r="W636" s="845"/>
      <c r="X636" s="813"/>
      <c r="Y636" s="60"/>
    </row>
    <row r="637" spans="1:25" s="59" customFormat="1" ht="15.75" customHeight="1">
      <c r="A637" s="788"/>
      <c r="B637" s="788"/>
      <c r="C637" s="788"/>
      <c r="D637" s="788"/>
      <c r="E637" s="906"/>
      <c r="F637" s="96" t="s">
        <v>1855</v>
      </c>
      <c r="G637" s="856"/>
      <c r="H637" s="788"/>
      <c r="I637" s="788"/>
      <c r="J637" s="788"/>
      <c r="K637" s="788"/>
      <c r="L637" s="813"/>
      <c r="M637" s="813"/>
      <c r="N637" s="813"/>
      <c r="O637" s="813"/>
      <c r="P637" s="813"/>
      <c r="Q637" s="788"/>
      <c r="R637" s="813"/>
      <c r="S637" s="788"/>
      <c r="T637" s="813"/>
      <c r="U637" s="815"/>
      <c r="V637" s="816"/>
      <c r="W637" s="816"/>
      <c r="X637" s="839"/>
      <c r="Y637" s="60"/>
    </row>
    <row r="638" spans="1:25" s="59" customFormat="1" ht="15.75" customHeight="1">
      <c r="A638" s="788"/>
      <c r="B638" s="788"/>
      <c r="C638" s="788"/>
      <c r="D638" s="788"/>
      <c r="E638" s="906"/>
      <c r="F638" s="96" t="s">
        <v>1856</v>
      </c>
      <c r="G638" s="856"/>
      <c r="H638" s="788"/>
      <c r="I638" s="788"/>
      <c r="J638" s="788"/>
      <c r="K638" s="788"/>
      <c r="L638" s="813"/>
      <c r="M638" s="813"/>
      <c r="N638" s="813"/>
      <c r="O638" s="813"/>
      <c r="P638" s="813"/>
      <c r="Q638" s="788"/>
      <c r="R638" s="813"/>
      <c r="S638" s="788"/>
      <c r="T638" s="813"/>
      <c r="U638" s="815"/>
      <c r="V638" s="815">
        <v>1000000</v>
      </c>
      <c r="W638" s="815" t="s">
        <v>59</v>
      </c>
      <c r="X638" s="796">
        <v>45079</v>
      </c>
      <c r="Y638" s="60"/>
    </row>
    <row r="639" spans="1:25" s="59" customFormat="1" ht="15.75" customHeight="1">
      <c r="A639" s="794"/>
      <c r="B639" s="794"/>
      <c r="C639" s="794"/>
      <c r="D639" s="794"/>
      <c r="E639" s="868"/>
      <c r="F639" s="97" t="s">
        <v>1857</v>
      </c>
      <c r="G639" s="809"/>
      <c r="H639" s="794"/>
      <c r="I639" s="794"/>
      <c r="J639" s="794"/>
      <c r="K639" s="794"/>
      <c r="L639" s="794"/>
      <c r="M639" s="794"/>
      <c r="N639" s="839"/>
      <c r="O639" s="839"/>
      <c r="P639" s="839"/>
      <c r="Q639" s="794"/>
      <c r="R639" s="794"/>
      <c r="S639" s="794"/>
      <c r="T639" s="794"/>
      <c r="U639" s="815"/>
      <c r="V639" s="845"/>
      <c r="W639" s="845"/>
      <c r="X639" s="813"/>
      <c r="Y639" s="60"/>
    </row>
    <row r="640" spans="1:25" s="59" customFormat="1" ht="24.75" customHeight="1">
      <c r="A640" s="787"/>
      <c r="B640" s="787" t="s">
        <v>1375</v>
      </c>
      <c r="C640" s="787" t="s">
        <v>1942</v>
      </c>
      <c r="D640" s="787" t="s">
        <v>1943</v>
      </c>
      <c r="E640" s="787" t="s">
        <v>1944</v>
      </c>
      <c r="F640" s="787" t="s">
        <v>1945</v>
      </c>
      <c r="G640" s="787" t="s">
        <v>71</v>
      </c>
      <c r="H640" s="790" t="s">
        <v>1946</v>
      </c>
      <c r="I640" s="790" t="s">
        <v>1947</v>
      </c>
      <c r="J640" s="787" t="s">
        <v>200</v>
      </c>
      <c r="K640" s="787" t="s">
        <v>194</v>
      </c>
      <c r="L640" s="796">
        <v>45047</v>
      </c>
      <c r="M640" s="796">
        <v>45053</v>
      </c>
      <c r="N640" s="796">
        <v>45057</v>
      </c>
      <c r="O640" s="796">
        <v>45059</v>
      </c>
      <c r="P640" s="796">
        <v>45059</v>
      </c>
      <c r="Q640" s="787" t="s">
        <v>40</v>
      </c>
      <c r="R640" s="905" t="s">
        <v>1948</v>
      </c>
      <c r="S640" s="787" t="s">
        <v>1949</v>
      </c>
      <c r="T640" s="796">
        <v>45140</v>
      </c>
      <c r="U640" s="815">
        <v>16765830</v>
      </c>
      <c r="V640" s="14">
        <v>1550000</v>
      </c>
      <c r="W640" s="14" t="s">
        <v>1384</v>
      </c>
      <c r="X640" s="12">
        <v>45100</v>
      </c>
      <c r="Y640" s="60"/>
    </row>
    <row r="641" spans="1:25" s="59" customFormat="1" ht="24.75" customHeight="1">
      <c r="A641" s="794"/>
      <c r="B641" s="794"/>
      <c r="C641" s="794"/>
      <c r="D641" s="794"/>
      <c r="E641" s="794"/>
      <c r="F641" s="964"/>
      <c r="G641" s="794"/>
      <c r="H641" s="794"/>
      <c r="I641" s="794"/>
      <c r="J641" s="794"/>
      <c r="K641" s="794"/>
      <c r="L641" s="794"/>
      <c r="M641" s="794"/>
      <c r="N641" s="794"/>
      <c r="O641" s="794"/>
      <c r="P641" s="794"/>
      <c r="Q641" s="794"/>
      <c r="R641" s="794"/>
      <c r="S641" s="794"/>
      <c r="T641" s="794"/>
      <c r="U641" s="815"/>
      <c r="V641" s="14">
        <v>1000000</v>
      </c>
      <c r="W641" s="14" t="s">
        <v>59</v>
      </c>
      <c r="X641" s="12">
        <v>45070</v>
      </c>
      <c r="Y641" s="60"/>
    </row>
    <row r="642" spans="1:25" s="59" customFormat="1" ht="27.75" customHeight="1">
      <c r="A642" s="786"/>
      <c r="B642" s="786" t="s">
        <v>1375</v>
      </c>
      <c r="C642" s="786" t="s">
        <v>1950</v>
      </c>
      <c r="D642" s="786" t="s">
        <v>1588</v>
      </c>
      <c r="E642" s="786" t="s">
        <v>1700</v>
      </c>
      <c r="F642" s="96" t="s">
        <v>1951</v>
      </c>
      <c r="G642" s="786" t="s">
        <v>156</v>
      </c>
      <c r="H642" s="785" t="s">
        <v>1952</v>
      </c>
      <c r="I642" s="785" t="s">
        <v>1953</v>
      </c>
      <c r="J642" s="786" t="s">
        <v>1954</v>
      </c>
      <c r="K642" s="786" t="s">
        <v>99</v>
      </c>
      <c r="L642" s="793">
        <v>45047</v>
      </c>
      <c r="M642" s="793">
        <v>45054</v>
      </c>
      <c r="N642" s="793">
        <v>45054</v>
      </c>
      <c r="O642" s="793">
        <v>45054</v>
      </c>
      <c r="P642" s="793">
        <v>45055</v>
      </c>
      <c r="Q642" s="786" t="s">
        <v>1834</v>
      </c>
      <c r="R642" s="793">
        <v>45091</v>
      </c>
      <c r="S642" s="786" t="s">
        <v>1955</v>
      </c>
      <c r="T642" s="793">
        <v>45134</v>
      </c>
      <c r="U642" s="814">
        <v>2000000</v>
      </c>
      <c r="V642" s="93">
        <v>200000</v>
      </c>
      <c r="W642" s="93" t="s">
        <v>1384</v>
      </c>
      <c r="X642" s="94" t="s">
        <v>1956</v>
      </c>
      <c r="Y642" s="60"/>
    </row>
    <row r="643" spans="1:25" s="59" customFormat="1" ht="24.75" customHeight="1">
      <c r="A643" s="786"/>
      <c r="B643" s="786"/>
      <c r="C643" s="786"/>
      <c r="D643" s="786"/>
      <c r="E643" s="786"/>
      <c r="F643" s="96" t="s">
        <v>1957</v>
      </c>
      <c r="G643" s="786"/>
      <c r="H643" s="786"/>
      <c r="I643" s="786"/>
      <c r="J643" s="786"/>
      <c r="K643" s="786"/>
      <c r="L643" s="793"/>
      <c r="M643" s="793"/>
      <c r="N643" s="793"/>
      <c r="O643" s="793"/>
      <c r="P643" s="793"/>
      <c r="Q643" s="786"/>
      <c r="R643" s="793"/>
      <c r="S643" s="786"/>
      <c r="T643" s="793"/>
      <c r="U643" s="814"/>
      <c r="V643" s="93">
        <v>500000</v>
      </c>
      <c r="W643" s="93" t="s">
        <v>59</v>
      </c>
      <c r="X643" s="94">
        <v>45104</v>
      </c>
      <c r="Y643" s="60"/>
    </row>
    <row r="644" spans="1:25" s="59" customFormat="1" ht="15.75" customHeight="1">
      <c r="A644" s="787"/>
      <c r="B644" s="787" t="s">
        <v>1375</v>
      </c>
      <c r="C644" s="787">
        <v>226906048</v>
      </c>
      <c r="D644" s="787" t="s">
        <v>1847</v>
      </c>
      <c r="E644" s="867" t="s">
        <v>1679</v>
      </c>
      <c r="F644" s="96" t="s">
        <v>1958</v>
      </c>
      <c r="G644" s="869" t="s">
        <v>1959</v>
      </c>
      <c r="H644" s="790" t="s">
        <v>1960</v>
      </c>
      <c r="I644" s="790" t="s">
        <v>1961</v>
      </c>
      <c r="J644" s="787" t="s">
        <v>66</v>
      </c>
      <c r="K644" s="787" t="s">
        <v>1782</v>
      </c>
      <c r="L644" s="796">
        <v>45044</v>
      </c>
      <c r="M644" s="796">
        <v>45057</v>
      </c>
      <c r="N644" s="796">
        <v>45058</v>
      </c>
      <c r="O644" s="796">
        <v>45058</v>
      </c>
      <c r="P644" s="796">
        <v>45059</v>
      </c>
      <c r="Q644" s="787" t="s">
        <v>1894</v>
      </c>
      <c r="R644" s="796">
        <v>45057</v>
      </c>
      <c r="S644" s="787" t="s">
        <v>1962</v>
      </c>
      <c r="T644" s="796" t="s">
        <v>1853</v>
      </c>
      <c r="U644" s="923">
        <v>5038900</v>
      </c>
      <c r="V644" s="814">
        <v>300000</v>
      </c>
      <c r="W644" s="814" t="s">
        <v>1384</v>
      </c>
      <c r="X644" s="793">
        <v>45100</v>
      </c>
      <c r="Y644" s="60"/>
    </row>
    <row r="645" spans="1:25" s="59" customFormat="1" ht="15.75" customHeight="1">
      <c r="A645" s="788"/>
      <c r="B645" s="788"/>
      <c r="C645" s="788"/>
      <c r="D645" s="788"/>
      <c r="E645" s="906"/>
      <c r="F645" s="96" t="s">
        <v>1963</v>
      </c>
      <c r="G645" s="856"/>
      <c r="H645" s="788"/>
      <c r="I645" s="788"/>
      <c r="J645" s="788"/>
      <c r="K645" s="788"/>
      <c r="L645" s="813"/>
      <c r="M645" s="813"/>
      <c r="N645" s="813"/>
      <c r="O645" s="813"/>
      <c r="P645" s="813"/>
      <c r="Q645" s="788"/>
      <c r="R645" s="813"/>
      <c r="S645" s="788"/>
      <c r="T645" s="813"/>
      <c r="U645" s="923"/>
      <c r="V645" s="814"/>
      <c r="W645" s="814"/>
      <c r="X645" s="793"/>
      <c r="Y645" s="60"/>
    </row>
    <row r="646" spans="1:25" s="59" customFormat="1" ht="24.75" customHeight="1">
      <c r="A646" s="788"/>
      <c r="B646" s="788"/>
      <c r="C646" s="788"/>
      <c r="D646" s="788"/>
      <c r="E646" s="906"/>
      <c r="F646" s="96" t="s">
        <v>1964</v>
      </c>
      <c r="G646" s="856"/>
      <c r="H646" s="788"/>
      <c r="I646" s="788"/>
      <c r="J646" s="788"/>
      <c r="K646" s="788"/>
      <c r="L646" s="813"/>
      <c r="M646" s="813"/>
      <c r="N646" s="813"/>
      <c r="O646" s="813"/>
      <c r="P646" s="813"/>
      <c r="Q646" s="788"/>
      <c r="R646" s="813"/>
      <c r="S646" s="788"/>
      <c r="T646" s="813"/>
      <c r="U646" s="815"/>
      <c r="V646" s="20">
        <v>600000</v>
      </c>
      <c r="W646" s="20" t="s">
        <v>59</v>
      </c>
      <c r="X646" s="40">
        <v>45079</v>
      </c>
      <c r="Y646" s="60"/>
    </row>
    <row r="647" spans="1:25" s="59" customFormat="1" ht="24.75" customHeight="1">
      <c r="A647" s="9"/>
      <c r="B647" s="9" t="s">
        <v>749</v>
      </c>
      <c r="C647" s="9" t="s">
        <v>1965</v>
      </c>
      <c r="D647" s="9" t="s">
        <v>1599</v>
      </c>
      <c r="E647" s="9" t="s">
        <v>1966</v>
      </c>
      <c r="F647" s="9" t="s">
        <v>1967</v>
      </c>
      <c r="G647" s="9" t="s">
        <v>270</v>
      </c>
      <c r="H647" s="9" t="s">
        <v>1968</v>
      </c>
      <c r="I647" s="10" t="s">
        <v>1876</v>
      </c>
      <c r="J647" s="9" t="s">
        <v>754</v>
      </c>
      <c r="K647" s="9" t="s">
        <v>99</v>
      </c>
      <c r="L647" s="12">
        <v>45018</v>
      </c>
      <c r="M647" s="12">
        <v>45060</v>
      </c>
      <c r="N647" s="12">
        <v>45063</v>
      </c>
      <c r="O647" s="12">
        <v>45063</v>
      </c>
      <c r="P647" s="12">
        <v>45063</v>
      </c>
      <c r="Q647" s="9" t="s">
        <v>1969</v>
      </c>
      <c r="R647" s="12">
        <v>45072</v>
      </c>
      <c r="S647" s="9" t="s">
        <v>1970</v>
      </c>
      <c r="T647" s="12">
        <v>45113</v>
      </c>
      <c r="U647" s="14">
        <v>2140000</v>
      </c>
      <c r="V647" s="14">
        <v>400000</v>
      </c>
      <c r="W647" s="14" t="s">
        <v>1606</v>
      </c>
      <c r="X647" s="12">
        <v>45034</v>
      </c>
      <c r="Y647" s="60"/>
    </row>
    <row r="648" spans="1:25" ht="24" customHeight="1">
      <c r="A648" s="9"/>
      <c r="B648" s="9" t="s">
        <v>1485</v>
      </c>
      <c r="C648" s="9" t="s">
        <v>1971</v>
      </c>
      <c r="D648" s="9" t="s">
        <v>1829</v>
      </c>
      <c r="E648" s="9" t="s">
        <v>1651</v>
      </c>
      <c r="F648" s="9" t="s">
        <v>1972</v>
      </c>
      <c r="G648" s="9" t="s">
        <v>1931</v>
      </c>
      <c r="H648" s="9" t="s">
        <v>1973</v>
      </c>
      <c r="I648" s="10" t="s">
        <v>1974</v>
      </c>
      <c r="J648" s="9" t="s">
        <v>1975</v>
      </c>
      <c r="K648" s="9" t="s">
        <v>99</v>
      </c>
      <c r="L648" s="12">
        <v>45047</v>
      </c>
      <c r="M648" s="12">
        <v>45061</v>
      </c>
      <c r="N648" s="12">
        <v>45063</v>
      </c>
      <c r="O648" s="12">
        <v>45064</v>
      </c>
      <c r="P648" s="12">
        <v>45065</v>
      </c>
      <c r="Q648" s="9" t="s">
        <v>1671</v>
      </c>
      <c r="R648" s="12">
        <v>45075</v>
      </c>
      <c r="S648" s="9" t="s">
        <v>1976</v>
      </c>
      <c r="T648" s="12">
        <v>45128</v>
      </c>
      <c r="U648" s="14">
        <v>1250000</v>
      </c>
      <c r="V648" s="14" t="s">
        <v>40</v>
      </c>
      <c r="W648" s="14" t="s">
        <v>40</v>
      </c>
      <c r="X648" s="9" t="s">
        <v>40</v>
      </c>
      <c r="Y648" s="2"/>
    </row>
    <row r="649" spans="1:25" s="59" customFormat="1" ht="25.5" customHeight="1">
      <c r="A649" s="787"/>
      <c r="B649" s="787" t="s">
        <v>1977</v>
      </c>
      <c r="C649" s="787" t="s">
        <v>1978</v>
      </c>
      <c r="D649" s="787" t="s">
        <v>1979</v>
      </c>
      <c r="E649" s="867" t="s">
        <v>1980</v>
      </c>
      <c r="F649" s="96" t="s">
        <v>1981</v>
      </c>
      <c r="G649" s="869" t="s">
        <v>63</v>
      </c>
      <c r="H649" s="790" t="s">
        <v>1982</v>
      </c>
      <c r="I649" s="790" t="s">
        <v>1983</v>
      </c>
      <c r="J649" s="787" t="s">
        <v>934</v>
      </c>
      <c r="K649" s="787" t="s">
        <v>304</v>
      </c>
      <c r="L649" s="796">
        <v>45043</v>
      </c>
      <c r="M649" s="796">
        <v>45064</v>
      </c>
      <c r="N649" s="796">
        <v>45068</v>
      </c>
      <c r="O649" s="796">
        <v>45068</v>
      </c>
      <c r="P649" s="796">
        <v>45069</v>
      </c>
      <c r="Q649" s="787" t="s">
        <v>1984</v>
      </c>
      <c r="R649" s="796">
        <v>45103</v>
      </c>
      <c r="S649" s="787" t="s">
        <v>1985</v>
      </c>
      <c r="T649" s="796">
        <v>45162</v>
      </c>
      <c r="U649" s="815">
        <v>800000</v>
      </c>
      <c r="V649" s="14">
        <v>100000</v>
      </c>
      <c r="W649" s="14" t="s">
        <v>59</v>
      </c>
      <c r="X649" s="12">
        <v>45132</v>
      </c>
      <c r="Y649" s="60"/>
    </row>
    <row r="650" spans="1:25" s="59" customFormat="1" ht="25.5" customHeight="1">
      <c r="A650" s="794"/>
      <c r="B650" s="794"/>
      <c r="C650" s="794"/>
      <c r="D650" s="794"/>
      <c r="E650" s="868"/>
      <c r="F650" s="97" t="s">
        <v>1986</v>
      </c>
      <c r="G650" s="809"/>
      <c r="H650" s="794"/>
      <c r="I650" s="794"/>
      <c r="J650" s="794"/>
      <c r="K650" s="794"/>
      <c r="L650" s="794"/>
      <c r="M650" s="794"/>
      <c r="N650" s="839"/>
      <c r="O650" s="839"/>
      <c r="P650" s="839"/>
      <c r="Q650" s="794"/>
      <c r="R650" s="794"/>
      <c r="S650" s="794"/>
      <c r="T650" s="794"/>
      <c r="U650" s="816"/>
      <c r="V650" s="14">
        <v>250000</v>
      </c>
      <c r="W650" s="14" t="s">
        <v>1987</v>
      </c>
      <c r="X650" s="12">
        <v>45163</v>
      </c>
      <c r="Y650" s="60"/>
    </row>
    <row r="651" spans="1:25" s="59" customFormat="1" ht="24" customHeight="1">
      <c r="A651" s="9"/>
      <c r="B651" s="9" t="s">
        <v>749</v>
      </c>
      <c r="C651" s="9" t="s">
        <v>1988</v>
      </c>
      <c r="D651" s="9" t="s">
        <v>1599</v>
      </c>
      <c r="E651" s="9" t="s">
        <v>1989</v>
      </c>
      <c r="F651" s="9" t="s">
        <v>1990</v>
      </c>
      <c r="G651" s="9" t="s">
        <v>30</v>
      </c>
      <c r="H651" s="10" t="s">
        <v>1991</v>
      </c>
      <c r="I651" s="10" t="s">
        <v>1992</v>
      </c>
      <c r="J651" s="9" t="s">
        <v>1993</v>
      </c>
      <c r="K651" s="9" t="s">
        <v>376</v>
      </c>
      <c r="L651" s="12">
        <v>45037</v>
      </c>
      <c r="M651" s="12">
        <v>45066</v>
      </c>
      <c r="N651" s="12">
        <v>45069</v>
      </c>
      <c r="O651" s="12">
        <v>45070</v>
      </c>
      <c r="P651" s="12">
        <v>45070</v>
      </c>
      <c r="Q651" s="9" t="s">
        <v>1629</v>
      </c>
      <c r="R651" s="12">
        <v>45091</v>
      </c>
      <c r="S651" s="9" t="s">
        <v>1994</v>
      </c>
      <c r="T651" s="12">
        <v>45128</v>
      </c>
      <c r="U651" s="14">
        <v>2850000</v>
      </c>
      <c r="V651" s="14">
        <v>250000</v>
      </c>
      <c r="W651" s="14" t="s">
        <v>1606</v>
      </c>
      <c r="X651" s="12">
        <v>45055</v>
      </c>
      <c r="Y651" s="60"/>
    </row>
    <row r="652" spans="1:25" ht="24" customHeight="1">
      <c r="A652" s="9"/>
      <c r="B652" s="9" t="s">
        <v>1485</v>
      </c>
      <c r="C652" s="9" t="s">
        <v>1995</v>
      </c>
      <c r="D652" s="9" t="s">
        <v>1829</v>
      </c>
      <c r="E652" s="9" t="s">
        <v>1608</v>
      </c>
      <c r="F652" s="9" t="s">
        <v>1996</v>
      </c>
      <c r="G652" s="9" t="s">
        <v>1931</v>
      </c>
      <c r="H652" s="9" t="s">
        <v>1997</v>
      </c>
      <c r="I652" s="10" t="s">
        <v>1998</v>
      </c>
      <c r="J652" s="9" t="s">
        <v>1050</v>
      </c>
      <c r="K652" s="9" t="s">
        <v>99</v>
      </c>
      <c r="L652" s="12">
        <v>45060</v>
      </c>
      <c r="M652" s="12">
        <v>45067</v>
      </c>
      <c r="N652" s="12">
        <v>45070</v>
      </c>
      <c r="O652" s="12">
        <v>45071</v>
      </c>
      <c r="P652" s="12">
        <v>45071</v>
      </c>
      <c r="Q652" s="9" t="s">
        <v>1999</v>
      </c>
      <c r="R652" s="12">
        <v>45097</v>
      </c>
      <c r="S652" s="9" t="s">
        <v>2000</v>
      </c>
      <c r="T652" s="12">
        <v>45128</v>
      </c>
      <c r="U652" s="14">
        <v>1050000</v>
      </c>
      <c r="V652" s="14" t="s">
        <v>40</v>
      </c>
      <c r="W652" s="14" t="s">
        <v>40</v>
      </c>
      <c r="X652" s="9" t="s">
        <v>40</v>
      </c>
      <c r="Y652" s="2"/>
    </row>
    <row r="653" spans="1:25" s="59" customFormat="1" ht="15.75" customHeight="1">
      <c r="A653" s="787"/>
      <c r="B653" s="787" t="s">
        <v>1375</v>
      </c>
      <c r="C653" s="787" t="s">
        <v>2001</v>
      </c>
      <c r="D653" s="787" t="s">
        <v>1847</v>
      </c>
      <c r="E653" s="867" t="s">
        <v>2002</v>
      </c>
      <c r="F653" s="96" t="s">
        <v>2003</v>
      </c>
      <c r="G653" s="869" t="s">
        <v>2004</v>
      </c>
      <c r="H653" s="790" t="s">
        <v>2005</v>
      </c>
      <c r="I653" s="790" t="s">
        <v>2006</v>
      </c>
      <c r="J653" s="787" t="s">
        <v>1954</v>
      </c>
      <c r="K653" s="787" t="s">
        <v>99</v>
      </c>
      <c r="L653" s="796">
        <v>45065</v>
      </c>
      <c r="M653" s="796">
        <v>45069</v>
      </c>
      <c r="N653" s="796" t="s">
        <v>2007</v>
      </c>
      <c r="O653" s="796" t="s">
        <v>2007</v>
      </c>
      <c r="P653" s="796" t="s">
        <v>2008</v>
      </c>
      <c r="Q653" s="787" t="s">
        <v>2009</v>
      </c>
      <c r="R653" s="796">
        <v>45098</v>
      </c>
      <c r="S653" s="787" t="s">
        <v>2010</v>
      </c>
      <c r="T653" s="796">
        <v>45145</v>
      </c>
      <c r="U653" s="815">
        <v>8900000</v>
      </c>
      <c r="V653" s="815">
        <v>600000</v>
      </c>
      <c r="W653" s="815" t="s">
        <v>1384</v>
      </c>
      <c r="X653" s="796">
        <v>45100</v>
      </c>
      <c r="Y653" s="60"/>
    </row>
    <row r="654" spans="1:25" s="59" customFormat="1" ht="15.75" customHeight="1">
      <c r="A654" s="788"/>
      <c r="B654" s="788"/>
      <c r="C654" s="788"/>
      <c r="D654" s="788"/>
      <c r="E654" s="906"/>
      <c r="F654" s="96" t="s">
        <v>2011</v>
      </c>
      <c r="G654" s="856"/>
      <c r="H654" s="788"/>
      <c r="I654" s="788"/>
      <c r="J654" s="788"/>
      <c r="K654" s="788"/>
      <c r="L654" s="813"/>
      <c r="M654" s="813"/>
      <c r="N654" s="813"/>
      <c r="O654" s="813"/>
      <c r="P654" s="813"/>
      <c r="Q654" s="788"/>
      <c r="R654" s="813"/>
      <c r="S654" s="788"/>
      <c r="T654" s="813"/>
      <c r="U654" s="845"/>
      <c r="V654" s="845"/>
      <c r="W654" s="845"/>
      <c r="X654" s="813"/>
      <c r="Y654" s="60"/>
    </row>
    <row r="655" spans="1:25" s="59" customFormat="1" ht="15.75" customHeight="1">
      <c r="A655" s="788"/>
      <c r="B655" s="788"/>
      <c r="C655" s="788"/>
      <c r="D655" s="788"/>
      <c r="E655" s="906"/>
      <c r="F655" s="96" t="s">
        <v>2012</v>
      </c>
      <c r="G655" s="856"/>
      <c r="H655" s="788"/>
      <c r="I655" s="788"/>
      <c r="J655" s="788"/>
      <c r="K655" s="788"/>
      <c r="L655" s="813"/>
      <c r="M655" s="813"/>
      <c r="N655" s="813"/>
      <c r="O655" s="813"/>
      <c r="P655" s="813"/>
      <c r="Q655" s="788"/>
      <c r="R655" s="813"/>
      <c r="S655" s="788"/>
      <c r="T655" s="813"/>
      <c r="U655" s="845"/>
      <c r="V655" s="816"/>
      <c r="W655" s="816"/>
      <c r="X655" s="839"/>
      <c r="Y655" s="60"/>
    </row>
    <row r="656" spans="1:25" s="59" customFormat="1" ht="15.75" customHeight="1">
      <c r="A656" s="788"/>
      <c r="B656" s="788"/>
      <c r="C656" s="788"/>
      <c r="D656" s="788"/>
      <c r="E656" s="906"/>
      <c r="F656" s="96" t="s">
        <v>2013</v>
      </c>
      <c r="G656" s="856"/>
      <c r="H656" s="788"/>
      <c r="I656" s="788"/>
      <c r="J656" s="788"/>
      <c r="K656" s="788"/>
      <c r="L656" s="813"/>
      <c r="M656" s="813"/>
      <c r="N656" s="813"/>
      <c r="O656" s="813"/>
      <c r="P656" s="813"/>
      <c r="Q656" s="788"/>
      <c r="R656" s="813"/>
      <c r="S656" s="788"/>
      <c r="T656" s="813"/>
      <c r="U656" s="845"/>
      <c r="V656" s="815">
        <v>1200000</v>
      </c>
      <c r="W656" s="815" t="s">
        <v>59</v>
      </c>
      <c r="X656" s="796">
        <v>45070</v>
      </c>
      <c r="Y656" s="60"/>
    </row>
    <row r="657" spans="1:25" s="59" customFormat="1" ht="15.75" customHeight="1">
      <c r="A657" s="788"/>
      <c r="B657" s="788"/>
      <c r="C657" s="788"/>
      <c r="D657" s="788"/>
      <c r="E657" s="906"/>
      <c r="F657" s="96" t="s">
        <v>2014</v>
      </c>
      <c r="G657" s="856"/>
      <c r="H657" s="788"/>
      <c r="I657" s="788"/>
      <c r="J657" s="788"/>
      <c r="K657" s="788"/>
      <c r="L657" s="813"/>
      <c r="M657" s="813"/>
      <c r="N657" s="813"/>
      <c r="O657" s="813"/>
      <c r="P657" s="813"/>
      <c r="Q657" s="788"/>
      <c r="R657" s="813"/>
      <c r="S657" s="788"/>
      <c r="T657" s="813"/>
      <c r="U657" s="845"/>
      <c r="V657" s="845"/>
      <c r="W657" s="845"/>
      <c r="X657" s="813"/>
      <c r="Y657" s="60"/>
    </row>
    <row r="658" spans="1:25" s="59" customFormat="1" ht="15.75" customHeight="1">
      <c r="A658" s="794"/>
      <c r="B658" s="794"/>
      <c r="C658" s="794"/>
      <c r="D658" s="794"/>
      <c r="E658" s="868"/>
      <c r="F658" s="97" t="s">
        <v>2015</v>
      </c>
      <c r="G658" s="809"/>
      <c r="H658" s="794"/>
      <c r="I658" s="794"/>
      <c r="J658" s="794"/>
      <c r="K658" s="794"/>
      <c r="L658" s="794"/>
      <c r="M658" s="794"/>
      <c r="N658" s="839"/>
      <c r="O658" s="839"/>
      <c r="P658" s="839"/>
      <c r="Q658" s="794"/>
      <c r="R658" s="794"/>
      <c r="S658" s="794"/>
      <c r="T658" s="794"/>
      <c r="U658" s="816"/>
      <c r="V658" s="816"/>
      <c r="W658" s="816"/>
      <c r="X658" s="839"/>
      <c r="Y658" s="60"/>
    </row>
    <row r="659" spans="1:25" s="59" customFormat="1" ht="15.75" customHeight="1">
      <c r="A659" s="787"/>
      <c r="B659" s="787" t="s">
        <v>1375</v>
      </c>
      <c r="C659" s="787">
        <v>227090974</v>
      </c>
      <c r="D659" s="787" t="s">
        <v>1847</v>
      </c>
      <c r="E659" s="867" t="s">
        <v>1679</v>
      </c>
      <c r="F659" s="96" t="s">
        <v>2016</v>
      </c>
      <c r="G659" s="869" t="s">
        <v>2017</v>
      </c>
      <c r="H659" s="790" t="s">
        <v>2018</v>
      </c>
      <c r="I659" s="790" t="s">
        <v>2019</v>
      </c>
      <c r="J659" s="787" t="s">
        <v>66</v>
      </c>
      <c r="K659" s="787" t="s">
        <v>1782</v>
      </c>
      <c r="L659" s="796">
        <v>45058</v>
      </c>
      <c r="M659" s="796">
        <v>45071</v>
      </c>
      <c r="N659" s="796">
        <v>45071</v>
      </c>
      <c r="O659" s="796">
        <v>45071</v>
      </c>
      <c r="P659" s="796">
        <v>45072</v>
      </c>
      <c r="Q659" s="787" t="s">
        <v>1834</v>
      </c>
      <c r="R659" s="796">
        <v>45103</v>
      </c>
      <c r="S659" s="787" t="s">
        <v>2020</v>
      </c>
      <c r="T659" s="796">
        <v>45145</v>
      </c>
      <c r="U659" s="815">
        <v>13999840</v>
      </c>
      <c r="V659" s="815">
        <v>800000</v>
      </c>
      <c r="W659" s="815" t="s">
        <v>1384</v>
      </c>
      <c r="X659" s="796">
        <v>45100</v>
      </c>
      <c r="Y659" s="60"/>
    </row>
    <row r="660" spans="1:25" s="59" customFormat="1" ht="15.75" customHeight="1">
      <c r="A660" s="788"/>
      <c r="B660" s="788"/>
      <c r="C660" s="788"/>
      <c r="D660" s="788"/>
      <c r="E660" s="906"/>
      <c r="F660" s="96" t="s">
        <v>2021</v>
      </c>
      <c r="G660" s="856"/>
      <c r="H660" s="788"/>
      <c r="I660" s="788"/>
      <c r="J660" s="788"/>
      <c r="K660" s="788"/>
      <c r="L660" s="813"/>
      <c r="M660" s="813"/>
      <c r="N660" s="813"/>
      <c r="O660" s="813"/>
      <c r="P660" s="813"/>
      <c r="Q660" s="788"/>
      <c r="R660" s="813"/>
      <c r="S660" s="788"/>
      <c r="T660" s="813"/>
      <c r="U660" s="815"/>
      <c r="V660" s="845"/>
      <c r="W660" s="845"/>
      <c r="X660" s="813"/>
      <c r="Y660" s="60"/>
    </row>
    <row r="661" spans="1:25" s="59" customFormat="1" ht="15.75" customHeight="1">
      <c r="A661" s="788"/>
      <c r="B661" s="788"/>
      <c r="C661" s="788"/>
      <c r="D661" s="788"/>
      <c r="E661" s="906"/>
      <c r="F661" s="96" t="s">
        <v>2022</v>
      </c>
      <c r="G661" s="856"/>
      <c r="H661" s="788"/>
      <c r="I661" s="788"/>
      <c r="J661" s="788"/>
      <c r="K661" s="788"/>
      <c r="L661" s="813"/>
      <c r="M661" s="813"/>
      <c r="N661" s="813"/>
      <c r="O661" s="813"/>
      <c r="P661" s="813"/>
      <c r="Q661" s="788"/>
      <c r="R661" s="813"/>
      <c r="S661" s="788"/>
      <c r="T661" s="813"/>
      <c r="U661" s="815"/>
      <c r="V661" s="845"/>
      <c r="W661" s="845"/>
      <c r="X661" s="813"/>
      <c r="Y661" s="60"/>
    </row>
    <row r="662" spans="1:25" s="59" customFormat="1" ht="15.75" customHeight="1">
      <c r="A662" s="788"/>
      <c r="B662" s="788"/>
      <c r="C662" s="788"/>
      <c r="D662" s="788"/>
      <c r="E662" s="906"/>
      <c r="F662" s="96" t="s">
        <v>2023</v>
      </c>
      <c r="G662" s="856"/>
      <c r="H662" s="788"/>
      <c r="I662" s="788"/>
      <c r="J662" s="788"/>
      <c r="K662" s="788"/>
      <c r="L662" s="813"/>
      <c r="M662" s="813"/>
      <c r="N662" s="813"/>
      <c r="O662" s="813"/>
      <c r="P662" s="813"/>
      <c r="Q662" s="788"/>
      <c r="R662" s="813"/>
      <c r="S662" s="788"/>
      <c r="T662" s="813"/>
      <c r="U662" s="815"/>
      <c r="V662" s="845"/>
      <c r="W662" s="845"/>
      <c r="X662" s="813"/>
      <c r="Y662" s="60"/>
    </row>
    <row r="663" spans="1:25" s="59" customFormat="1" ht="15.75" customHeight="1">
      <c r="A663" s="788"/>
      <c r="B663" s="788"/>
      <c r="C663" s="788"/>
      <c r="D663" s="788"/>
      <c r="E663" s="906"/>
      <c r="F663" s="96" t="s">
        <v>2024</v>
      </c>
      <c r="G663" s="856"/>
      <c r="H663" s="788"/>
      <c r="I663" s="788"/>
      <c r="J663" s="788"/>
      <c r="K663" s="788"/>
      <c r="L663" s="813"/>
      <c r="M663" s="813"/>
      <c r="N663" s="813"/>
      <c r="O663" s="813"/>
      <c r="P663" s="813"/>
      <c r="Q663" s="788"/>
      <c r="R663" s="813"/>
      <c r="S663" s="788"/>
      <c r="T663" s="813"/>
      <c r="U663" s="815"/>
      <c r="V663" s="815">
        <v>1600000</v>
      </c>
      <c r="W663" s="815" t="s">
        <v>59</v>
      </c>
      <c r="X663" s="796">
        <v>45079</v>
      </c>
      <c r="Y663" s="60"/>
    </row>
    <row r="664" spans="1:25" s="59" customFormat="1" ht="15.75" customHeight="1">
      <c r="A664" s="788"/>
      <c r="B664" s="788"/>
      <c r="C664" s="788"/>
      <c r="D664" s="788"/>
      <c r="E664" s="906"/>
      <c r="F664" s="96" t="s">
        <v>2025</v>
      </c>
      <c r="G664" s="856"/>
      <c r="H664" s="788"/>
      <c r="I664" s="788"/>
      <c r="J664" s="788"/>
      <c r="K664" s="788"/>
      <c r="L664" s="813"/>
      <c r="M664" s="813"/>
      <c r="N664" s="813"/>
      <c r="O664" s="813"/>
      <c r="P664" s="813"/>
      <c r="Q664" s="788"/>
      <c r="R664" s="813"/>
      <c r="S664" s="788"/>
      <c r="T664" s="813"/>
      <c r="U664" s="815"/>
      <c r="V664" s="845"/>
      <c r="W664" s="845"/>
      <c r="X664" s="813"/>
      <c r="Y664" s="60"/>
    </row>
    <row r="665" spans="1:25" s="59" customFormat="1" ht="15.75" customHeight="1">
      <c r="A665" s="788"/>
      <c r="B665" s="788"/>
      <c r="C665" s="788"/>
      <c r="D665" s="788"/>
      <c r="E665" s="906"/>
      <c r="F665" s="96" t="s">
        <v>2026</v>
      </c>
      <c r="G665" s="856"/>
      <c r="H665" s="788"/>
      <c r="I665" s="788"/>
      <c r="J665" s="788"/>
      <c r="K665" s="788"/>
      <c r="L665" s="813"/>
      <c r="M665" s="813"/>
      <c r="N665" s="813"/>
      <c r="O665" s="813"/>
      <c r="P665" s="813"/>
      <c r="Q665" s="788"/>
      <c r="R665" s="813"/>
      <c r="S665" s="788"/>
      <c r="T665" s="813"/>
      <c r="U665" s="815"/>
      <c r="V665" s="845"/>
      <c r="W665" s="845"/>
      <c r="X665" s="813"/>
      <c r="Y665" s="60"/>
    </row>
    <row r="666" spans="1:25" s="59" customFormat="1" ht="15" customHeight="1">
      <c r="A666" s="794"/>
      <c r="B666" s="794"/>
      <c r="C666" s="794"/>
      <c r="D666" s="794"/>
      <c r="E666" s="868"/>
      <c r="F666" s="96" t="s">
        <v>2027</v>
      </c>
      <c r="G666" s="809"/>
      <c r="H666" s="794"/>
      <c r="I666" s="794"/>
      <c r="J666" s="794"/>
      <c r="K666" s="794"/>
      <c r="L666" s="794"/>
      <c r="M666" s="794"/>
      <c r="N666" s="839"/>
      <c r="O666" s="839"/>
      <c r="P666" s="839"/>
      <c r="Q666" s="794"/>
      <c r="R666" s="794"/>
      <c r="S666" s="900"/>
      <c r="T666" s="794"/>
      <c r="U666" s="815"/>
      <c r="V666" s="845"/>
      <c r="W666" s="845"/>
      <c r="X666" s="813"/>
      <c r="Y666" s="60"/>
    </row>
    <row r="667" spans="1:25" ht="24" customHeight="1">
      <c r="A667" s="13"/>
      <c r="B667" s="13" t="s">
        <v>1485</v>
      </c>
      <c r="C667" s="13" t="s">
        <v>2028</v>
      </c>
      <c r="D667" s="13" t="s">
        <v>1829</v>
      </c>
      <c r="E667" s="13" t="s">
        <v>1651</v>
      </c>
      <c r="F667" s="13" t="s">
        <v>2029</v>
      </c>
      <c r="G667" s="13" t="s">
        <v>1931</v>
      </c>
      <c r="H667" s="16" t="s">
        <v>2030</v>
      </c>
      <c r="I667" s="16" t="s">
        <v>2031</v>
      </c>
      <c r="J667" s="13" t="s">
        <v>1975</v>
      </c>
      <c r="K667" s="13" t="s">
        <v>99</v>
      </c>
      <c r="L667" s="17">
        <v>45059</v>
      </c>
      <c r="M667" s="17">
        <v>45074</v>
      </c>
      <c r="N667" s="17">
        <v>45077</v>
      </c>
      <c r="O667" s="17">
        <v>45078</v>
      </c>
      <c r="P667" s="17">
        <v>45079</v>
      </c>
      <c r="Q667" s="13" t="s">
        <v>40</v>
      </c>
      <c r="R667" s="17">
        <v>45099</v>
      </c>
      <c r="S667" s="13" t="s">
        <v>2032</v>
      </c>
      <c r="T667" s="17">
        <v>45129</v>
      </c>
      <c r="U667" s="19">
        <v>1100000</v>
      </c>
      <c r="V667" s="19" t="s">
        <v>40</v>
      </c>
      <c r="W667" s="19" t="s">
        <v>40</v>
      </c>
      <c r="X667" s="13" t="s">
        <v>40</v>
      </c>
      <c r="Y667" s="2"/>
    </row>
    <row r="668" spans="1:25" s="59" customFormat="1" ht="15.75" customHeight="1">
      <c r="A668" s="786"/>
      <c r="B668" s="786" t="s">
        <v>1375</v>
      </c>
      <c r="C668" s="786" t="s">
        <v>2033</v>
      </c>
      <c r="D668" s="786" t="s">
        <v>1847</v>
      </c>
      <c r="E668" s="786" t="s">
        <v>1700</v>
      </c>
      <c r="F668" s="96" t="s">
        <v>2034</v>
      </c>
      <c r="G668" s="786" t="s">
        <v>2035</v>
      </c>
      <c r="H668" s="785" t="s">
        <v>2036</v>
      </c>
      <c r="I668" s="785" t="s">
        <v>2037</v>
      </c>
      <c r="J668" s="786" t="s">
        <v>1954</v>
      </c>
      <c r="K668" s="786" t="s">
        <v>99</v>
      </c>
      <c r="L668" s="793">
        <v>45070</v>
      </c>
      <c r="M668" s="793">
        <v>45075</v>
      </c>
      <c r="N668" s="793">
        <v>45075</v>
      </c>
      <c r="O668" s="793">
        <v>45076</v>
      </c>
      <c r="P668" s="793">
        <v>45077</v>
      </c>
      <c r="Q668" s="786" t="s">
        <v>2038</v>
      </c>
      <c r="R668" s="793">
        <v>45103</v>
      </c>
      <c r="S668" s="786" t="s">
        <v>2039</v>
      </c>
      <c r="T668" s="793">
        <v>45145</v>
      </c>
      <c r="U668" s="814">
        <v>3500000</v>
      </c>
      <c r="V668" s="814">
        <v>400000</v>
      </c>
      <c r="W668" s="814" t="s">
        <v>1384</v>
      </c>
      <c r="X668" s="793">
        <v>45100</v>
      </c>
      <c r="Y668" s="60"/>
    </row>
    <row r="669" spans="1:25" s="59" customFormat="1" ht="15.75" customHeight="1">
      <c r="A669" s="786"/>
      <c r="B669" s="786"/>
      <c r="C669" s="786"/>
      <c r="D669" s="786"/>
      <c r="E669" s="786"/>
      <c r="F669" s="96" t="s">
        <v>2040</v>
      </c>
      <c r="G669" s="786"/>
      <c r="H669" s="786"/>
      <c r="I669" s="786"/>
      <c r="J669" s="786"/>
      <c r="K669" s="786"/>
      <c r="L669" s="793"/>
      <c r="M669" s="793"/>
      <c r="N669" s="793"/>
      <c r="O669" s="793"/>
      <c r="P669" s="793"/>
      <c r="Q669" s="786"/>
      <c r="R669" s="793"/>
      <c r="S669" s="786"/>
      <c r="T669" s="793"/>
      <c r="U669" s="814"/>
      <c r="V669" s="814"/>
      <c r="W669" s="814"/>
      <c r="X669" s="793"/>
      <c r="Y669" s="60"/>
    </row>
    <row r="670" spans="1:25" s="59" customFormat="1" ht="15.75" customHeight="1">
      <c r="A670" s="786"/>
      <c r="B670" s="786"/>
      <c r="C670" s="786"/>
      <c r="D670" s="786"/>
      <c r="E670" s="786"/>
      <c r="F670" s="96" t="s">
        <v>2041</v>
      </c>
      <c r="G670" s="786"/>
      <c r="H670" s="786"/>
      <c r="I670" s="786"/>
      <c r="J670" s="786"/>
      <c r="K670" s="786"/>
      <c r="L670" s="793"/>
      <c r="M670" s="793"/>
      <c r="N670" s="793"/>
      <c r="O670" s="793"/>
      <c r="P670" s="793"/>
      <c r="Q670" s="786"/>
      <c r="R670" s="793"/>
      <c r="S670" s="786"/>
      <c r="T670" s="793"/>
      <c r="U670" s="814"/>
      <c r="V670" s="814">
        <v>800000</v>
      </c>
      <c r="W670" s="814" t="s">
        <v>59</v>
      </c>
      <c r="X670" s="793">
        <v>45104</v>
      </c>
      <c r="Y670" s="60"/>
    </row>
    <row r="671" spans="1:25" s="59" customFormat="1" ht="24.75" customHeight="1">
      <c r="A671" s="786"/>
      <c r="B671" s="786"/>
      <c r="C671" s="786"/>
      <c r="D671" s="786"/>
      <c r="E671" s="786"/>
      <c r="F671" s="96" t="s">
        <v>2042</v>
      </c>
      <c r="G671" s="786"/>
      <c r="H671" s="786"/>
      <c r="I671" s="786"/>
      <c r="J671" s="786"/>
      <c r="K671" s="786"/>
      <c r="L671" s="793"/>
      <c r="M671" s="793"/>
      <c r="N671" s="793"/>
      <c r="O671" s="793"/>
      <c r="P671" s="793"/>
      <c r="Q671" s="786"/>
      <c r="R671" s="793"/>
      <c r="S671" s="786"/>
      <c r="T671" s="793"/>
      <c r="U671" s="814"/>
      <c r="V671" s="814"/>
      <c r="W671" s="814"/>
      <c r="X671" s="793"/>
      <c r="Y671" s="60"/>
    </row>
    <row r="672" spans="1:25" s="82" customFormat="1" ht="27.75" customHeight="1">
      <c r="A672" s="105"/>
      <c r="B672" s="105" t="s">
        <v>1758</v>
      </c>
      <c r="C672" s="105" t="s">
        <v>2043</v>
      </c>
      <c r="D672" s="105" t="s">
        <v>1588</v>
      </c>
      <c r="E672" s="105" t="s">
        <v>2044</v>
      </c>
      <c r="F672" s="105" t="s">
        <v>2045</v>
      </c>
      <c r="G672" s="105" t="s">
        <v>833</v>
      </c>
      <c r="H672" s="105" t="s">
        <v>2046</v>
      </c>
      <c r="I672" s="106" t="s">
        <v>40</v>
      </c>
      <c r="J672" s="105" t="s">
        <v>66</v>
      </c>
      <c r="K672" s="105" t="s">
        <v>358</v>
      </c>
      <c r="L672" s="107">
        <v>45074</v>
      </c>
      <c r="M672" s="107">
        <v>45076</v>
      </c>
      <c r="N672" s="94">
        <v>45077</v>
      </c>
      <c r="O672" s="94">
        <v>45077</v>
      </c>
      <c r="P672" s="94">
        <v>45077</v>
      </c>
      <c r="Q672" s="105" t="s">
        <v>1766</v>
      </c>
      <c r="R672" s="107">
        <v>45091</v>
      </c>
      <c r="S672" s="105" t="s">
        <v>2047</v>
      </c>
      <c r="T672" s="107" t="s">
        <v>2048</v>
      </c>
      <c r="U672" s="93">
        <v>1111000</v>
      </c>
      <c r="V672" s="93" t="s">
        <v>40</v>
      </c>
      <c r="W672" s="93" t="s">
        <v>40</v>
      </c>
      <c r="X672" s="94" t="s">
        <v>40</v>
      </c>
      <c r="Y672" s="86"/>
    </row>
    <row r="673" spans="1:25" s="100" customFormat="1" ht="43.5" customHeight="1">
      <c r="A673" s="15"/>
      <c r="B673" s="15" t="s">
        <v>2049</v>
      </c>
      <c r="C673" s="15" t="s">
        <v>2050</v>
      </c>
      <c r="D673" s="89" t="s">
        <v>2051</v>
      </c>
      <c r="E673" s="89" t="s">
        <v>2052</v>
      </c>
      <c r="F673" s="89" t="s">
        <v>2053</v>
      </c>
      <c r="G673" s="89" t="s">
        <v>2054</v>
      </c>
      <c r="H673" s="108" t="s">
        <v>2055</v>
      </c>
      <c r="I673" s="108" t="s">
        <v>40</v>
      </c>
      <c r="J673" s="89" t="s">
        <v>2056</v>
      </c>
      <c r="K673" s="89" t="s">
        <v>40</v>
      </c>
      <c r="L673" s="90">
        <v>43606</v>
      </c>
      <c r="M673" s="90" t="s">
        <v>40</v>
      </c>
      <c r="N673" s="897" t="s">
        <v>40</v>
      </c>
      <c r="O673" s="898"/>
      <c r="P673" s="899"/>
      <c r="Q673" s="89" t="s">
        <v>40</v>
      </c>
      <c r="R673" s="90" t="s">
        <v>2057</v>
      </c>
      <c r="S673" s="89" t="s">
        <v>2058</v>
      </c>
      <c r="T673" s="90">
        <v>45072</v>
      </c>
      <c r="U673" s="91">
        <v>870000</v>
      </c>
      <c r="V673" s="91">
        <v>125000</v>
      </c>
      <c r="W673" s="91" t="s">
        <v>2059</v>
      </c>
      <c r="X673" s="90">
        <v>45069</v>
      </c>
      <c r="Y673" s="60"/>
    </row>
    <row r="674" spans="1:25" s="100" customFormat="1" ht="72" customHeight="1">
      <c r="A674" s="9"/>
      <c r="B674" s="9" t="s">
        <v>2049</v>
      </c>
      <c r="C674" s="9" t="s">
        <v>2060</v>
      </c>
      <c r="D674" s="66" t="s">
        <v>2051</v>
      </c>
      <c r="E674" s="66" t="s">
        <v>2061</v>
      </c>
      <c r="F674" s="66" t="s">
        <v>2062</v>
      </c>
      <c r="G674" s="66" t="s">
        <v>2063</v>
      </c>
      <c r="H674" s="67" t="s">
        <v>2064</v>
      </c>
      <c r="I674" s="67" t="s">
        <v>40</v>
      </c>
      <c r="J674" s="66" t="s">
        <v>375</v>
      </c>
      <c r="K674" s="66" t="s">
        <v>40</v>
      </c>
      <c r="L674" s="68">
        <v>43745</v>
      </c>
      <c r="M674" s="68" t="s">
        <v>40</v>
      </c>
      <c r="N674" s="800" t="s">
        <v>40</v>
      </c>
      <c r="O674" s="801"/>
      <c r="P674" s="802"/>
      <c r="Q674" s="66" t="s">
        <v>40</v>
      </c>
      <c r="R674" s="68" t="s">
        <v>2057</v>
      </c>
      <c r="S674" s="66" t="s">
        <v>2065</v>
      </c>
      <c r="T674" s="68">
        <v>45072</v>
      </c>
      <c r="U674" s="69">
        <v>870000</v>
      </c>
      <c r="V674" s="69">
        <v>125000</v>
      </c>
      <c r="W674" s="69" t="s">
        <v>2059</v>
      </c>
      <c r="X674" s="68">
        <v>45069</v>
      </c>
      <c r="Y674" s="60"/>
    </row>
    <row r="675" spans="1:25" s="100" customFormat="1" ht="72" customHeight="1">
      <c r="A675" s="9"/>
      <c r="B675" s="9" t="s">
        <v>2066</v>
      </c>
      <c r="C675" s="9">
        <v>226484187</v>
      </c>
      <c r="D675" s="66" t="s">
        <v>2067</v>
      </c>
      <c r="E675" s="66" t="s">
        <v>1679</v>
      </c>
      <c r="F675" s="66" t="s">
        <v>2068</v>
      </c>
      <c r="G675" s="66" t="s">
        <v>2069</v>
      </c>
      <c r="H675" s="67" t="s">
        <v>2070</v>
      </c>
      <c r="I675" s="67" t="s">
        <v>40</v>
      </c>
      <c r="J675" s="66" t="s">
        <v>66</v>
      </c>
      <c r="K675" s="66" t="s">
        <v>40</v>
      </c>
      <c r="L675" s="68">
        <v>45044</v>
      </c>
      <c r="M675" s="68" t="s">
        <v>40</v>
      </c>
      <c r="N675" s="800" t="s">
        <v>40</v>
      </c>
      <c r="O675" s="801"/>
      <c r="P675" s="802"/>
      <c r="Q675" s="66" t="s">
        <v>40</v>
      </c>
      <c r="R675" s="68" t="s">
        <v>2071</v>
      </c>
      <c r="S675" s="66" t="s">
        <v>2072</v>
      </c>
      <c r="T675" s="68">
        <v>45065</v>
      </c>
      <c r="U675" s="69">
        <v>200000</v>
      </c>
      <c r="V675" s="69">
        <v>50000</v>
      </c>
      <c r="W675" s="69" t="s">
        <v>2073</v>
      </c>
      <c r="X675" s="68">
        <v>45069</v>
      </c>
      <c r="Y675" s="60"/>
    </row>
    <row r="676" spans="1:25" s="59" customFormat="1" ht="40.5" customHeight="1">
      <c r="A676" s="850" t="s">
        <v>128</v>
      </c>
      <c r="B676" s="851"/>
      <c r="C676" s="851"/>
      <c r="D676" s="851"/>
      <c r="E676" s="851"/>
      <c r="F676" s="851"/>
      <c r="G676" s="851"/>
      <c r="H676" s="851"/>
      <c r="I676" s="851"/>
      <c r="J676" s="851"/>
      <c r="K676" s="851"/>
      <c r="L676" s="851"/>
      <c r="M676" s="851"/>
      <c r="N676" s="851"/>
      <c r="O676" s="851"/>
      <c r="P676" s="851"/>
      <c r="Q676" s="851"/>
      <c r="R676" s="851"/>
      <c r="S676" s="851"/>
      <c r="T676" s="851"/>
      <c r="U676" s="851"/>
      <c r="V676" s="851"/>
      <c r="W676" s="851"/>
      <c r="X676" s="852"/>
      <c r="Y676" s="60"/>
    </row>
    <row r="677" spans="1:25" s="59" customFormat="1" ht="40.5" customHeight="1">
      <c r="A677" s="9"/>
      <c r="B677" s="9" t="s">
        <v>2074</v>
      </c>
      <c r="C677" s="9" t="s">
        <v>2075</v>
      </c>
      <c r="D677" s="9" t="s">
        <v>2076</v>
      </c>
      <c r="E677" s="9" t="s">
        <v>40</v>
      </c>
      <c r="F677" s="9" t="s">
        <v>40</v>
      </c>
      <c r="G677" s="9" t="s">
        <v>1931</v>
      </c>
      <c r="H677" s="9" t="s">
        <v>2077</v>
      </c>
      <c r="I677" s="10" t="s">
        <v>40</v>
      </c>
      <c r="J677" s="9" t="s">
        <v>2078</v>
      </c>
      <c r="K677" s="9" t="s">
        <v>40</v>
      </c>
      <c r="L677" s="12">
        <v>45047</v>
      </c>
      <c r="M677" s="12" t="s">
        <v>40</v>
      </c>
      <c r="N677" s="846" t="s">
        <v>2079</v>
      </c>
      <c r="O677" s="847"/>
      <c r="P677" s="848"/>
      <c r="Q677" s="9" t="s">
        <v>40</v>
      </c>
      <c r="R677" s="12">
        <v>45051</v>
      </c>
      <c r="S677" s="70" t="s">
        <v>40</v>
      </c>
      <c r="T677" s="109" t="s">
        <v>2080</v>
      </c>
      <c r="U677" s="14">
        <v>350000</v>
      </c>
      <c r="V677" s="14" t="s">
        <v>40</v>
      </c>
      <c r="W677" s="14" t="s">
        <v>40</v>
      </c>
      <c r="X677" s="9" t="s">
        <v>40</v>
      </c>
      <c r="Y677" s="60"/>
    </row>
    <row r="678" spans="1:25" s="100" customFormat="1" ht="43.5" customHeight="1">
      <c r="A678" s="13"/>
      <c r="B678" s="13" t="s">
        <v>2081</v>
      </c>
      <c r="C678" s="13" t="s">
        <v>2082</v>
      </c>
      <c r="D678" s="13" t="s">
        <v>2083</v>
      </c>
      <c r="E678" s="13" t="s">
        <v>1508</v>
      </c>
      <c r="F678" s="13" t="s">
        <v>2084</v>
      </c>
      <c r="G678" s="13" t="s">
        <v>1715</v>
      </c>
      <c r="H678" s="16" t="s">
        <v>2085</v>
      </c>
      <c r="I678" s="16" t="s">
        <v>1638</v>
      </c>
      <c r="J678" s="13" t="s">
        <v>365</v>
      </c>
      <c r="K678" s="13" t="s">
        <v>40</v>
      </c>
      <c r="L678" s="17">
        <v>45060</v>
      </c>
      <c r="M678" s="33" t="s">
        <v>40</v>
      </c>
      <c r="N678" s="846" t="s">
        <v>2086</v>
      </c>
      <c r="O678" s="847"/>
      <c r="P678" s="848"/>
      <c r="Q678" s="96" t="s">
        <v>2087</v>
      </c>
      <c r="R678" s="68" t="s">
        <v>2088</v>
      </c>
      <c r="S678" s="94">
        <v>45070</v>
      </c>
      <c r="T678" s="63">
        <v>45163</v>
      </c>
      <c r="U678" s="69">
        <v>3500000</v>
      </c>
      <c r="V678" s="19">
        <v>600000</v>
      </c>
      <c r="W678" s="69" t="s">
        <v>59</v>
      </c>
      <c r="X678" s="17">
        <v>45131</v>
      </c>
      <c r="Y678" s="60"/>
    </row>
    <row r="679" spans="1:25" s="100" customFormat="1" ht="43.5" customHeight="1">
      <c r="A679" s="13"/>
      <c r="B679" s="13" t="s">
        <v>2081</v>
      </c>
      <c r="C679" s="13" t="s">
        <v>2089</v>
      </c>
      <c r="D679" s="13" t="s">
        <v>2083</v>
      </c>
      <c r="E679" s="13" t="s">
        <v>1508</v>
      </c>
      <c r="F679" s="13" t="s">
        <v>2090</v>
      </c>
      <c r="G679" s="13" t="s">
        <v>270</v>
      </c>
      <c r="H679" s="16" t="s">
        <v>2091</v>
      </c>
      <c r="I679" s="16" t="s">
        <v>1851</v>
      </c>
      <c r="J679" s="13" t="s">
        <v>66</v>
      </c>
      <c r="K679" s="13" t="s">
        <v>40</v>
      </c>
      <c r="L679" s="17">
        <v>45067</v>
      </c>
      <c r="M679" s="33" t="s">
        <v>40</v>
      </c>
      <c r="N679" s="879" t="s">
        <v>2092</v>
      </c>
      <c r="O679" s="921"/>
      <c r="P679" s="922"/>
      <c r="Q679" s="110" t="s">
        <v>2093</v>
      </c>
      <c r="R679" s="17" t="s">
        <v>2094</v>
      </c>
      <c r="S679" s="110" t="s">
        <v>2007</v>
      </c>
      <c r="T679" s="63">
        <v>45163</v>
      </c>
      <c r="U679" s="19">
        <v>2200000</v>
      </c>
      <c r="V679" s="19">
        <v>150000</v>
      </c>
      <c r="W679" s="19" t="s">
        <v>59</v>
      </c>
      <c r="X679" s="17">
        <v>45131</v>
      </c>
      <c r="Y679" s="60"/>
    </row>
    <row r="680" spans="1:25" s="100" customFormat="1" ht="43.5" customHeight="1">
      <c r="A680" s="96"/>
      <c r="B680" s="96" t="s">
        <v>2081</v>
      </c>
      <c r="C680" s="96" t="s">
        <v>2095</v>
      </c>
      <c r="D680" s="96" t="s">
        <v>2083</v>
      </c>
      <c r="E680" s="96" t="s">
        <v>1508</v>
      </c>
      <c r="F680" s="96" t="s">
        <v>2096</v>
      </c>
      <c r="G680" s="96" t="s">
        <v>270</v>
      </c>
      <c r="H680" s="104" t="s">
        <v>2097</v>
      </c>
      <c r="I680" s="104" t="s">
        <v>1797</v>
      </c>
      <c r="J680" s="96" t="s">
        <v>365</v>
      </c>
      <c r="K680" s="96" t="s">
        <v>40</v>
      </c>
      <c r="L680" s="94">
        <v>45067</v>
      </c>
      <c r="M680" s="94" t="s">
        <v>40</v>
      </c>
      <c r="N680" s="793" t="s">
        <v>2092</v>
      </c>
      <c r="O680" s="793"/>
      <c r="P680" s="793"/>
      <c r="Q680" s="96" t="s">
        <v>2093</v>
      </c>
      <c r="R680" s="94" t="s">
        <v>2098</v>
      </c>
      <c r="S680" s="96" t="s">
        <v>2007</v>
      </c>
      <c r="T680" s="94" t="s">
        <v>2099</v>
      </c>
      <c r="U680" s="93">
        <v>3050000</v>
      </c>
      <c r="V680" s="93">
        <v>300000</v>
      </c>
      <c r="W680" s="93" t="s">
        <v>59</v>
      </c>
      <c r="X680" s="94">
        <v>45131</v>
      </c>
      <c r="Y680" s="60"/>
    </row>
    <row r="681" spans="1:25" s="111" customFormat="1" ht="35.25" customHeight="1">
      <c r="A681" s="13"/>
      <c r="B681" s="13" t="s">
        <v>1559</v>
      </c>
      <c r="C681" s="9" t="s">
        <v>2100</v>
      </c>
      <c r="D681" s="13" t="s">
        <v>1561</v>
      </c>
      <c r="E681" s="13" t="s">
        <v>2101</v>
      </c>
      <c r="F681" s="13" t="s">
        <v>2102</v>
      </c>
      <c r="G681" s="13" t="s">
        <v>71</v>
      </c>
      <c r="H681" s="16" t="s">
        <v>2103</v>
      </c>
      <c r="I681" s="16" t="s">
        <v>40</v>
      </c>
      <c r="J681" s="13" t="s">
        <v>2104</v>
      </c>
      <c r="K681" s="13" t="s">
        <v>40</v>
      </c>
      <c r="L681" s="17">
        <v>45074</v>
      </c>
      <c r="M681" s="17">
        <v>45110</v>
      </c>
      <c r="N681" s="800" t="s">
        <v>2105</v>
      </c>
      <c r="O681" s="907"/>
      <c r="P681" s="908"/>
      <c r="Q681" s="66" t="s">
        <v>2106</v>
      </c>
      <c r="R681" s="17">
        <v>45076</v>
      </c>
      <c r="S681" s="13" t="s">
        <v>2107</v>
      </c>
      <c r="T681" s="17">
        <v>45145</v>
      </c>
      <c r="U681" s="19">
        <v>950000</v>
      </c>
      <c r="V681" s="14" t="s">
        <v>40</v>
      </c>
      <c r="W681" s="14" t="s">
        <v>40</v>
      </c>
      <c r="X681" s="12" t="s">
        <v>40</v>
      </c>
      <c r="Y681" s="112"/>
    </row>
    <row r="682" spans="1:25" s="59" customFormat="1" ht="15.75" customHeight="1">
      <c r="A682" s="850" t="s">
        <v>1905</v>
      </c>
      <c r="B682" s="851"/>
      <c r="C682" s="851"/>
      <c r="D682" s="851"/>
      <c r="E682" s="851"/>
      <c r="F682" s="851"/>
      <c r="G682" s="851"/>
      <c r="H682" s="851"/>
      <c r="I682" s="851"/>
      <c r="J682" s="851"/>
      <c r="K682" s="851"/>
      <c r="L682" s="851"/>
      <c r="M682" s="851"/>
      <c r="N682" s="851"/>
      <c r="O682" s="851"/>
      <c r="P682" s="851"/>
      <c r="Q682" s="851"/>
      <c r="R682" s="851"/>
      <c r="S682" s="851"/>
      <c r="T682" s="851"/>
      <c r="U682" s="851"/>
      <c r="V682" s="851"/>
      <c r="W682" s="851"/>
      <c r="X682" s="852"/>
      <c r="Y682" s="60"/>
    </row>
    <row r="683" spans="1:25" s="100" customFormat="1" ht="43.5" customHeight="1">
      <c r="A683" s="9"/>
      <c r="B683" s="9" t="s">
        <v>1375</v>
      </c>
      <c r="C683" s="9" t="s">
        <v>2108</v>
      </c>
      <c r="D683" s="66" t="s">
        <v>1919</v>
      </c>
      <c r="E683" s="66" t="s">
        <v>2109</v>
      </c>
      <c r="F683" s="66" t="s">
        <v>40</v>
      </c>
      <c r="G683" s="66" t="s">
        <v>2110</v>
      </c>
      <c r="H683" s="67" t="s">
        <v>2111</v>
      </c>
      <c r="I683" s="67" t="s">
        <v>40</v>
      </c>
      <c r="J683" s="66" t="s">
        <v>2112</v>
      </c>
      <c r="K683" s="66" t="s">
        <v>40</v>
      </c>
      <c r="L683" s="68">
        <v>45048</v>
      </c>
      <c r="M683" s="68">
        <v>45051</v>
      </c>
      <c r="N683" s="800" t="s">
        <v>1925</v>
      </c>
      <c r="O683" s="801"/>
      <c r="P683" s="802"/>
      <c r="Q683" s="66" t="s">
        <v>1926</v>
      </c>
      <c r="R683" s="68" t="s">
        <v>2071</v>
      </c>
      <c r="S683" s="66" t="s">
        <v>2113</v>
      </c>
      <c r="T683" s="68">
        <v>45090</v>
      </c>
      <c r="U683" s="69">
        <v>4000000</v>
      </c>
      <c r="V683" s="69">
        <v>500000</v>
      </c>
      <c r="W683" s="69" t="s">
        <v>59</v>
      </c>
      <c r="X683" s="68">
        <v>45104</v>
      </c>
      <c r="Y683" s="60"/>
    </row>
    <row r="684" spans="1:25" s="100" customFormat="1" ht="43.5" customHeight="1">
      <c r="A684" s="9"/>
      <c r="B684" s="9" t="s">
        <v>1375</v>
      </c>
      <c r="C684" s="9" t="s">
        <v>2114</v>
      </c>
      <c r="D684" s="66" t="s">
        <v>1919</v>
      </c>
      <c r="E684" s="66" t="s">
        <v>2109</v>
      </c>
      <c r="F684" s="66" t="s">
        <v>40</v>
      </c>
      <c r="G684" s="66" t="s">
        <v>2110</v>
      </c>
      <c r="H684" s="67" t="s">
        <v>2115</v>
      </c>
      <c r="I684" s="67" t="s">
        <v>40</v>
      </c>
      <c r="J684" s="66" t="s">
        <v>2116</v>
      </c>
      <c r="K684" s="66" t="s">
        <v>40</v>
      </c>
      <c r="L684" s="68">
        <v>45072</v>
      </c>
      <c r="M684" s="68">
        <v>45075</v>
      </c>
      <c r="N684" s="800" t="s">
        <v>2117</v>
      </c>
      <c r="O684" s="801"/>
      <c r="P684" s="802"/>
      <c r="Q684" s="66" t="s">
        <v>2118</v>
      </c>
      <c r="R684" s="68">
        <v>45034</v>
      </c>
      <c r="S684" s="66" t="s">
        <v>2119</v>
      </c>
      <c r="T684" s="68">
        <v>45134</v>
      </c>
      <c r="U684" s="69">
        <v>2000000</v>
      </c>
      <c r="V684" s="69">
        <v>500000</v>
      </c>
      <c r="W684" s="69" t="s">
        <v>59</v>
      </c>
      <c r="X684" s="68">
        <v>45104</v>
      </c>
      <c r="Y684" s="60"/>
    </row>
    <row r="685" spans="1:25" s="100" customFormat="1" ht="43.5" customHeight="1">
      <c r="A685" s="13"/>
      <c r="B685" s="13" t="s">
        <v>2081</v>
      </c>
      <c r="C685" s="13" t="s">
        <v>2120</v>
      </c>
      <c r="D685" s="13" t="s">
        <v>1919</v>
      </c>
      <c r="E685" s="13" t="s">
        <v>2121</v>
      </c>
      <c r="F685" s="13" t="s">
        <v>2122</v>
      </c>
      <c r="G685" s="13" t="s">
        <v>156</v>
      </c>
      <c r="H685" s="16" t="s">
        <v>2123</v>
      </c>
      <c r="I685" s="16" t="s">
        <v>40</v>
      </c>
      <c r="J685" s="13" t="s">
        <v>2124</v>
      </c>
      <c r="K685" s="13" t="s">
        <v>2125</v>
      </c>
      <c r="L685" s="17">
        <v>45035</v>
      </c>
      <c r="M685" s="33">
        <v>45054</v>
      </c>
      <c r="N685" s="113" t="s">
        <v>40</v>
      </c>
      <c r="O685" s="113">
        <v>45054</v>
      </c>
      <c r="P685" s="113">
        <v>45054</v>
      </c>
      <c r="Q685" s="110" t="s">
        <v>2126</v>
      </c>
      <c r="R685" s="17" t="s">
        <v>2071</v>
      </c>
      <c r="S685" s="110" t="s">
        <v>2127</v>
      </c>
      <c r="T685" s="63">
        <v>45163</v>
      </c>
      <c r="U685" s="19">
        <v>2100000</v>
      </c>
      <c r="V685" s="19">
        <v>300000</v>
      </c>
      <c r="W685" s="69" t="s">
        <v>59</v>
      </c>
      <c r="X685" s="17">
        <v>45131</v>
      </c>
      <c r="Y685" s="60"/>
    </row>
    <row r="686" spans="1:25" s="100" customFormat="1" ht="43.5" customHeight="1">
      <c r="A686" s="96"/>
      <c r="B686" s="96" t="s">
        <v>2081</v>
      </c>
      <c r="C686" s="96" t="s">
        <v>2128</v>
      </c>
      <c r="D686" s="96" t="s">
        <v>1919</v>
      </c>
      <c r="E686" s="96" t="s">
        <v>2121</v>
      </c>
      <c r="F686" s="96" t="s">
        <v>2129</v>
      </c>
      <c r="G686" s="96" t="s">
        <v>156</v>
      </c>
      <c r="H686" s="104" t="s">
        <v>2130</v>
      </c>
      <c r="I686" s="104" t="s">
        <v>40</v>
      </c>
      <c r="J686" s="96" t="s">
        <v>2124</v>
      </c>
      <c r="K686" s="96" t="s">
        <v>2131</v>
      </c>
      <c r="L686" s="94">
        <v>45052</v>
      </c>
      <c r="M686" s="94">
        <v>45059</v>
      </c>
      <c r="N686" s="94" t="s">
        <v>40</v>
      </c>
      <c r="O686" s="94">
        <v>45061</v>
      </c>
      <c r="P686" s="94">
        <v>45061</v>
      </c>
      <c r="Q686" s="96" t="s">
        <v>2126</v>
      </c>
      <c r="R686" s="94" t="s">
        <v>2071</v>
      </c>
      <c r="S686" s="96" t="s">
        <v>2132</v>
      </c>
      <c r="T686" s="94">
        <v>45163</v>
      </c>
      <c r="U686" s="93">
        <v>2150000</v>
      </c>
      <c r="V686" s="93">
        <v>300000</v>
      </c>
      <c r="W686" s="93" t="s">
        <v>59</v>
      </c>
      <c r="X686" s="94">
        <v>45131</v>
      </c>
      <c r="Y686" s="60"/>
    </row>
    <row r="687" spans="1:25" s="59" customFormat="1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4"/>
      <c r="M687" s="35"/>
      <c r="N687" s="54"/>
      <c r="O687" s="54"/>
      <c r="P687" s="54"/>
      <c r="Q687" s="53"/>
      <c r="R687" s="53"/>
      <c r="S687" s="53"/>
      <c r="T687" s="36" t="s">
        <v>163</v>
      </c>
      <c r="U687" s="27">
        <f>SUM(U634:U686)</f>
        <v>89956170</v>
      </c>
      <c r="V687" s="27"/>
      <c r="W687" s="49"/>
      <c r="X687" s="53"/>
      <c r="Y687" s="60"/>
    </row>
    <row r="688" spans="1:25" s="59" customFormat="1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4"/>
      <c r="M688" s="35"/>
      <c r="N688" s="54"/>
      <c r="O688" s="54"/>
      <c r="P688" s="54"/>
      <c r="Q688" s="53"/>
      <c r="R688" s="53"/>
      <c r="S688" s="53"/>
      <c r="T688" s="36" t="s">
        <v>544</v>
      </c>
      <c r="U688" s="101">
        <v>36000000</v>
      </c>
      <c r="V688" s="102" t="s">
        <v>278</v>
      </c>
      <c r="W688" s="49"/>
      <c r="X688" s="53"/>
      <c r="Y688" s="60"/>
    </row>
    <row r="689" spans="1:25" s="59" customFormat="1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35"/>
      <c r="N689" s="35"/>
      <c r="O689" s="35"/>
      <c r="P689" s="35"/>
      <c r="Q689" s="23"/>
      <c r="R689" s="23"/>
      <c r="S689" s="23"/>
      <c r="T689" s="36"/>
      <c r="U689" s="27">
        <f>U687-U688</f>
        <v>53956170</v>
      </c>
      <c r="V689" s="102"/>
      <c r="W689" s="55"/>
      <c r="X689" s="23"/>
      <c r="Y689" s="60"/>
    </row>
    <row r="690" spans="1:25" s="59" customFormat="1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3"/>
      <c r="N690" s="22"/>
      <c r="O690" s="22"/>
      <c r="P690" s="22"/>
      <c r="Q690" s="22"/>
      <c r="R690" s="22"/>
      <c r="S690" s="22"/>
      <c r="T690" s="36" t="s">
        <v>165</v>
      </c>
      <c r="U690" s="27">
        <f>U687*12.5/100</f>
        <v>11244521.25</v>
      </c>
      <c r="V690" s="114"/>
      <c r="W690" s="22"/>
      <c r="X690" s="22"/>
      <c r="Y690" s="60"/>
    </row>
    <row r="691" spans="1:25" s="59" customFormat="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3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60"/>
    </row>
    <row r="692" spans="1:25" s="59" customFormat="1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3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60"/>
    </row>
    <row r="693" spans="1:25" s="59" customFormat="1" ht="25.5" customHeight="1">
      <c r="A693" s="798" t="s">
        <v>2133</v>
      </c>
      <c r="B693" s="799"/>
      <c r="C693" s="799"/>
      <c r="D693" s="799"/>
      <c r="E693" s="799"/>
      <c r="F693" s="799"/>
      <c r="G693" s="799"/>
      <c r="H693" s="799"/>
      <c r="I693" s="799"/>
      <c r="J693" s="799"/>
      <c r="K693" s="799"/>
      <c r="L693" s="799"/>
      <c r="M693" s="799"/>
      <c r="N693" s="799"/>
      <c r="O693" s="799"/>
      <c r="P693" s="799"/>
      <c r="Q693" s="799"/>
      <c r="R693" s="799"/>
      <c r="S693" s="799"/>
      <c r="T693" s="799"/>
      <c r="U693" s="799"/>
      <c r="V693" s="799"/>
      <c r="W693" s="799"/>
      <c r="X693" s="799"/>
      <c r="Y693" s="60"/>
    </row>
    <row r="694" spans="1:25" s="59" customFormat="1" ht="27.75" customHeight="1">
      <c r="A694" s="115" t="s">
        <v>1</v>
      </c>
      <c r="B694" s="116" t="s">
        <v>2</v>
      </c>
      <c r="C694" s="117" t="s">
        <v>3</v>
      </c>
      <c r="D694" s="117" t="s">
        <v>4</v>
      </c>
      <c r="E694" s="117" t="s">
        <v>5</v>
      </c>
      <c r="F694" s="117" t="s">
        <v>6</v>
      </c>
      <c r="G694" s="117" t="s">
        <v>7</v>
      </c>
      <c r="H694" s="117" t="s">
        <v>167</v>
      </c>
      <c r="I694" s="117" t="s">
        <v>9</v>
      </c>
      <c r="J694" s="117" t="s">
        <v>10</v>
      </c>
      <c r="K694" s="117" t="s">
        <v>11</v>
      </c>
      <c r="L694" s="117" t="s">
        <v>12</v>
      </c>
      <c r="M694" s="118" t="s">
        <v>13</v>
      </c>
      <c r="N694" s="117" t="s">
        <v>14</v>
      </c>
      <c r="O694" s="117" t="s">
        <v>15</v>
      </c>
      <c r="P694" s="117" t="s">
        <v>16</v>
      </c>
      <c r="Q694" s="119" t="s">
        <v>17</v>
      </c>
      <c r="R694" s="120" t="s">
        <v>18</v>
      </c>
      <c r="S694" s="120" t="s">
        <v>19</v>
      </c>
      <c r="T694" s="120" t="s">
        <v>20</v>
      </c>
      <c r="U694" s="117" t="s">
        <v>21</v>
      </c>
      <c r="V694" s="117" t="s">
        <v>22</v>
      </c>
      <c r="W694" s="117" t="s">
        <v>23</v>
      </c>
      <c r="X694" s="117" t="s">
        <v>24</v>
      </c>
      <c r="Y694" s="60"/>
    </row>
    <row r="695" spans="1:25" s="59" customFormat="1" ht="15.75" customHeight="1">
      <c r="A695" s="807" t="s">
        <v>25</v>
      </c>
      <c r="B695" s="808"/>
      <c r="C695" s="808"/>
      <c r="D695" s="808"/>
      <c r="E695" s="808"/>
      <c r="F695" s="808"/>
      <c r="G695" s="808"/>
      <c r="H695" s="808"/>
      <c r="I695" s="808"/>
      <c r="J695" s="808"/>
      <c r="K695" s="808"/>
      <c r="L695" s="808"/>
      <c r="M695" s="808"/>
      <c r="N695" s="808"/>
      <c r="O695" s="808"/>
      <c r="P695" s="808"/>
      <c r="Q695" s="808"/>
      <c r="R695" s="808"/>
      <c r="S695" s="808"/>
      <c r="T695" s="808"/>
      <c r="U695" s="808"/>
      <c r="V695" s="808"/>
      <c r="W695" s="808"/>
      <c r="X695" s="809"/>
      <c r="Y695" s="60"/>
    </row>
    <row r="696" spans="1:25" ht="25.5" customHeight="1">
      <c r="A696" s="9"/>
      <c r="B696" s="9" t="s">
        <v>2134</v>
      </c>
      <c r="C696" s="9">
        <v>33044547</v>
      </c>
      <c r="D696" s="9" t="s">
        <v>2135</v>
      </c>
      <c r="E696" s="9" t="s">
        <v>2136</v>
      </c>
      <c r="F696" s="9" t="s">
        <v>2137</v>
      </c>
      <c r="G696" s="9" t="s">
        <v>30</v>
      </c>
      <c r="H696" s="9" t="s">
        <v>2138</v>
      </c>
      <c r="I696" s="9" t="s">
        <v>40</v>
      </c>
      <c r="J696" s="9" t="s">
        <v>2139</v>
      </c>
      <c r="K696" s="9" t="s">
        <v>40</v>
      </c>
      <c r="L696" s="12">
        <v>45038</v>
      </c>
      <c r="M696" s="12">
        <v>45080</v>
      </c>
      <c r="N696" s="12" t="s">
        <v>40</v>
      </c>
      <c r="O696" s="12" t="s">
        <v>40</v>
      </c>
      <c r="P696" s="12" t="s">
        <v>40</v>
      </c>
      <c r="Q696" s="9" t="s">
        <v>40</v>
      </c>
      <c r="R696" s="12">
        <v>45083</v>
      </c>
      <c r="S696" s="9" t="s">
        <v>2140</v>
      </c>
      <c r="T696" s="12">
        <v>45083</v>
      </c>
      <c r="U696" s="14">
        <v>4456375</v>
      </c>
      <c r="V696" s="14" t="s">
        <v>40</v>
      </c>
      <c r="W696" s="14" t="s">
        <v>40</v>
      </c>
      <c r="X696" s="9" t="s">
        <v>40</v>
      </c>
      <c r="Y696" s="2"/>
    </row>
    <row r="697" spans="1:25" s="59" customFormat="1" ht="25.5" customHeight="1">
      <c r="A697" s="787"/>
      <c r="B697" s="787" t="s">
        <v>1977</v>
      </c>
      <c r="C697" s="787" t="s">
        <v>2141</v>
      </c>
      <c r="D697" s="787" t="s">
        <v>1588</v>
      </c>
      <c r="E697" s="867" t="s">
        <v>1487</v>
      </c>
      <c r="F697" s="96" t="s">
        <v>2142</v>
      </c>
      <c r="G697" s="869" t="s">
        <v>63</v>
      </c>
      <c r="H697" s="790" t="s">
        <v>2143</v>
      </c>
      <c r="I697" s="790" t="s">
        <v>2144</v>
      </c>
      <c r="J697" s="787" t="s">
        <v>215</v>
      </c>
      <c r="K697" s="787" t="s">
        <v>304</v>
      </c>
      <c r="L697" s="796">
        <v>45065</v>
      </c>
      <c r="M697" s="796">
        <v>45078</v>
      </c>
      <c r="N697" s="796">
        <v>45079</v>
      </c>
      <c r="O697" s="796">
        <v>45079</v>
      </c>
      <c r="P697" s="796">
        <v>45080</v>
      </c>
      <c r="Q697" s="787" t="s">
        <v>2145</v>
      </c>
      <c r="R697" s="796">
        <v>45103</v>
      </c>
      <c r="S697" s="787" t="s">
        <v>2146</v>
      </c>
      <c r="T697" s="796">
        <v>45162</v>
      </c>
      <c r="U697" s="815">
        <v>900000</v>
      </c>
      <c r="V697" s="14">
        <v>100000</v>
      </c>
      <c r="W697" s="14" t="s">
        <v>59</v>
      </c>
      <c r="X697" s="12">
        <v>45070</v>
      </c>
      <c r="Y697" s="60"/>
    </row>
    <row r="698" spans="1:25" s="59" customFormat="1" ht="25.5" customHeight="1">
      <c r="A698" s="794"/>
      <c r="B698" s="794"/>
      <c r="C698" s="794"/>
      <c r="D698" s="794"/>
      <c r="E698" s="868"/>
      <c r="F698" s="97" t="s">
        <v>2147</v>
      </c>
      <c r="G698" s="809"/>
      <c r="H698" s="794"/>
      <c r="I698" s="794"/>
      <c r="J698" s="794"/>
      <c r="K698" s="794"/>
      <c r="L698" s="794"/>
      <c r="M698" s="794"/>
      <c r="N698" s="839"/>
      <c r="O698" s="839"/>
      <c r="P698" s="839"/>
      <c r="Q698" s="794"/>
      <c r="R698" s="794"/>
      <c r="S698" s="794"/>
      <c r="T698" s="794"/>
      <c r="U698" s="816"/>
      <c r="V698" s="14">
        <v>250000</v>
      </c>
      <c r="W698" s="14" t="s">
        <v>1987</v>
      </c>
      <c r="X698" s="12">
        <v>45163</v>
      </c>
      <c r="Y698" s="60"/>
    </row>
    <row r="699" spans="1:25" ht="24" customHeight="1">
      <c r="A699" s="9"/>
      <c r="B699" s="9" t="s">
        <v>1656</v>
      </c>
      <c r="C699" s="9">
        <v>52302489</v>
      </c>
      <c r="D699" s="9" t="s">
        <v>1588</v>
      </c>
      <c r="E699" s="9" t="s">
        <v>1700</v>
      </c>
      <c r="F699" s="9" t="s">
        <v>2148</v>
      </c>
      <c r="G699" s="9" t="s">
        <v>270</v>
      </c>
      <c r="H699" s="10" t="s">
        <v>2149</v>
      </c>
      <c r="I699" s="10" t="s">
        <v>2150</v>
      </c>
      <c r="J699" s="9" t="s">
        <v>1208</v>
      </c>
      <c r="K699" s="9" t="s">
        <v>304</v>
      </c>
      <c r="L699" s="12">
        <v>45039</v>
      </c>
      <c r="M699" s="12">
        <v>45080</v>
      </c>
      <c r="N699" s="12">
        <v>45083</v>
      </c>
      <c r="O699" s="12">
        <v>45083</v>
      </c>
      <c r="P699" s="12">
        <v>45084</v>
      </c>
      <c r="Q699" s="9" t="s">
        <v>2151</v>
      </c>
      <c r="R699" s="12">
        <v>45103</v>
      </c>
      <c r="S699" s="9" t="s">
        <v>2152</v>
      </c>
      <c r="T699" s="12">
        <v>45103</v>
      </c>
      <c r="U699" s="14">
        <v>2175000</v>
      </c>
      <c r="V699" s="14">
        <v>500000</v>
      </c>
      <c r="W699" s="14" t="s">
        <v>1664</v>
      </c>
      <c r="X699" s="12">
        <v>45104</v>
      </c>
      <c r="Y699" s="2"/>
    </row>
    <row r="700" spans="1:25" s="59" customFormat="1" ht="21" customHeight="1">
      <c r="A700" s="787"/>
      <c r="B700" s="787" t="s">
        <v>1977</v>
      </c>
      <c r="C700" s="787">
        <v>292084067</v>
      </c>
      <c r="D700" s="787" t="s">
        <v>1588</v>
      </c>
      <c r="E700" s="867" t="s">
        <v>2153</v>
      </c>
      <c r="F700" s="805" t="s">
        <v>2154</v>
      </c>
      <c r="G700" s="869" t="s">
        <v>71</v>
      </c>
      <c r="H700" s="790" t="s">
        <v>2155</v>
      </c>
      <c r="I700" s="790" t="s">
        <v>2150</v>
      </c>
      <c r="J700" s="787" t="s">
        <v>317</v>
      </c>
      <c r="K700" s="787" t="s">
        <v>1782</v>
      </c>
      <c r="L700" s="796">
        <v>45067</v>
      </c>
      <c r="M700" s="796">
        <v>45084</v>
      </c>
      <c r="N700" s="796">
        <v>45086</v>
      </c>
      <c r="O700" s="796">
        <v>45086</v>
      </c>
      <c r="P700" s="796">
        <v>45087</v>
      </c>
      <c r="Q700" s="787" t="s">
        <v>2156</v>
      </c>
      <c r="R700" s="796">
        <v>45103</v>
      </c>
      <c r="S700" s="787" t="s">
        <v>2157</v>
      </c>
      <c r="T700" s="796">
        <v>45162</v>
      </c>
      <c r="U700" s="815">
        <v>575000</v>
      </c>
      <c r="V700" s="14">
        <v>50000</v>
      </c>
      <c r="W700" s="14" t="s">
        <v>59</v>
      </c>
      <c r="X700" s="12">
        <v>45070</v>
      </c>
      <c r="Y700" s="60"/>
    </row>
    <row r="701" spans="1:25" s="59" customFormat="1" ht="21" customHeight="1">
      <c r="A701" s="794"/>
      <c r="B701" s="794"/>
      <c r="C701" s="794"/>
      <c r="D701" s="794"/>
      <c r="E701" s="868"/>
      <c r="F701" s="963"/>
      <c r="G701" s="809"/>
      <c r="H701" s="794"/>
      <c r="I701" s="794"/>
      <c r="J701" s="794"/>
      <c r="K701" s="794"/>
      <c r="L701" s="794"/>
      <c r="M701" s="794"/>
      <c r="N701" s="839"/>
      <c r="O701" s="839"/>
      <c r="P701" s="839"/>
      <c r="Q701" s="794"/>
      <c r="R701" s="794"/>
      <c r="S701" s="794"/>
      <c r="T701" s="794"/>
      <c r="U701" s="816"/>
      <c r="V701" s="14">
        <v>150000</v>
      </c>
      <c r="W701" s="14" t="s">
        <v>2158</v>
      </c>
      <c r="X701" s="12">
        <v>45163</v>
      </c>
      <c r="Y701" s="60"/>
    </row>
    <row r="702" spans="1:25" s="59" customFormat="1" ht="15.75" customHeight="1">
      <c r="A702" s="786"/>
      <c r="B702" s="786" t="s">
        <v>1375</v>
      </c>
      <c r="C702" s="786" t="s">
        <v>2159</v>
      </c>
      <c r="D702" s="786" t="s">
        <v>2160</v>
      </c>
      <c r="E702" s="786" t="s">
        <v>2161</v>
      </c>
      <c r="F702" s="96" t="s">
        <v>2162</v>
      </c>
      <c r="G702" s="786" t="s">
        <v>2163</v>
      </c>
      <c r="H702" s="785" t="s">
        <v>2164</v>
      </c>
      <c r="I702" s="785" t="s">
        <v>2165</v>
      </c>
      <c r="J702" s="786" t="s">
        <v>66</v>
      </c>
      <c r="K702" s="786" t="s">
        <v>40</v>
      </c>
      <c r="L702" s="793">
        <v>45071</v>
      </c>
      <c r="M702" s="793">
        <v>45088</v>
      </c>
      <c r="N702" s="793" t="s">
        <v>40</v>
      </c>
      <c r="O702" s="793" t="s">
        <v>40</v>
      </c>
      <c r="P702" s="793" t="s">
        <v>40</v>
      </c>
      <c r="Q702" s="786" t="s">
        <v>40</v>
      </c>
      <c r="R702" s="793">
        <v>45077</v>
      </c>
      <c r="S702" s="786" t="s">
        <v>2166</v>
      </c>
      <c r="T702" s="793">
        <v>45021</v>
      </c>
      <c r="U702" s="814">
        <v>3914000</v>
      </c>
      <c r="V702" s="814">
        <v>13300000</v>
      </c>
      <c r="W702" s="814" t="s">
        <v>1384</v>
      </c>
      <c r="X702" s="793">
        <v>45114</v>
      </c>
      <c r="Y702" s="60"/>
    </row>
    <row r="703" spans="1:25" s="59" customFormat="1" ht="15.75" customHeight="1">
      <c r="A703" s="786"/>
      <c r="B703" s="786"/>
      <c r="C703" s="786"/>
      <c r="D703" s="786"/>
      <c r="E703" s="786"/>
      <c r="F703" s="96" t="s">
        <v>2167</v>
      </c>
      <c r="G703" s="786"/>
      <c r="H703" s="786"/>
      <c r="I703" s="786"/>
      <c r="J703" s="786"/>
      <c r="K703" s="786"/>
      <c r="L703" s="793"/>
      <c r="M703" s="793"/>
      <c r="N703" s="793"/>
      <c r="O703" s="793"/>
      <c r="P703" s="793"/>
      <c r="Q703" s="786"/>
      <c r="R703" s="793"/>
      <c r="S703" s="786"/>
      <c r="T703" s="793"/>
      <c r="U703" s="814"/>
      <c r="V703" s="814"/>
      <c r="W703" s="814"/>
      <c r="X703" s="793"/>
      <c r="Y703" s="60"/>
    </row>
    <row r="704" spans="1:25" s="59" customFormat="1" ht="24.75" customHeight="1">
      <c r="A704" s="786"/>
      <c r="B704" s="786"/>
      <c r="C704" s="786"/>
      <c r="D704" s="786"/>
      <c r="E704" s="786"/>
      <c r="F704" s="96" t="s">
        <v>2168</v>
      </c>
      <c r="G704" s="786"/>
      <c r="H704" s="786"/>
      <c r="I704" s="786"/>
      <c r="J704" s="786"/>
      <c r="K704" s="786"/>
      <c r="L704" s="793"/>
      <c r="M704" s="793"/>
      <c r="N704" s="793"/>
      <c r="O704" s="793"/>
      <c r="P704" s="793"/>
      <c r="Q704" s="786"/>
      <c r="R704" s="793"/>
      <c r="S704" s="786"/>
      <c r="T704" s="793"/>
      <c r="U704" s="814"/>
      <c r="V704" s="93">
        <v>600000</v>
      </c>
      <c r="W704" s="93" t="s">
        <v>59</v>
      </c>
      <c r="X704" s="94">
        <v>45104</v>
      </c>
      <c r="Y704" s="60"/>
    </row>
    <row r="705" spans="1:25" ht="24" customHeight="1">
      <c r="A705" s="13"/>
      <c r="B705" s="13" t="s">
        <v>1485</v>
      </c>
      <c r="C705" s="13" t="s">
        <v>2169</v>
      </c>
      <c r="D705" s="13" t="s">
        <v>1829</v>
      </c>
      <c r="E705" s="13" t="s">
        <v>2170</v>
      </c>
      <c r="F705" s="13" t="s">
        <v>2171</v>
      </c>
      <c r="G705" s="13" t="s">
        <v>1931</v>
      </c>
      <c r="H705" s="16" t="s">
        <v>2172</v>
      </c>
      <c r="I705" s="13"/>
      <c r="J705" s="13" t="s">
        <v>1491</v>
      </c>
      <c r="K705" s="13"/>
      <c r="L705" s="17">
        <v>45080</v>
      </c>
      <c r="M705" s="17">
        <v>45089</v>
      </c>
      <c r="N705" s="17">
        <v>45091</v>
      </c>
      <c r="O705" s="17">
        <v>45091</v>
      </c>
      <c r="P705" s="17">
        <v>45092</v>
      </c>
      <c r="Q705" s="13" t="s">
        <v>2173</v>
      </c>
      <c r="R705" s="17">
        <v>45054</v>
      </c>
      <c r="S705" s="13" t="s">
        <v>2174</v>
      </c>
      <c r="T705" s="17" t="s">
        <v>2175</v>
      </c>
      <c r="U705" s="19">
        <v>850000</v>
      </c>
      <c r="V705" s="19" t="s">
        <v>40</v>
      </c>
      <c r="W705" s="19" t="s">
        <v>40</v>
      </c>
      <c r="X705" s="13" t="s">
        <v>40</v>
      </c>
      <c r="Y705" s="2"/>
    </row>
    <row r="706" spans="1:25" s="59" customFormat="1" ht="24.75" customHeight="1">
      <c r="A706" s="96"/>
      <c r="B706" s="96" t="s">
        <v>2081</v>
      </c>
      <c r="C706" s="96" t="s">
        <v>2176</v>
      </c>
      <c r="D706" s="96" t="s">
        <v>1588</v>
      </c>
      <c r="E706" s="96" t="s">
        <v>2177</v>
      </c>
      <c r="F706" s="96" t="s">
        <v>2178</v>
      </c>
      <c r="G706" s="96" t="s">
        <v>71</v>
      </c>
      <c r="H706" s="96" t="s">
        <v>2179</v>
      </c>
      <c r="I706" s="104" t="s">
        <v>2180</v>
      </c>
      <c r="J706" s="96" t="s">
        <v>66</v>
      </c>
      <c r="K706" s="96" t="s">
        <v>159</v>
      </c>
      <c r="L706" s="94">
        <v>45074</v>
      </c>
      <c r="M706" s="94">
        <v>45090</v>
      </c>
      <c r="N706" s="94">
        <v>45029</v>
      </c>
      <c r="O706" s="94">
        <v>45091</v>
      </c>
      <c r="P706" s="94">
        <v>45092</v>
      </c>
      <c r="Q706" s="96" t="s">
        <v>2181</v>
      </c>
      <c r="R706" s="121" t="s">
        <v>2182</v>
      </c>
      <c r="S706" s="96" t="s">
        <v>2183</v>
      </c>
      <c r="T706" s="94" t="s">
        <v>2184</v>
      </c>
      <c r="U706" s="93">
        <v>2291000</v>
      </c>
      <c r="V706" s="93">
        <v>300000</v>
      </c>
      <c r="W706" s="93" t="s">
        <v>59</v>
      </c>
      <c r="X706" s="94">
        <v>45131</v>
      </c>
      <c r="Y706" s="60"/>
    </row>
    <row r="707" spans="1:25" s="59" customFormat="1" ht="25.5" customHeight="1">
      <c r="A707" s="788"/>
      <c r="B707" s="788" t="s">
        <v>1977</v>
      </c>
      <c r="C707" s="788" t="s">
        <v>2185</v>
      </c>
      <c r="D707" s="788" t="s">
        <v>1588</v>
      </c>
      <c r="E707" s="906" t="s">
        <v>1487</v>
      </c>
      <c r="F707" s="122" t="s">
        <v>2186</v>
      </c>
      <c r="G707" s="856" t="s">
        <v>49</v>
      </c>
      <c r="H707" s="819" t="s">
        <v>2187</v>
      </c>
      <c r="I707" s="819" t="s">
        <v>2188</v>
      </c>
      <c r="J707" s="788" t="s">
        <v>215</v>
      </c>
      <c r="K707" s="788" t="s">
        <v>304</v>
      </c>
      <c r="L707" s="813">
        <v>45079</v>
      </c>
      <c r="M707" s="813">
        <v>45092</v>
      </c>
      <c r="N707" s="813">
        <v>45093</v>
      </c>
      <c r="O707" s="813" t="s">
        <v>2189</v>
      </c>
      <c r="P707" s="813" t="s">
        <v>2190</v>
      </c>
      <c r="Q707" s="788" t="s">
        <v>2191</v>
      </c>
      <c r="R707" s="813" t="s">
        <v>40</v>
      </c>
      <c r="S707" s="788" t="s">
        <v>2192</v>
      </c>
      <c r="T707" s="813">
        <v>45140</v>
      </c>
      <c r="U707" s="845">
        <v>1075000</v>
      </c>
      <c r="V707" s="845">
        <v>150000</v>
      </c>
      <c r="W707" s="845" t="s">
        <v>59</v>
      </c>
      <c r="X707" s="849">
        <v>45070</v>
      </c>
      <c r="Y707" s="60"/>
    </row>
    <row r="708" spans="1:25" s="59" customFormat="1" ht="25.5" customHeight="1">
      <c r="A708" s="788"/>
      <c r="B708" s="788"/>
      <c r="C708" s="788"/>
      <c r="D708" s="788"/>
      <c r="E708" s="906"/>
      <c r="F708" s="96" t="s">
        <v>2193</v>
      </c>
      <c r="G708" s="856"/>
      <c r="H708" s="788"/>
      <c r="I708" s="788"/>
      <c r="J708" s="788"/>
      <c r="K708" s="788"/>
      <c r="L708" s="813"/>
      <c r="M708" s="813"/>
      <c r="N708" s="813"/>
      <c r="O708" s="813"/>
      <c r="P708" s="813"/>
      <c r="Q708" s="788"/>
      <c r="R708" s="813"/>
      <c r="S708" s="788"/>
      <c r="T708" s="813"/>
      <c r="U708" s="845"/>
      <c r="V708" s="816"/>
      <c r="W708" s="816"/>
      <c r="X708" s="839"/>
      <c r="Y708" s="60"/>
    </row>
    <row r="709" spans="1:25" s="59" customFormat="1" ht="25.5" customHeight="1">
      <c r="A709" s="794"/>
      <c r="B709" s="794"/>
      <c r="C709" s="794"/>
      <c r="D709" s="794"/>
      <c r="E709" s="868"/>
      <c r="F709" s="97" t="s">
        <v>2194</v>
      </c>
      <c r="G709" s="809"/>
      <c r="H709" s="794"/>
      <c r="I709" s="794"/>
      <c r="J709" s="794"/>
      <c r="K709" s="794"/>
      <c r="L709" s="794"/>
      <c r="M709" s="794"/>
      <c r="N709" s="839"/>
      <c r="O709" s="839"/>
      <c r="P709" s="839"/>
      <c r="Q709" s="794"/>
      <c r="R709" s="794"/>
      <c r="S709" s="794"/>
      <c r="T709" s="794"/>
      <c r="U709" s="816"/>
      <c r="V709" s="14">
        <v>350000</v>
      </c>
      <c r="W709" s="14" t="s">
        <v>2158</v>
      </c>
      <c r="X709" s="12">
        <v>45209</v>
      </c>
      <c r="Y709" s="60"/>
    </row>
    <row r="710" spans="1:25" s="59" customFormat="1" ht="15.75" customHeight="1">
      <c r="A710" s="787"/>
      <c r="B710" s="787" t="s">
        <v>1375</v>
      </c>
      <c r="C710" s="787" t="s">
        <v>2195</v>
      </c>
      <c r="D710" s="787" t="s">
        <v>1588</v>
      </c>
      <c r="E710" s="867" t="s">
        <v>1700</v>
      </c>
      <c r="F710" s="96" t="s">
        <v>2196</v>
      </c>
      <c r="G710" s="869" t="s">
        <v>1510</v>
      </c>
      <c r="H710" s="790" t="s">
        <v>2197</v>
      </c>
      <c r="I710" s="790" t="s">
        <v>2198</v>
      </c>
      <c r="J710" s="787" t="s">
        <v>365</v>
      </c>
      <c r="K710" s="787" t="s">
        <v>304</v>
      </c>
      <c r="L710" s="796">
        <v>45078</v>
      </c>
      <c r="M710" s="796">
        <v>45093</v>
      </c>
      <c r="N710" s="796">
        <v>45096</v>
      </c>
      <c r="O710" s="796" t="s">
        <v>2199</v>
      </c>
      <c r="P710" s="796">
        <v>45097</v>
      </c>
      <c r="Q710" s="787" t="s">
        <v>1834</v>
      </c>
      <c r="R710" s="796" t="s">
        <v>2200</v>
      </c>
      <c r="S710" s="787" t="s">
        <v>2201</v>
      </c>
      <c r="T710" s="796" t="s">
        <v>2202</v>
      </c>
      <c r="U710" s="923">
        <v>6063200</v>
      </c>
      <c r="V710" s="814">
        <v>400000</v>
      </c>
      <c r="W710" s="814" t="s">
        <v>1384</v>
      </c>
      <c r="X710" s="793">
        <v>45100</v>
      </c>
      <c r="Y710" s="60"/>
    </row>
    <row r="711" spans="1:25" s="59" customFormat="1" ht="15.75" customHeight="1">
      <c r="A711" s="788"/>
      <c r="B711" s="788"/>
      <c r="C711" s="788"/>
      <c r="D711" s="788"/>
      <c r="E711" s="906"/>
      <c r="F711" s="96" t="s">
        <v>2203</v>
      </c>
      <c r="G711" s="856"/>
      <c r="H711" s="788"/>
      <c r="I711" s="788"/>
      <c r="J711" s="788"/>
      <c r="K711" s="788"/>
      <c r="L711" s="813"/>
      <c r="M711" s="813"/>
      <c r="N711" s="813"/>
      <c r="O711" s="813"/>
      <c r="P711" s="813"/>
      <c r="Q711" s="788"/>
      <c r="R711" s="813"/>
      <c r="S711" s="788"/>
      <c r="T711" s="813"/>
      <c r="U711" s="923"/>
      <c r="V711" s="814"/>
      <c r="W711" s="814"/>
      <c r="X711" s="793"/>
      <c r="Y711" s="60"/>
    </row>
    <row r="712" spans="1:25" s="59" customFormat="1" ht="15.75" customHeight="1">
      <c r="A712" s="788"/>
      <c r="B712" s="788"/>
      <c r="C712" s="788"/>
      <c r="D712" s="788"/>
      <c r="E712" s="906"/>
      <c r="F712" s="96" t="s">
        <v>2204</v>
      </c>
      <c r="G712" s="856"/>
      <c r="H712" s="788"/>
      <c r="I712" s="788"/>
      <c r="J712" s="788"/>
      <c r="K712" s="788"/>
      <c r="L712" s="813"/>
      <c r="M712" s="813"/>
      <c r="N712" s="813"/>
      <c r="O712" s="813"/>
      <c r="P712" s="813"/>
      <c r="Q712" s="788"/>
      <c r="R712" s="813"/>
      <c r="S712" s="788"/>
      <c r="T712" s="813"/>
      <c r="U712" s="923"/>
      <c r="V712" s="814">
        <v>800000</v>
      </c>
      <c r="W712" s="814" t="s">
        <v>59</v>
      </c>
      <c r="X712" s="793">
        <v>45104</v>
      </c>
      <c r="Y712" s="60"/>
    </row>
    <row r="713" spans="1:25" s="59" customFormat="1" ht="24.75" customHeight="1">
      <c r="A713" s="788"/>
      <c r="B713" s="788"/>
      <c r="C713" s="788"/>
      <c r="D713" s="788"/>
      <c r="E713" s="906"/>
      <c r="F713" s="110" t="s">
        <v>2205</v>
      </c>
      <c r="G713" s="856"/>
      <c r="H713" s="788"/>
      <c r="I713" s="788"/>
      <c r="J713" s="788"/>
      <c r="K713" s="788"/>
      <c r="L713" s="813"/>
      <c r="M713" s="813"/>
      <c r="N713" s="813"/>
      <c r="O713" s="813"/>
      <c r="P713" s="813"/>
      <c r="Q713" s="788"/>
      <c r="R713" s="813"/>
      <c r="S713" s="788"/>
      <c r="T713" s="813"/>
      <c r="U713" s="923"/>
      <c r="V713" s="840"/>
      <c r="W713" s="840"/>
      <c r="X713" s="810"/>
      <c r="Y713" s="60"/>
    </row>
    <row r="714" spans="1:25" s="100" customFormat="1" ht="43.5" customHeight="1">
      <c r="A714" s="96"/>
      <c r="B714" s="96" t="s">
        <v>2081</v>
      </c>
      <c r="C714" s="96">
        <v>228113399</v>
      </c>
      <c r="D714" s="96" t="s">
        <v>1588</v>
      </c>
      <c r="E714" s="96" t="s">
        <v>2206</v>
      </c>
      <c r="F714" s="96" t="s">
        <v>2207</v>
      </c>
      <c r="G714" s="96" t="s">
        <v>2208</v>
      </c>
      <c r="H714" s="104" t="s">
        <v>2149</v>
      </c>
      <c r="I714" s="104" t="s">
        <v>1998</v>
      </c>
      <c r="J714" s="96" t="s">
        <v>2209</v>
      </c>
      <c r="K714" s="96" t="s">
        <v>1782</v>
      </c>
      <c r="L714" s="94">
        <v>45086</v>
      </c>
      <c r="M714" s="94">
        <v>45097</v>
      </c>
      <c r="N714" s="121" t="s">
        <v>2210</v>
      </c>
      <c r="O714" s="94">
        <v>44992</v>
      </c>
      <c r="P714" s="94">
        <v>45023</v>
      </c>
      <c r="Q714" s="96" t="s">
        <v>2211</v>
      </c>
      <c r="R714" s="121" t="s">
        <v>2212</v>
      </c>
      <c r="S714" s="124" t="s">
        <v>2213</v>
      </c>
      <c r="T714" s="94" t="s">
        <v>2184</v>
      </c>
      <c r="U714" s="93">
        <v>3050000</v>
      </c>
      <c r="V714" s="14">
        <v>500000</v>
      </c>
      <c r="W714" s="14" t="s">
        <v>59</v>
      </c>
      <c r="X714" s="94">
        <v>45132</v>
      </c>
      <c r="Y714" s="60"/>
    </row>
    <row r="715" spans="1:25" s="100" customFormat="1" ht="43.5" customHeight="1">
      <c r="A715" s="96"/>
      <c r="B715" s="96" t="s">
        <v>2081</v>
      </c>
      <c r="C715" s="96">
        <v>227916291</v>
      </c>
      <c r="D715" s="96" t="s">
        <v>1588</v>
      </c>
      <c r="E715" s="96" t="s">
        <v>2153</v>
      </c>
      <c r="F715" s="96" t="s">
        <v>2214</v>
      </c>
      <c r="G715" s="96" t="s">
        <v>2069</v>
      </c>
      <c r="H715" s="104" t="s">
        <v>2215</v>
      </c>
      <c r="I715" s="104" t="s">
        <v>2216</v>
      </c>
      <c r="J715" s="96" t="s">
        <v>66</v>
      </c>
      <c r="K715" s="96" t="s">
        <v>1782</v>
      </c>
      <c r="L715" s="94">
        <v>45079</v>
      </c>
      <c r="M715" s="94">
        <v>45097</v>
      </c>
      <c r="N715" s="94" t="s">
        <v>2217</v>
      </c>
      <c r="O715" s="94">
        <v>45099</v>
      </c>
      <c r="P715" s="94">
        <v>45100</v>
      </c>
      <c r="Q715" s="96" t="s">
        <v>2218</v>
      </c>
      <c r="R715" s="121" t="s">
        <v>2212</v>
      </c>
      <c r="S715" s="124" t="s">
        <v>2219</v>
      </c>
      <c r="T715" s="94" t="s">
        <v>2184</v>
      </c>
      <c r="U715" s="93">
        <v>3050000</v>
      </c>
      <c r="V715" s="14">
        <v>500000</v>
      </c>
      <c r="W715" s="14" t="s">
        <v>59</v>
      </c>
      <c r="X715" s="94">
        <v>45132</v>
      </c>
      <c r="Y715" s="60"/>
    </row>
    <row r="716" spans="1:25" s="59" customFormat="1" ht="15.75" customHeight="1">
      <c r="A716" s="786"/>
      <c r="B716" s="786" t="s">
        <v>1375</v>
      </c>
      <c r="C716" s="786">
        <v>227760389</v>
      </c>
      <c r="D716" s="786" t="s">
        <v>1588</v>
      </c>
      <c r="E716" s="786" t="s">
        <v>1700</v>
      </c>
      <c r="F716" s="96" t="s">
        <v>2220</v>
      </c>
      <c r="G716" s="786" t="s">
        <v>1521</v>
      </c>
      <c r="H716" s="785" t="s">
        <v>2221</v>
      </c>
      <c r="I716" s="785" t="s">
        <v>2165</v>
      </c>
      <c r="J716" s="786" t="s">
        <v>66</v>
      </c>
      <c r="K716" s="786" t="s">
        <v>1782</v>
      </c>
      <c r="L716" s="793">
        <v>45085</v>
      </c>
      <c r="M716" s="793">
        <v>45099</v>
      </c>
      <c r="N716" s="793">
        <v>45099</v>
      </c>
      <c r="O716" s="793">
        <v>45099</v>
      </c>
      <c r="P716" s="793">
        <v>45100</v>
      </c>
      <c r="Q716" s="786" t="s">
        <v>102</v>
      </c>
      <c r="R716" s="793">
        <v>45128</v>
      </c>
      <c r="S716" s="786" t="s">
        <v>2222</v>
      </c>
      <c r="T716" s="793" t="s">
        <v>2223</v>
      </c>
      <c r="U716" s="814">
        <v>5189200</v>
      </c>
      <c r="V716" s="814">
        <v>300000</v>
      </c>
      <c r="W716" s="814" t="s">
        <v>1384</v>
      </c>
      <c r="X716" s="793">
        <v>45100</v>
      </c>
      <c r="Y716" s="60"/>
    </row>
    <row r="717" spans="1:25" s="59" customFormat="1" ht="15.75" customHeight="1">
      <c r="A717" s="786"/>
      <c r="B717" s="786"/>
      <c r="C717" s="786"/>
      <c r="D717" s="786"/>
      <c r="E717" s="786"/>
      <c r="F717" s="96" t="s">
        <v>2224</v>
      </c>
      <c r="G717" s="786"/>
      <c r="H717" s="786"/>
      <c r="I717" s="786"/>
      <c r="J717" s="786"/>
      <c r="K717" s="786"/>
      <c r="L717" s="793"/>
      <c r="M717" s="793"/>
      <c r="N717" s="793"/>
      <c r="O717" s="793"/>
      <c r="P717" s="793"/>
      <c r="Q717" s="786"/>
      <c r="R717" s="793"/>
      <c r="S717" s="786"/>
      <c r="T717" s="793"/>
      <c r="U717" s="814"/>
      <c r="V717" s="814"/>
      <c r="W717" s="814"/>
      <c r="X717" s="793"/>
      <c r="Y717" s="60"/>
    </row>
    <row r="718" spans="1:25" s="59" customFormat="1" ht="24.75" customHeight="1">
      <c r="A718" s="786"/>
      <c r="B718" s="786"/>
      <c r="C718" s="786"/>
      <c r="D718" s="786"/>
      <c r="E718" s="786"/>
      <c r="F718" s="96" t="s">
        <v>2225</v>
      </c>
      <c r="G718" s="786"/>
      <c r="H718" s="786"/>
      <c r="I718" s="786"/>
      <c r="J718" s="786"/>
      <c r="K718" s="786"/>
      <c r="L718" s="793"/>
      <c r="M718" s="793"/>
      <c r="N718" s="793"/>
      <c r="O718" s="793"/>
      <c r="P718" s="793"/>
      <c r="Q718" s="786"/>
      <c r="R718" s="793"/>
      <c r="S718" s="786"/>
      <c r="T718" s="793"/>
      <c r="U718" s="814"/>
      <c r="V718" s="93">
        <v>600000</v>
      </c>
      <c r="W718" s="93" t="s">
        <v>59</v>
      </c>
      <c r="X718" s="94">
        <v>45104</v>
      </c>
      <c r="Y718" s="60"/>
    </row>
    <row r="719" spans="1:25" s="59" customFormat="1" ht="24" customHeight="1">
      <c r="A719" s="9"/>
      <c r="B719" s="9" t="s">
        <v>749</v>
      </c>
      <c r="C719" s="9" t="s">
        <v>2226</v>
      </c>
      <c r="D719" s="9" t="s">
        <v>1599</v>
      </c>
      <c r="E719" s="9" t="s">
        <v>1966</v>
      </c>
      <c r="F719" s="9" t="s">
        <v>2227</v>
      </c>
      <c r="G719" s="9" t="s">
        <v>71</v>
      </c>
      <c r="H719" s="10" t="s">
        <v>2228</v>
      </c>
      <c r="I719" s="10" t="s">
        <v>1449</v>
      </c>
      <c r="J719" s="9" t="s">
        <v>2229</v>
      </c>
      <c r="K719" s="9" t="s">
        <v>99</v>
      </c>
      <c r="L719" s="12">
        <v>45088</v>
      </c>
      <c r="M719" s="12">
        <v>45105</v>
      </c>
      <c r="N719" s="12" t="s">
        <v>2230</v>
      </c>
      <c r="O719" s="12">
        <v>45113</v>
      </c>
      <c r="P719" s="12">
        <v>45113</v>
      </c>
      <c r="Q719" s="9" t="s">
        <v>40</v>
      </c>
      <c r="R719" s="12" t="s">
        <v>2231</v>
      </c>
      <c r="S719" s="9" t="s">
        <v>2232</v>
      </c>
      <c r="T719" s="12">
        <v>45148</v>
      </c>
      <c r="U719" s="14">
        <v>2615000</v>
      </c>
      <c r="V719" s="14">
        <v>250000</v>
      </c>
      <c r="W719" s="14" t="s">
        <v>1606</v>
      </c>
      <c r="X719" s="12">
        <v>45055</v>
      </c>
      <c r="Y719" s="60"/>
    </row>
    <row r="720" spans="1:25" ht="15.75" customHeight="1">
      <c r="A720" s="850" t="s">
        <v>543</v>
      </c>
      <c r="B720" s="851"/>
      <c r="C720" s="851"/>
      <c r="D720" s="851"/>
      <c r="E720" s="851"/>
      <c r="F720" s="851"/>
      <c r="G720" s="851"/>
      <c r="H720" s="851"/>
      <c r="I720" s="851"/>
      <c r="J720" s="851"/>
      <c r="K720" s="851"/>
      <c r="L720" s="851"/>
      <c r="M720" s="851"/>
      <c r="N720" s="851"/>
      <c r="O720" s="851"/>
      <c r="P720" s="851"/>
      <c r="Q720" s="851"/>
      <c r="R720" s="851"/>
      <c r="S720" s="851"/>
      <c r="T720" s="851"/>
      <c r="U720" s="851"/>
      <c r="V720" s="851"/>
      <c r="W720" s="851"/>
      <c r="X720" s="852"/>
      <c r="Y720" s="2"/>
    </row>
    <row r="721" spans="1:25" s="111" customFormat="1" ht="35.25" customHeight="1">
      <c r="A721" s="13"/>
      <c r="B721" s="13" t="s">
        <v>1559</v>
      </c>
      <c r="C721" s="9" t="s">
        <v>2233</v>
      </c>
      <c r="D721" s="13" t="s">
        <v>2234</v>
      </c>
      <c r="E721" s="13" t="s">
        <v>2235</v>
      </c>
      <c r="F721" s="13" t="s">
        <v>2236</v>
      </c>
      <c r="G721" s="13" t="s">
        <v>63</v>
      </c>
      <c r="H721" s="16" t="s">
        <v>2237</v>
      </c>
      <c r="I721" s="16" t="s">
        <v>2238</v>
      </c>
      <c r="J721" s="13" t="s">
        <v>2239</v>
      </c>
      <c r="K721" s="13" t="s">
        <v>2240</v>
      </c>
      <c r="L721" s="17">
        <v>45089</v>
      </c>
      <c r="M721" s="17">
        <v>45096</v>
      </c>
      <c r="N721" s="800" t="s">
        <v>2241</v>
      </c>
      <c r="O721" s="907"/>
      <c r="P721" s="908"/>
      <c r="Q721" s="66" t="s">
        <v>2106</v>
      </c>
      <c r="R721" s="17">
        <v>45092</v>
      </c>
      <c r="S721" s="13" t="s">
        <v>2242</v>
      </c>
      <c r="T721" s="17">
        <v>45175</v>
      </c>
      <c r="U721" s="19">
        <v>1250000</v>
      </c>
      <c r="V721" s="14" t="s">
        <v>40</v>
      </c>
      <c r="W721" s="14" t="s">
        <v>40</v>
      </c>
      <c r="X721" s="12" t="s">
        <v>40</v>
      </c>
      <c r="Y721" s="112"/>
    </row>
    <row r="722" spans="1:25" s="100" customFormat="1" ht="43.5" customHeight="1">
      <c r="A722" s="13"/>
      <c r="B722" s="13" t="s">
        <v>2081</v>
      </c>
      <c r="C722" s="13" t="s">
        <v>2243</v>
      </c>
      <c r="D722" s="13" t="s">
        <v>2083</v>
      </c>
      <c r="E722" s="13" t="s">
        <v>1508</v>
      </c>
      <c r="F722" s="13" t="s">
        <v>2244</v>
      </c>
      <c r="G722" s="13" t="s">
        <v>270</v>
      </c>
      <c r="H722" s="16" t="s">
        <v>2245</v>
      </c>
      <c r="I722" s="16" t="s">
        <v>1876</v>
      </c>
      <c r="J722" s="13" t="s">
        <v>365</v>
      </c>
      <c r="K722" s="13" t="s">
        <v>40</v>
      </c>
      <c r="L722" s="17">
        <v>45091</v>
      </c>
      <c r="M722" s="33" t="s">
        <v>40</v>
      </c>
      <c r="N722" s="846" t="s">
        <v>2246</v>
      </c>
      <c r="O722" s="847"/>
      <c r="P722" s="848"/>
      <c r="Q722" s="96" t="s">
        <v>2126</v>
      </c>
      <c r="R722" s="68">
        <v>45098</v>
      </c>
      <c r="S722" s="96" t="s">
        <v>2247</v>
      </c>
      <c r="T722" s="63">
        <v>45163</v>
      </c>
      <c r="U722" s="69">
        <v>1600000</v>
      </c>
      <c r="V722" s="19">
        <v>150000</v>
      </c>
      <c r="W722" s="69" t="s">
        <v>59</v>
      </c>
      <c r="X722" s="17">
        <v>45131</v>
      </c>
      <c r="Y722" s="60"/>
    </row>
    <row r="723" spans="1:25" s="100" customFormat="1" ht="43.5" customHeight="1">
      <c r="A723" s="13"/>
      <c r="B723" s="13" t="s">
        <v>2081</v>
      </c>
      <c r="C723" s="13" t="s">
        <v>2248</v>
      </c>
      <c r="D723" s="13" t="s">
        <v>2083</v>
      </c>
      <c r="E723" s="13" t="s">
        <v>1508</v>
      </c>
      <c r="F723" s="13" t="s">
        <v>2249</v>
      </c>
      <c r="G723" s="13" t="s">
        <v>270</v>
      </c>
      <c r="H723" s="16" t="s">
        <v>2250</v>
      </c>
      <c r="I723" s="16" t="s">
        <v>1861</v>
      </c>
      <c r="J723" s="13" t="s">
        <v>365</v>
      </c>
      <c r="K723" s="13" t="s">
        <v>40</v>
      </c>
      <c r="L723" s="17">
        <v>45091</v>
      </c>
      <c r="M723" s="33" t="s">
        <v>40</v>
      </c>
      <c r="N723" s="846" t="s">
        <v>2246</v>
      </c>
      <c r="O723" s="847"/>
      <c r="P723" s="848"/>
      <c r="Q723" s="96" t="s">
        <v>2126</v>
      </c>
      <c r="R723" s="68">
        <v>45098</v>
      </c>
      <c r="S723" s="96" t="s">
        <v>2251</v>
      </c>
      <c r="T723" s="125">
        <v>45163</v>
      </c>
      <c r="U723" s="69">
        <v>1600000</v>
      </c>
      <c r="V723" s="19">
        <v>150000</v>
      </c>
      <c r="W723" s="69" t="s">
        <v>59</v>
      </c>
      <c r="X723" s="17">
        <v>45131</v>
      </c>
      <c r="Y723" s="60"/>
    </row>
    <row r="724" spans="1:25" ht="15.75" customHeight="1">
      <c r="A724" s="850" t="s">
        <v>543</v>
      </c>
      <c r="B724" s="851"/>
      <c r="C724" s="851"/>
      <c r="D724" s="851"/>
      <c r="E724" s="851"/>
      <c r="F724" s="851"/>
      <c r="G724" s="851"/>
      <c r="H724" s="851"/>
      <c r="I724" s="851"/>
      <c r="J724" s="851"/>
      <c r="K724" s="851"/>
      <c r="L724" s="851"/>
      <c r="M724" s="851"/>
      <c r="N724" s="851"/>
      <c r="O724" s="851"/>
      <c r="P724" s="851"/>
      <c r="Q724" s="851"/>
      <c r="R724" s="851"/>
      <c r="S724" s="851"/>
      <c r="T724" s="851"/>
      <c r="U724" s="851"/>
      <c r="V724" s="851"/>
      <c r="W724" s="851"/>
      <c r="X724" s="852"/>
      <c r="Y724" s="2"/>
    </row>
    <row r="725" spans="1:25" ht="53.25" customHeight="1">
      <c r="A725" s="9"/>
      <c r="B725" s="9" t="s">
        <v>2252</v>
      </c>
      <c r="C725" s="9" t="s">
        <v>2253</v>
      </c>
      <c r="D725" s="66" t="s">
        <v>1919</v>
      </c>
      <c r="E725" s="66" t="s">
        <v>2254</v>
      </c>
      <c r="F725" s="66" t="s">
        <v>2255</v>
      </c>
      <c r="G725" s="66" t="s">
        <v>2256</v>
      </c>
      <c r="H725" s="66" t="s">
        <v>2257</v>
      </c>
      <c r="I725" s="66" t="s">
        <v>40</v>
      </c>
      <c r="J725" s="66" t="s">
        <v>2258</v>
      </c>
      <c r="K725" s="66" t="s">
        <v>2259</v>
      </c>
      <c r="L725" s="68" t="s">
        <v>2260</v>
      </c>
      <c r="M725" s="68">
        <v>45097</v>
      </c>
      <c r="N725" s="800" t="s">
        <v>2261</v>
      </c>
      <c r="O725" s="801"/>
      <c r="P725" s="802"/>
      <c r="Q725" s="66" t="s">
        <v>2262</v>
      </c>
      <c r="R725" s="68">
        <v>45111</v>
      </c>
      <c r="S725" s="66" t="s">
        <v>2263</v>
      </c>
      <c r="T725" s="68">
        <v>45135</v>
      </c>
      <c r="U725" s="69">
        <v>2500000</v>
      </c>
      <c r="V725" s="69">
        <v>1000000</v>
      </c>
      <c r="W725" s="69" t="s">
        <v>760</v>
      </c>
      <c r="X725" s="68">
        <v>45104</v>
      </c>
      <c r="Y725" s="2"/>
    </row>
    <row r="726" spans="1:25" s="126" customFormat="1" ht="43.5" customHeight="1">
      <c r="A726" s="66"/>
      <c r="B726" s="66" t="s">
        <v>2081</v>
      </c>
      <c r="C726" s="66" t="s">
        <v>2264</v>
      </c>
      <c r="D726" s="66" t="s">
        <v>1919</v>
      </c>
      <c r="E726" s="66" t="s">
        <v>2121</v>
      </c>
      <c r="F726" s="66" t="s">
        <v>2265</v>
      </c>
      <c r="G726" s="66" t="s">
        <v>1521</v>
      </c>
      <c r="H726" s="67" t="s">
        <v>2266</v>
      </c>
      <c r="I726" s="67" t="s">
        <v>40</v>
      </c>
      <c r="J726" s="66" t="s">
        <v>2124</v>
      </c>
      <c r="K726" s="66" t="s">
        <v>2125</v>
      </c>
      <c r="L726" s="68">
        <v>45079</v>
      </c>
      <c r="M726" s="65" t="s">
        <v>40</v>
      </c>
      <c r="N726" s="94" t="s">
        <v>40</v>
      </c>
      <c r="O726" s="94">
        <v>45084</v>
      </c>
      <c r="P726" s="94">
        <v>45085</v>
      </c>
      <c r="Q726" s="96" t="s">
        <v>2126</v>
      </c>
      <c r="R726" s="68">
        <v>45098</v>
      </c>
      <c r="S726" s="96" t="s">
        <v>2267</v>
      </c>
      <c r="T726" s="94" t="s">
        <v>2184</v>
      </c>
      <c r="U726" s="69">
        <v>3050000</v>
      </c>
      <c r="V726" s="69">
        <v>500000</v>
      </c>
      <c r="W726" s="69" t="s">
        <v>59</v>
      </c>
      <c r="X726" s="68">
        <v>45131</v>
      </c>
      <c r="Y726" s="92"/>
    </row>
    <row r="727" spans="1:25" ht="15.7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29"/>
      <c r="W727" s="29"/>
      <c r="X727" s="24"/>
      <c r="Y727" s="2"/>
    </row>
    <row r="728" spans="1:25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4"/>
      <c r="M728" s="35"/>
      <c r="N728" s="54"/>
      <c r="O728" s="54"/>
      <c r="P728" s="54"/>
      <c r="Q728" s="53"/>
      <c r="R728" s="53"/>
      <c r="S728" s="53"/>
      <c r="T728" s="36" t="s">
        <v>163</v>
      </c>
      <c r="U728" s="27">
        <f>SUM(U696:U726)</f>
        <v>46203775</v>
      </c>
      <c r="V728" s="27"/>
      <c r="W728" s="49"/>
      <c r="X728" s="53"/>
      <c r="Y728" s="2"/>
    </row>
    <row r="729" spans="1:25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4"/>
      <c r="M729" s="35"/>
      <c r="N729" s="54"/>
      <c r="O729" s="54"/>
      <c r="P729" s="54"/>
      <c r="Q729" s="53"/>
      <c r="R729" s="53"/>
      <c r="S729" s="53"/>
      <c r="T729" s="36" t="s">
        <v>544</v>
      </c>
      <c r="U729" s="101">
        <v>36000000</v>
      </c>
      <c r="V729" s="102" t="s">
        <v>278</v>
      </c>
      <c r="W729" s="49"/>
      <c r="X729" s="53"/>
      <c r="Y729" s="2"/>
    </row>
    <row r="730" spans="1:25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35"/>
      <c r="N730" s="35"/>
      <c r="O730" s="35"/>
      <c r="P730" s="35"/>
      <c r="Q730" s="23"/>
      <c r="R730" s="23"/>
      <c r="S730" s="23"/>
      <c r="T730" s="36"/>
      <c r="U730" s="27">
        <f>U728-U729</f>
        <v>10203775</v>
      </c>
      <c r="V730" s="102"/>
      <c r="W730" s="55"/>
      <c r="X730" s="23"/>
      <c r="Y730" s="2"/>
    </row>
    <row r="731" spans="1:25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3"/>
      <c r="N731" s="22"/>
      <c r="O731" s="22"/>
      <c r="P731" s="22"/>
      <c r="Q731" s="22"/>
      <c r="R731" s="22"/>
      <c r="S731" s="22"/>
      <c r="T731" s="926" t="s">
        <v>165</v>
      </c>
      <c r="U731" s="27">
        <f>U728*12.5/100</f>
        <v>5775471.875</v>
      </c>
      <c r="V731" s="114"/>
      <c r="W731" s="22"/>
      <c r="X731" s="22"/>
      <c r="Y731" s="2"/>
    </row>
    <row r="732" spans="1:25" ht="15.75" customHeight="1">
      <c r="A732" s="22"/>
      <c r="B732" s="127"/>
      <c r="C732" s="127"/>
      <c r="D732" s="127"/>
      <c r="E732" s="127"/>
      <c r="F732" s="127"/>
      <c r="G732" s="127"/>
      <c r="H732" s="22"/>
      <c r="I732" s="22"/>
      <c r="J732" s="22"/>
      <c r="K732" s="22"/>
      <c r="L732" s="22"/>
      <c r="M732" s="23"/>
      <c r="N732" s="22"/>
      <c r="O732" s="22"/>
      <c r="P732" s="22"/>
      <c r="Q732" s="22"/>
      <c r="R732" s="22"/>
      <c r="S732" s="22"/>
      <c r="T732" s="927"/>
      <c r="U732" s="101"/>
      <c r="V732" s="114" t="s">
        <v>282</v>
      </c>
      <c r="W732" s="22"/>
      <c r="X732" s="22"/>
      <c r="Y732" s="2"/>
    </row>
    <row r="733" spans="1:25" ht="15.75" customHeight="1">
      <c r="A733" s="22"/>
      <c r="B733" s="127"/>
      <c r="C733" s="127"/>
      <c r="D733" s="127"/>
      <c r="E733" s="127"/>
      <c r="F733" s="127"/>
      <c r="G733" s="127"/>
      <c r="H733" s="22"/>
      <c r="I733" s="22"/>
      <c r="J733" s="22"/>
      <c r="K733" s="22"/>
      <c r="L733" s="22"/>
      <c r="M733" s="23"/>
      <c r="N733" s="22"/>
      <c r="O733" s="22"/>
      <c r="P733" s="22"/>
      <c r="Q733" s="22"/>
      <c r="R733" s="22"/>
      <c r="S733" s="22"/>
      <c r="T733" s="114"/>
      <c r="U733" s="128">
        <f>U731+U732</f>
        <v>5775471.875</v>
      </c>
      <c r="V733" s="114"/>
      <c r="W733" s="22"/>
      <c r="X733" s="22"/>
      <c r="Y733" s="2"/>
    </row>
    <row r="734" spans="1:25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3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"/>
    </row>
    <row r="735" spans="1:25" ht="27.75" customHeight="1">
      <c r="A735" s="798" t="s">
        <v>2268</v>
      </c>
      <c r="B735" s="799"/>
      <c r="C735" s="799"/>
      <c r="D735" s="799"/>
      <c r="E735" s="799"/>
      <c r="F735" s="799"/>
      <c r="G735" s="799"/>
      <c r="H735" s="799"/>
      <c r="I735" s="799"/>
      <c r="J735" s="799"/>
      <c r="K735" s="799"/>
      <c r="L735" s="799"/>
      <c r="M735" s="799"/>
      <c r="N735" s="799"/>
      <c r="O735" s="799"/>
      <c r="P735" s="799"/>
      <c r="Q735" s="799"/>
      <c r="R735" s="799"/>
      <c r="S735" s="799"/>
      <c r="T735" s="799"/>
      <c r="U735" s="799"/>
      <c r="V735" s="799"/>
      <c r="W735" s="799"/>
      <c r="X735" s="799"/>
      <c r="Y735" s="2"/>
    </row>
    <row r="736" spans="1:25" ht="15.75" customHeight="1">
      <c r="A736" s="115" t="s">
        <v>1</v>
      </c>
      <c r="B736" s="116" t="s">
        <v>2</v>
      </c>
      <c r="C736" s="117" t="s">
        <v>3</v>
      </c>
      <c r="D736" s="117" t="s">
        <v>4</v>
      </c>
      <c r="E736" s="117" t="s">
        <v>5</v>
      </c>
      <c r="F736" s="117" t="s">
        <v>6</v>
      </c>
      <c r="G736" s="117" t="s">
        <v>7</v>
      </c>
      <c r="H736" s="117" t="s">
        <v>167</v>
      </c>
      <c r="I736" s="117" t="s">
        <v>9</v>
      </c>
      <c r="J736" s="117" t="s">
        <v>10</v>
      </c>
      <c r="K736" s="117" t="s">
        <v>11</v>
      </c>
      <c r="L736" s="117" t="s">
        <v>12</v>
      </c>
      <c r="M736" s="118" t="s">
        <v>13</v>
      </c>
      <c r="N736" s="117" t="s">
        <v>14</v>
      </c>
      <c r="O736" s="117" t="s">
        <v>15</v>
      </c>
      <c r="P736" s="117" t="s">
        <v>16</v>
      </c>
      <c r="Q736" s="119" t="s">
        <v>17</v>
      </c>
      <c r="R736" s="120" t="s">
        <v>18</v>
      </c>
      <c r="S736" s="120" t="s">
        <v>19</v>
      </c>
      <c r="T736" s="120" t="s">
        <v>20</v>
      </c>
      <c r="U736" s="117" t="s">
        <v>21</v>
      </c>
      <c r="V736" s="117" t="s">
        <v>22</v>
      </c>
      <c r="W736" s="117" t="s">
        <v>23</v>
      </c>
      <c r="X736" s="117" t="s">
        <v>24</v>
      </c>
      <c r="Y736" s="2"/>
    </row>
    <row r="737" spans="1:25" ht="15.75" customHeight="1">
      <c r="A737" s="807" t="s">
        <v>25</v>
      </c>
      <c r="B737" s="808"/>
      <c r="C737" s="808"/>
      <c r="D737" s="808"/>
      <c r="E737" s="808"/>
      <c r="F737" s="808"/>
      <c r="G737" s="808"/>
      <c r="H737" s="808"/>
      <c r="I737" s="808"/>
      <c r="J737" s="808"/>
      <c r="K737" s="808"/>
      <c r="L737" s="808"/>
      <c r="M737" s="808"/>
      <c r="N737" s="808"/>
      <c r="O737" s="808"/>
      <c r="P737" s="808"/>
      <c r="Q737" s="808"/>
      <c r="R737" s="808"/>
      <c r="S737" s="808"/>
      <c r="T737" s="808"/>
      <c r="U737" s="808"/>
      <c r="V737" s="808"/>
      <c r="W737" s="808"/>
      <c r="X737" s="809"/>
      <c r="Y737" s="2"/>
    </row>
    <row r="738" spans="1:25" ht="15.75" customHeight="1">
      <c r="A738" s="788"/>
      <c r="B738" s="788" t="s">
        <v>1977</v>
      </c>
      <c r="C738" s="788" t="s">
        <v>2269</v>
      </c>
      <c r="D738" s="788" t="s">
        <v>1588</v>
      </c>
      <c r="E738" s="906" t="s">
        <v>1487</v>
      </c>
      <c r="F738" s="122" t="s">
        <v>2270</v>
      </c>
      <c r="G738" s="856" t="s">
        <v>49</v>
      </c>
      <c r="H738" s="819" t="s">
        <v>2271</v>
      </c>
      <c r="I738" s="819" t="s">
        <v>2188</v>
      </c>
      <c r="J738" s="788" t="s">
        <v>215</v>
      </c>
      <c r="K738" s="788" t="s">
        <v>304</v>
      </c>
      <c r="L738" s="813">
        <v>45093</v>
      </c>
      <c r="M738" s="813">
        <v>45108</v>
      </c>
      <c r="N738" s="813">
        <v>45112</v>
      </c>
      <c r="O738" s="813">
        <v>45113</v>
      </c>
      <c r="P738" s="813">
        <v>45113</v>
      </c>
      <c r="Q738" s="788" t="s">
        <v>2272</v>
      </c>
      <c r="R738" s="813">
        <v>45125</v>
      </c>
      <c r="S738" s="788" t="s">
        <v>2273</v>
      </c>
      <c r="T738" s="813" t="s">
        <v>2274</v>
      </c>
      <c r="U738" s="845">
        <v>875000</v>
      </c>
      <c r="V738" s="845">
        <v>150000</v>
      </c>
      <c r="W738" s="845" t="s">
        <v>59</v>
      </c>
      <c r="X738" s="796">
        <v>45149</v>
      </c>
      <c r="Y738" s="2"/>
    </row>
    <row r="739" spans="1:25" ht="15.75" customHeight="1">
      <c r="A739" s="788"/>
      <c r="B739" s="788"/>
      <c r="C739" s="788"/>
      <c r="D739" s="788"/>
      <c r="E739" s="906"/>
      <c r="F739" s="96" t="s">
        <v>2275</v>
      </c>
      <c r="G739" s="856"/>
      <c r="H739" s="788"/>
      <c r="I739" s="788"/>
      <c r="J739" s="788"/>
      <c r="K739" s="788"/>
      <c r="L739" s="813"/>
      <c r="M739" s="813"/>
      <c r="N739" s="813"/>
      <c r="O739" s="813"/>
      <c r="P739" s="813"/>
      <c r="Q739" s="788"/>
      <c r="R739" s="813"/>
      <c r="S739" s="788"/>
      <c r="T739" s="813"/>
      <c r="U739" s="845"/>
      <c r="V739" s="816"/>
      <c r="W739" s="816"/>
      <c r="X739" s="839"/>
      <c r="Y739" s="2"/>
    </row>
    <row r="740" spans="1:25" ht="15.75" customHeight="1">
      <c r="A740" s="794"/>
      <c r="B740" s="794"/>
      <c r="C740" s="794"/>
      <c r="D740" s="794"/>
      <c r="E740" s="868"/>
      <c r="F740" s="97" t="s">
        <v>2276</v>
      </c>
      <c r="G740" s="809"/>
      <c r="H740" s="794"/>
      <c r="I740" s="794"/>
      <c r="J740" s="794"/>
      <c r="K740" s="794"/>
      <c r="L740" s="794"/>
      <c r="M740" s="794"/>
      <c r="N740" s="839"/>
      <c r="O740" s="839"/>
      <c r="P740" s="839"/>
      <c r="Q740" s="794"/>
      <c r="R740" s="794"/>
      <c r="S740" s="794"/>
      <c r="T740" s="794"/>
      <c r="U740" s="816"/>
      <c r="V740" s="14">
        <v>350000</v>
      </c>
      <c r="W740" s="14" t="s">
        <v>2277</v>
      </c>
      <c r="X740" s="12">
        <v>45163</v>
      </c>
      <c r="Y740" s="2"/>
    </row>
    <row r="741" spans="1:25" ht="22.5" customHeight="1">
      <c r="A741" s="788"/>
      <c r="B741" s="788" t="s">
        <v>1977</v>
      </c>
      <c r="C741" s="788" t="s">
        <v>2278</v>
      </c>
      <c r="D741" s="788" t="s">
        <v>1588</v>
      </c>
      <c r="E741" s="906" t="s">
        <v>1562</v>
      </c>
      <c r="F741" s="805" t="s">
        <v>2279</v>
      </c>
      <c r="G741" s="856" t="s">
        <v>2280</v>
      </c>
      <c r="H741" s="925" t="s">
        <v>2281</v>
      </c>
      <c r="I741" s="819" t="s">
        <v>2282</v>
      </c>
      <c r="J741" s="788" t="s">
        <v>172</v>
      </c>
      <c r="K741" s="788" t="s">
        <v>304</v>
      </c>
      <c r="L741" s="813">
        <v>45096</v>
      </c>
      <c r="M741" s="813">
        <v>45109</v>
      </c>
      <c r="N741" s="813">
        <v>45113</v>
      </c>
      <c r="O741" s="813">
        <v>45113</v>
      </c>
      <c r="P741" s="813">
        <v>45114</v>
      </c>
      <c r="Q741" s="788" t="s">
        <v>1772</v>
      </c>
      <c r="R741" s="813">
        <v>45125</v>
      </c>
      <c r="S741" s="788" t="s">
        <v>2283</v>
      </c>
      <c r="T741" s="813">
        <v>45162</v>
      </c>
      <c r="U741" s="845">
        <v>625000</v>
      </c>
      <c r="V741" s="14">
        <v>50000</v>
      </c>
      <c r="W741" s="61" t="s">
        <v>59</v>
      </c>
      <c r="X741" s="17">
        <v>45149</v>
      </c>
      <c r="Y741" s="2"/>
    </row>
    <row r="742" spans="1:25" ht="22.5" customHeight="1">
      <c r="A742" s="794"/>
      <c r="B742" s="794"/>
      <c r="C742" s="794"/>
      <c r="D742" s="794"/>
      <c r="E742" s="868"/>
      <c r="F742" s="917"/>
      <c r="G742" s="809"/>
      <c r="H742" s="794"/>
      <c r="I742" s="794"/>
      <c r="J742" s="794"/>
      <c r="K742" s="794"/>
      <c r="L742" s="794"/>
      <c r="M742" s="794"/>
      <c r="N742" s="839"/>
      <c r="O742" s="839"/>
      <c r="P742" s="839"/>
      <c r="Q742" s="794"/>
      <c r="R742" s="794"/>
      <c r="S742" s="794"/>
      <c r="T742" s="794"/>
      <c r="U742" s="816"/>
      <c r="V742" s="14">
        <v>150000</v>
      </c>
      <c r="W742" s="14" t="s">
        <v>2158</v>
      </c>
      <c r="X742" s="12">
        <v>45163</v>
      </c>
      <c r="Y742" s="2"/>
    </row>
    <row r="743" spans="1:25" ht="15.75" customHeight="1">
      <c r="A743" s="787"/>
      <c r="B743" s="787" t="s">
        <v>1375</v>
      </c>
      <c r="C743" s="787" t="s">
        <v>2284</v>
      </c>
      <c r="D743" s="787" t="s">
        <v>2135</v>
      </c>
      <c r="E743" s="867" t="s">
        <v>2161</v>
      </c>
      <c r="F743" s="96" t="s">
        <v>2285</v>
      </c>
      <c r="G743" s="869" t="s">
        <v>2286</v>
      </c>
      <c r="H743" s="790" t="s">
        <v>2287</v>
      </c>
      <c r="I743" s="790" t="s">
        <v>40</v>
      </c>
      <c r="J743" s="787" t="s">
        <v>66</v>
      </c>
      <c r="K743" s="787" t="s">
        <v>159</v>
      </c>
      <c r="L743" s="796">
        <v>45092</v>
      </c>
      <c r="M743" s="796" t="s">
        <v>40</v>
      </c>
      <c r="N743" s="905" t="s">
        <v>40</v>
      </c>
      <c r="O743" s="905" t="s">
        <v>40</v>
      </c>
      <c r="P743" s="905" t="s">
        <v>40</v>
      </c>
      <c r="Q743" s="795" t="s">
        <v>40</v>
      </c>
      <c r="R743" s="796">
        <v>45053</v>
      </c>
      <c r="S743" s="795" t="s">
        <v>2288</v>
      </c>
      <c r="T743" s="905" t="s">
        <v>2182</v>
      </c>
      <c r="U743" s="923">
        <v>7099100</v>
      </c>
      <c r="V743" s="935" t="s">
        <v>40</v>
      </c>
      <c r="W743" s="935" t="s">
        <v>40</v>
      </c>
      <c r="X743" s="948" t="s">
        <v>40</v>
      </c>
      <c r="Y743" s="2"/>
    </row>
    <row r="744" spans="1:25" ht="15.75" customHeight="1">
      <c r="A744" s="788"/>
      <c r="B744" s="788"/>
      <c r="C744" s="788"/>
      <c r="D744" s="788"/>
      <c r="E744" s="906"/>
      <c r="F744" s="96" t="s">
        <v>2289</v>
      </c>
      <c r="G744" s="856"/>
      <c r="H744" s="788"/>
      <c r="I744" s="788"/>
      <c r="J744" s="788"/>
      <c r="K744" s="788"/>
      <c r="L744" s="813"/>
      <c r="M744" s="813"/>
      <c r="N744" s="813"/>
      <c r="O744" s="813"/>
      <c r="P744" s="813"/>
      <c r="Q744" s="788"/>
      <c r="R744" s="813"/>
      <c r="S744" s="788"/>
      <c r="T744" s="813"/>
      <c r="U744" s="923"/>
      <c r="V744" s="814"/>
      <c r="W744" s="814"/>
      <c r="X744" s="793"/>
      <c r="Y744" s="2"/>
    </row>
    <row r="745" spans="1:25" ht="15.75" customHeight="1">
      <c r="A745" s="788"/>
      <c r="B745" s="788"/>
      <c r="C745" s="788"/>
      <c r="D745" s="788"/>
      <c r="E745" s="906"/>
      <c r="F745" s="96" t="s">
        <v>2290</v>
      </c>
      <c r="G745" s="856"/>
      <c r="H745" s="788"/>
      <c r="I745" s="788"/>
      <c r="J745" s="788"/>
      <c r="K745" s="788"/>
      <c r="L745" s="813"/>
      <c r="M745" s="813"/>
      <c r="N745" s="813"/>
      <c r="O745" s="813"/>
      <c r="P745" s="813"/>
      <c r="Q745" s="788"/>
      <c r="R745" s="813"/>
      <c r="S745" s="788"/>
      <c r="T745" s="813"/>
      <c r="U745" s="923"/>
      <c r="V745" s="814"/>
      <c r="W745" s="814"/>
      <c r="X745" s="793"/>
      <c r="Y745" s="2"/>
    </row>
    <row r="746" spans="1:25" ht="15.75" customHeight="1">
      <c r="A746" s="788"/>
      <c r="B746" s="788"/>
      <c r="C746" s="788"/>
      <c r="D746" s="788"/>
      <c r="E746" s="906"/>
      <c r="F746" s="96" t="s">
        <v>2291</v>
      </c>
      <c r="G746" s="856"/>
      <c r="H746" s="788"/>
      <c r="I746" s="788"/>
      <c r="J746" s="788"/>
      <c r="K746" s="788"/>
      <c r="L746" s="813"/>
      <c r="M746" s="813"/>
      <c r="N746" s="813"/>
      <c r="O746" s="813"/>
      <c r="P746" s="813"/>
      <c r="Q746" s="788"/>
      <c r="R746" s="813"/>
      <c r="S746" s="788"/>
      <c r="T746" s="813"/>
      <c r="U746" s="923"/>
      <c r="V746" s="814">
        <v>1500000</v>
      </c>
      <c r="W746" s="814" t="s">
        <v>59</v>
      </c>
      <c r="X746" s="793">
        <v>45149</v>
      </c>
      <c r="Y746" s="2"/>
    </row>
    <row r="747" spans="1:25" ht="15.75" customHeight="1">
      <c r="A747" s="788"/>
      <c r="B747" s="788"/>
      <c r="C747" s="788"/>
      <c r="D747" s="788"/>
      <c r="E747" s="906"/>
      <c r="F747" s="96" t="s">
        <v>2292</v>
      </c>
      <c r="G747" s="856"/>
      <c r="H747" s="788"/>
      <c r="I747" s="788"/>
      <c r="J747" s="788"/>
      <c r="K747" s="788"/>
      <c r="L747" s="813"/>
      <c r="M747" s="813"/>
      <c r="N747" s="813"/>
      <c r="O747" s="813"/>
      <c r="P747" s="813"/>
      <c r="Q747" s="788"/>
      <c r="R747" s="813"/>
      <c r="S747" s="788"/>
      <c r="T747" s="813"/>
      <c r="U747" s="923"/>
      <c r="V747" s="814"/>
      <c r="W747" s="814"/>
      <c r="X747" s="793"/>
      <c r="Y747" s="2"/>
    </row>
    <row r="748" spans="1:25" ht="15.75" customHeight="1">
      <c r="A748" s="788"/>
      <c r="B748" s="788"/>
      <c r="C748" s="788"/>
      <c r="D748" s="788"/>
      <c r="E748" s="906"/>
      <c r="F748" s="96" t="s">
        <v>2293</v>
      </c>
      <c r="G748" s="856"/>
      <c r="H748" s="788"/>
      <c r="I748" s="788"/>
      <c r="J748" s="788"/>
      <c r="K748" s="788"/>
      <c r="L748" s="813"/>
      <c r="M748" s="813"/>
      <c r="N748" s="813"/>
      <c r="O748" s="813"/>
      <c r="P748" s="813"/>
      <c r="Q748" s="788"/>
      <c r="R748" s="813"/>
      <c r="S748" s="788"/>
      <c r="T748" s="813"/>
      <c r="U748" s="923"/>
      <c r="V748" s="814"/>
      <c r="W748" s="814"/>
      <c r="X748" s="793"/>
      <c r="Y748" s="2"/>
    </row>
    <row r="749" spans="1:25" ht="15.75" customHeight="1">
      <c r="A749" s="788"/>
      <c r="B749" s="788"/>
      <c r="C749" s="788"/>
      <c r="D749" s="788"/>
      <c r="E749" s="906"/>
      <c r="F749" s="96" t="s">
        <v>2294</v>
      </c>
      <c r="G749" s="856"/>
      <c r="H749" s="788"/>
      <c r="I749" s="788"/>
      <c r="J749" s="788"/>
      <c r="K749" s="788"/>
      <c r="L749" s="813"/>
      <c r="M749" s="813"/>
      <c r="N749" s="813"/>
      <c r="O749" s="813"/>
      <c r="P749" s="813"/>
      <c r="Q749" s="788"/>
      <c r="R749" s="813"/>
      <c r="S749" s="788"/>
      <c r="T749" s="813"/>
      <c r="U749" s="923"/>
      <c r="V749" s="814"/>
      <c r="W749" s="814"/>
      <c r="X749" s="793"/>
      <c r="Y749" s="2"/>
    </row>
    <row r="750" spans="1:25" ht="15.75" customHeight="1">
      <c r="A750" s="788"/>
      <c r="B750" s="788"/>
      <c r="C750" s="788"/>
      <c r="D750" s="788"/>
      <c r="E750" s="906"/>
      <c r="F750" s="110" t="s">
        <v>2295</v>
      </c>
      <c r="G750" s="856"/>
      <c r="H750" s="788"/>
      <c r="I750" s="788"/>
      <c r="J750" s="788"/>
      <c r="K750" s="788"/>
      <c r="L750" s="813"/>
      <c r="M750" s="813"/>
      <c r="N750" s="813"/>
      <c r="O750" s="813"/>
      <c r="P750" s="813"/>
      <c r="Q750" s="788"/>
      <c r="R750" s="813"/>
      <c r="S750" s="788"/>
      <c r="T750" s="813"/>
      <c r="U750" s="923"/>
      <c r="V750" s="840"/>
      <c r="W750" s="840"/>
      <c r="X750" s="810"/>
      <c r="Y750" s="2"/>
    </row>
    <row r="751" spans="1:25" s="59" customFormat="1" ht="30" customHeight="1">
      <c r="A751" s="786"/>
      <c r="B751" s="786" t="s">
        <v>1375</v>
      </c>
      <c r="C751" s="786" t="s">
        <v>2296</v>
      </c>
      <c r="D751" s="786" t="s">
        <v>2297</v>
      </c>
      <c r="E751" s="786" t="s">
        <v>2161</v>
      </c>
      <c r="F751" s="805" t="s">
        <v>2298</v>
      </c>
      <c r="G751" s="786" t="s">
        <v>2299</v>
      </c>
      <c r="H751" s="785" t="s">
        <v>2300</v>
      </c>
      <c r="I751" s="785" t="s">
        <v>2301</v>
      </c>
      <c r="J751" s="786" t="s">
        <v>66</v>
      </c>
      <c r="K751" s="786" t="s">
        <v>304</v>
      </c>
      <c r="L751" s="793">
        <v>45099</v>
      </c>
      <c r="M751" s="793">
        <v>45111</v>
      </c>
      <c r="N751" s="793">
        <v>45112</v>
      </c>
      <c r="O751" s="793">
        <v>45113</v>
      </c>
      <c r="P751" s="793">
        <v>45113</v>
      </c>
      <c r="Q751" s="786" t="s">
        <v>2302</v>
      </c>
      <c r="R751" s="793">
        <v>45103</v>
      </c>
      <c r="S751" s="786" t="s">
        <v>2303</v>
      </c>
      <c r="T751" s="793" t="s">
        <v>2304</v>
      </c>
      <c r="U751" s="814">
        <v>7345600</v>
      </c>
      <c r="V751" s="93">
        <v>100000</v>
      </c>
      <c r="W751" s="93" t="s">
        <v>1384</v>
      </c>
      <c r="X751" s="94">
        <v>45142</v>
      </c>
      <c r="Y751" s="60"/>
    </row>
    <row r="752" spans="1:25" s="59" customFormat="1" ht="24.75" customHeight="1">
      <c r="A752" s="786"/>
      <c r="B752" s="786"/>
      <c r="C752" s="786"/>
      <c r="D752" s="786"/>
      <c r="E752" s="786"/>
      <c r="F752" s="806"/>
      <c r="G752" s="786"/>
      <c r="H752" s="786"/>
      <c r="I752" s="786"/>
      <c r="J752" s="786"/>
      <c r="K752" s="786"/>
      <c r="L752" s="793"/>
      <c r="M752" s="793"/>
      <c r="N752" s="793"/>
      <c r="O752" s="793"/>
      <c r="P752" s="793"/>
      <c r="Q752" s="786"/>
      <c r="R752" s="793"/>
      <c r="S752" s="786"/>
      <c r="T752" s="793"/>
      <c r="U752" s="814"/>
      <c r="V752" s="93">
        <v>2000000</v>
      </c>
      <c r="W752" s="93" t="s">
        <v>59</v>
      </c>
      <c r="X752" s="94">
        <v>45149</v>
      </c>
      <c r="Y752" s="60"/>
    </row>
    <row r="753" spans="1:25" s="59" customFormat="1" ht="24.75" customHeight="1">
      <c r="A753" s="786"/>
      <c r="B753" s="860" t="s">
        <v>1375</v>
      </c>
      <c r="C753" s="786" t="s">
        <v>2305</v>
      </c>
      <c r="D753" s="860" t="s">
        <v>1733</v>
      </c>
      <c r="E753" s="854" t="s">
        <v>1572</v>
      </c>
      <c r="F753" s="96" t="s">
        <v>2306</v>
      </c>
      <c r="G753" s="914" t="s">
        <v>2307</v>
      </c>
      <c r="H753" s="786" t="s">
        <v>2308</v>
      </c>
      <c r="I753" s="785" t="s">
        <v>2309</v>
      </c>
      <c r="J753" s="786" t="s">
        <v>66</v>
      </c>
      <c r="K753" s="786" t="s">
        <v>304</v>
      </c>
      <c r="L753" s="793">
        <v>45123</v>
      </c>
      <c r="M753" s="793">
        <v>45138</v>
      </c>
      <c r="N753" s="793">
        <v>45139</v>
      </c>
      <c r="O753" s="793">
        <v>45139</v>
      </c>
      <c r="P753" s="793">
        <v>45140</v>
      </c>
      <c r="Q753" s="786" t="s">
        <v>2310</v>
      </c>
      <c r="R753" s="793" t="s">
        <v>40</v>
      </c>
      <c r="S753" s="786" t="s">
        <v>2311</v>
      </c>
      <c r="T753" s="793" t="s">
        <v>2312</v>
      </c>
      <c r="U753" s="814">
        <v>17995380</v>
      </c>
      <c r="V753" s="814">
        <v>5600000</v>
      </c>
      <c r="W753" s="814" t="s">
        <v>1384</v>
      </c>
      <c r="X753" s="810">
        <v>45142</v>
      </c>
      <c r="Y753" s="60"/>
    </row>
    <row r="754" spans="1:25" s="59" customFormat="1" ht="24.75" customHeight="1">
      <c r="A754" s="786"/>
      <c r="B754" s="786"/>
      <c r="C754" s="786"/>
      <c r="D754" s="786"/>
      <c r="E754" s="854"/>
      <c r="F754" s="96" t="s">
        <v>2313</v>
      </c>
      <c r="G754" s="915"/>
      <c r="H754" s="786"/>
      <c r="I754" s="786"/>
      <c r="J754" s="786"/>
      <c r="K754" s="786"/>
      <c r="L754" s="793"/>
      <c r="M754" s="793"/>
      <c r="N754" s="793"/>
      <c r="O754" s="793"/>
      <c r="P754" s="793"/>
      <c r="Q754" s="786"/>
      <c r="R754" s="793"/>
      <c r="S754" s="786"/>
      <c r="T754" s="793"/>
      <c r="U754" s="814"/>
      <c r="V754" s="814"/>
      <c r="W754" s="814"/>
      <c r="X754" s="812"/>
      <c r="Y754" s="60"/>
    </row>
    <row r="755" spans="1:25" s="59" customFormat="1" ht="24.75" customHeight="1">
      <c r="A755" s="786"/>
      <c r="B755" s="786"/>
      <c r="C755" s="786"/>
      <c r="D755" s="786"/>
      <c r="E755" s="854"/>
      <c r="F755" s="96" t="s">
        <v>2314</v>
      </c>
      <c r="G755" s="915"/>
      <c r="H755" s="786"/>
      <c r="I755" s="786"/>
      <c r="J755" s="786"/>
      <c r="K755" s="786"/>
      <c r="L755" s="793"/>
      <c r="M755" s="793"/>
      <c r="N755" s="793"/>
      <c r="O755" s="793"/>
      <c r="P755" s="793"/>
      <c r="Q755" s="786"/>
      <c r="R755" s="793"/>
      <c r="S755" s="786"/>
      <c r="T755" s="793"/>
      <c r="U755" s="814"/>
      <c r="V755" s="814">
        <v>5000000</v>
      </c>
      <c r="W755" s="814" t="s">
        <v>59</v>
      </c>
      <c r="X755" s="810">
        <v>45155</v>
      </c>
      <c r="Y755" s="60"/>
    </row>
    <row r="756" spans="1:25" s="59" customFormat="1" ht="24.75" customHeight="1">
      <c r="A756" s="786"/>
      <c r="B756" s="786"/>
      <c r="C756" s="786"/>
      <c r="D756" s="786"/>
      <c r="E756" s="854"/>
      <c r="F756" s="96" t="s">
        <v>2315</v>
      </c>
      <c r="G756" s="915"/>
      <c r="H756" s="786"/>
      <c r="I756" s="786"/>
      <c r="J756" s="786"/>
      <c r="K756" s="786"/>
      <c r="L756" s="793"/>
      <c r="M756" s="793"/>
      <c r="N756" s="793"/>
      <c r="O756" s="793"/>
      <c r="P756" s="793"/>
      <c r="Q756" s="786"/>
      <c r="R756" s="793"/>
      <c r="S756" s="786"/>
      <c r="T756" s="793"/>
      <c r="U756" s="814"/>
      <c r="V756" s="814"/>
      <c r="W756" s="814"/>
      <c r="X756" s="812"/>
      <c r="Y756" s="60"/>
    </row>
    <row r="757" spans="1:25" s="59" customFormat="1" ht="26.5" customHeight="1">
      <c r="A757" s="786"/>
      <c r="B757" s="786" t="s">
        <v>1375</v>
      </c>
      <c r="C757" s="786" t="s">
        <v>2316</v>
      </c>
      <c r="D757" s="786" t="s">
        <v>2297</v>
      </c>
      <c r="E757" s="854" t="s">
        <v>2317</v>
      </c>
      <c r="F757" s="961" t="s">
        <v>2318</v>
      </c>
      <c r="G757" s="915" t="s">
        <v>270</v>
      </c>
      <c r="H757" s="929" t="s">
        <v>2319</v>
      </c>
      <c r="I757" s="891" t="s">
        <v>2320</v>
      </c>
      <c r="J757" s="786" t="s">
        <v>172</v>
      </c>
      <c r="K757" s="786" t="s">
        <v>1782</v>
      </c>
      <c r="L757" s="793">
        <v>45206</v>
      </c>
      <c r="M757" s="855">
        <v>45137</v>
      </c>
      <c r="N757" s="793">
        <v>45140</v>
      </c>
      <c r="O757" s="793">
        <v>45140</v>
      </c>
      <c r="P757" s="793">
        <v>45141</v>
      </c>
      <c r="Q757" s="786" t="s">
        <v>102</v>
      </c>
      <c r="R757" s="793">
        <v>45138</v>
      </c>
      <c r="S757" s="786" t="s">
        <v>2321</v>
      </c>
      <c r="T757" s="793" t="s">
        <v>2322</v>
      </c>
      <c r="U757" s="814">
        <v>2704560</v>
      </c>
      <c r="V757" s="93">
        <v>1400000</v>
      </c>
      <c r="W757" s="93" t="s">
        <v>1384</v>
      </c>
      <c r="X757" s="94">
        <v>45024</v>
      </c>
      <c r="Y757" s="60"/>
    </row>
    <row r="758" spans="1:25" s="59" customFormat="1" ht="24.75" customHeight="1">
      <c r="A758" s="786"/>
      <c r="B758" s="786"/>
      <c r="C758" s="786"/>
      <c r="D758" s="786"/>
      <c r="E758" s="854"/>
      <c r="F758" s="962"/>
      <c r="G758" s="915"/>
      <c r="H758" s="786"/>
      <c r="I758" s="786"/>
      <c r="J758" s="786"/>
      <c r="K758" s="786"/>
      <c r="L758" s="793"/>
      <c r="M758" s="793"/>
      <c r="N758" s="793"/>
      <c r="O758" s="793"/>
      <c r="P758" s="793"/>
      <c r="Q758" s="786"/>
      <c r="R758" s="793"/>
      <c r="S758" s="786"/>
      <c r="T758" s="793"/>
      <c r="U758" s="814"/>
      <c r="V758" s="93">
        <v>1500000</v>
      </c>
      <c r="W758" s="93" t="s">
        <v>59</v>
      </c>
      <c r="X758" s="94">
        <v>45155</v>
      </c>
      <c r="Y758" s="60"/>
    </row>
    <row r="759" spans="1:25" s="59" customFormat="1" ht="26.5" customHeight="1">
      <c r="A759" s="786"/>
      <c r="B759" s="786" t="s">
        <v>1375</v>
      </c>
      <c r="C759" s="786" t="s">
        <v>2323</v>
      </c>
      <c r="D759" s="786" t="s">
        <v>2297</v>
      </c>
      <c r="E759" s="854" t="s">
        <v>2317</v>
      </c>
      <c r="F759" s="132" t="s">
        <v>2324</v>
      </c>
      <c r="G759" s="915" t="s">
        <v>2325</v>
      </c>
      <c r="H759" s="786" t="s">
        <v>2326</v>
      </c>
      <c r="I759" s="891" t="s">
        <v>396</v>
      </c>
      <c r="J759" s="786" t="s">
        <v>66</v>
      </c>
      <c r="K759" s="786" t="s">
        <v>304</v>
      </c>
      <c r="L759" s="793" t="s">
        <v>2327</v>
      </c>
      <c r="M759" s="855">
        <v>45129</v>
      </c>
      <c r="N759" s="793">
        <v>45131</v>
      </c>
      <c r="O759" s="793">
        <v>45132</v>
      </c>
      <c r="P759" s="793">
        <v>45132</v>
      </c>
      <c r="Q759" s="786" t="s">
        <v>2328</v>
      </c>
      <c r="R759" s="793" t="s">
        <v>40</v>
      </c>
      <c r="S759" s="786" t="s">
        <v>2329</v>
      </c>
      <c r="T759" s="793" t="s">
        <v>2312</v>
      </c>
      <c r="U759" s="814">
        <v>34404800</v>
      </c>
      <c r="V759" s="93">
        <v>7000000</v>
      </c>
      <c r="W759" s="93" t="s">
        <v>1384</v>
      </c>
      <c r="X759" s="94">
        <v>45024</v>
      </c>
      <c r="Y759" s="60"/>
    </row>
    <row r="760" spans="1:25" s="59" customFormat="1" ht="24.75" customHeight="1">
      <c r="A760" s="786"/>
      <c r="B760" s="786"/>
      <c r="C760" s="786"/>
      <c r="D760" s="786"/>
      <c r="E760" s="854"/>
      <c r="F760" s="133" t="s">
        <v>2330</v>
      </c>
      <c r="G760" s="915"/>
      <c r="H760" s="786"/>
      <c r="I760" s="786"/>
      <c r="J760" s="786"/>
      <c r="K760" s="786"/>
      <c r="L760" s="793"/>
      <c r="M760" s="793"/>
      <c r="N760" s="793"/>
      <c r="O760" s="793"/>
      <c r="P760" s="793"/>
      <c r="Q760" s="786"/>
      <c r="R760" s="793"/>
      <c r="S760" s="786"/>
      <c r="T760" s="793"/>
      <c r="U760" s="814"/>
      <c r="V760" s="93">
        <v>4000000</v>
      </c>
      <c r="W760" s="93" t="s">
        <v>59</v>
      </c>
      <c r="X760" s="94">
        <v>45155</v>
      </c>
      <c r="Y760" s="60"/>
    </row>
    <row r="761" spans="1:25" ht="24" customHeight="1">
      <c r="A761" s="13"/>
      <c r="B761" s="13" t="s">
        <v>1485</v>
      </c>
      <c r="C761" s="13" t="s">
        <v>2331</v>
      </c>
      <c r="D761" s="13" t="s">
        <v>1829</v>
      </c>
      <c r="E761" s="13" t="s">
        <v>2170</v>
      </c>
      <c r="F761" s="13" t="s">
        <v>2171</v>
      </c>
      <c r="G761" s="13" t="s">
        <v>1931</v>
      </c>
      <c r="H761" s="134" t="s">
        <v>2332</v>
      </c>
      <c r="I761" s="16" t="s">
        <v>1460</v>
      </c>
      <c r="J761" s="13" t="s">
        <v>1491</v>
      </c>
      <c r="K761" s="13" t="s">
        <v>501</v>
      </c>
      <c r="L761" s="17">
        <v>45080</v>
      </c>
      <c r="M761" s="17">
        <v>45089</v>
      </c>
      <c r="N761" s="17">
        <v>45091</v>
      </c>
      <c r="O761" s="17">
        <v>45091</v>
      </c>
      <c r="P761" s="17">
        <v>45092</v>
      </c>
      <c r="Q761" s="13" t="s">
        <v>1772</v>
      </c>
      <c r="R761" s="17">
        <v>45133</v>
      </c>
      <c r="S761" s="13" t="s">
        <v>2333</v>
      </c>
      <c r="T761" s="17">
        <v>45163</v>
      </c>
      <c r="U761" s="19">
        <v>1100000</v>
      </c>
      <c r="V761" s="135" t="s">
        <v>40</v>
      </c>
      <c r="W761" s="135" t="s">
        <v>40</v>
      </c>
      <c r="X761" s="136" t="s">
        <v>40</v>
      </c>
      <c r="Y761" s="2"/>
    </row>
    <row r="762" spans="1:25" ht="24" customHeight="1">
      <c r="A762" s="787"/>
      <c r="B762" s="787" t="s">
        <v>1977</v>
      </c>
      <c r="C762" s="790" t="s">
        <v>2334</v>
      </c>
      <c r="D762" s="787" t="s">
        <v>2335</v>
      </c>
      <c r="E762" s="867" t="s">
        <v>2336</v>
      </c>
      <c r="F762" s="96" t="s">
        <v>2337</v>
      </c>
      <c r="G762" s="869" t="s">
        <v>63</v>
      </c>
      <c r="H762" s="795" t="s">
        <v>2338</v>
      </c>
      <c r="I762" s="790" t="s">
        <v>2339</v>
      </c>
      <c r="J762" s="787" t="s">
        <v>317</v>
      </c>
      <c r="K762" s="787" t="s">
        <v>1782</v>
      </c>
      <c r="L762" s="796">
        <v>45102</v>
      </c>
      <c r="M762" s="796">
        <v>45117</v>
      </c>
      <c r="N762" s="796">
        <v>45119</v>
      </c>
      <c r="O762" s="796">
        <v>45119</v>
      </c>
      <c r="P762" s="796">
        <v>45120</v>
      </c>
      <c r="Q762" s="795" t="s">
        <v>2340</v>
      </c>
      <c r="R762" s="796">
        <v>45140</v>
      </c>
      <c r="S762" s="787" t="s">
        <v>2341</v>
      </c>
      <c r="T762" s="796">
        <v>45196</v>
      </c>
      <c r="U762" s="815">
        <v>875000</v>
      </c>
      <c r="V762" s="61">
        <v>100000</v>
      </c>
      <c r="W762" s="61" t="s">
        <v>59</v>
      </c>
      <c r="X762" s="56">
        <v>45204</v>
      </c>
      <c r="Y762" s="2"/>
    </row>
    <row r="763" spans="1:25" s="137" customFormat="1" ht="24" customHeight="1">
      <c r="A763" s="792"/>
      <c r="B763" s="792"/>
      <c r="C763" s="792"/>
      <c r="D763" s="792"/>
      <c r="E763" s="936"/>
      <c r="F763" s="96" t="s">
        <v>2342</v>
      </c>
      <c r="G763" s="913"/>
      <c r="H763" s="792"/>
      <c r="I763" s="792"/>
      <c r="J763" s="792"/>
      <c r="K763" s="792"/>
      <c r="L763" s="797"/>
      <c r="M763" s="797"/>
      <c r="N763" s="797"/>
      <c r="O763" s="797"/>
      <c r="P763" s="797"/>
      <c r="Q763" s="792"/>
      <c r="R763" s="797"/>
      <c r="S763" s="792"/>
      <c r="T763" s="797"/>
      <c r="U763" s="844"/>
      <c r="V763" s="69">
        <v>250000</v>
      </c>
      <c r="W763" s="69" t="s">
        <v>2343</v>
      </c>
      <c r="X763" s="68">
        <v>45198</v>
      </c>
      <c r="Y763" s="138"/>
    </row>
    <row r="764" spans="1:25" ht="20.25" customHeight="1">
      <c r="A764" s="787"/>
      <c r="B764" s="787" t="s">
        <v>1977</v>
      </c>
      <c r="C764" s="795" t="s">
        <v>2344</v>
      </c>
      <c r="D764" s="787" t="s">
        <v>2335</v>
      </c>
      <c r="E764" s="867" t="s">
        <v>2336</v>
      </c>
      <c r="F764" s="124" t="s">
        <v>2345</v>
      </c>
      <c r="G764" s="869" t="s">
        <v>63</v>
      </c>
      <c r="H764" s="795" t="s">
        <v>2346</v>
      </c>
      <c r="I764" s="790" t="s">
        <v>2347</v>
      </c>
      <c r="J764" s="795" t="s">
        <v>208</v>
      </c>
      <c r="K764" s="787" t="s">
        <v>304</v>
      </c>
      <c r="L764" s="796">
        <v>45084</v>
      </c>
      <c r="M764" s="796">
        <v>45124</v>
      </c>
      <c r="N764" s="796">
        <v>45124</v>
      </c>
      <c r="O764" s="796">
        <v>45124</v>
      </c>
      <c r="P764" s="796">
        <v>45125</v>
      </c>
      <c r="Q764" s="795" t="s">
        <v>2348</v>
      </c>
      <c r="R764" s="796">
        <v>45141</v>
      </c>
      <c r="S764" s="787" t="s">
        <v>2349</v>
      </c>
      <c r="T764" s="796">
        <v>45196</v>
      </c>
      <c r="U764" s="815">
        <v>1550000</v>
      </c>
      <c r="V764" s="61">
        <v>100000</v>
      </c>
      <c r="W764" s="61" t="s">
        <v>59</v>
      </c>
      <c r="X764" s="56">
        <v>45204</v>
      </c>
      <c r="Y764" s="2"/>
    </row>
    <row r="765" spans="1:25" s="137" customFormat="1" ht="20.25" customHeight="1">
      <c r="A765" s="792"/>
      <c r="B765" s="792"/>
      <c r="C765" s="792"/>
      <c r="D765" s="792"/>
      <c r="E765" s="936"/>
      <c r="F765" s="124" t="s">
        <v>2350</v>
      </c>
      <c r="G765" s="913"/>
      <c r="H765" s="792"/>
      <c r="I765" s="792"/>
      <c r="J765" s="792"/>
      <c r="K765" s="792"/>
      <c r="L765" s="797"/>
      <c r="M765" s="797"/>
      <c r="N765" s="797"/>
      <c r="O765" s="797"/>
      <c r="P765" s="797"/>
      <c r="Q765" s="792"/>
      <c r="R765" s="797"/>
      <c r="S765" s="792"/>
      <c r="T765" s="797"/>
      <c r="U765" s="844"/>
      <c r="V765" s="69">
        <v>250000</v>
      </c>
      <c r="W765" s="69" t="s">
        <v>2343</v>
      </c>
      <c r="X765" s="68">
        <v>45198</v>
      </c>
      <c r="Y765" s="138"/>
    </row>
    <row r="766" spans="1:25" ht="15.75" customHeight="1">
      <c r="A766" s="787"/>
      <c r="B766" s="787" t="s">
        <v>1977</v>
      </c>
      <c r="C766" s="795" t="s">
        <v>2351</v>
      </c>
      <c r="D766" s="787" t="s">
        <v>2335</v>
      </c>
      <c r="E766" s="867" t="s">
        <v>1487</v>
      </c>
      <c r="F766" s="124" t="s">
        <v>2352</v>
      </c>
      <c r="G766" s="869" t="s">
        <v>63</v>
      </c>
      <c r="H766" s="795" t="s">
        <v>2319</v>
      </c>
      <c r="I766" s="790" t="s">
        <v>532</v>
      </c>
      <c r="J766" s="795" t="s">
        <v>215</v>
      </c>
      <c r="K766" s="787" t="s">
        <v>304</v>
      </c>
      <c r="L766" s="796">
        <v>45126</v>
      </c>
      <c r="M766" s="796">
        <v>45137</v>
      </c>
      <c r="N766" s="796">
        <v>45140</v>
      </c>
      <c r="O766" s="796">
        <v>45140</v>
      </c>
      <c r="P766" s="796">
        <v>45141</v>
      </c>
      <c r="Q766" s="795" t="s">
        <v>1772</v>
      </c>
      <c r="R766" s="796" t="s">
        <v>2353</v>
      </c>
      <c r="S766" s="787" t="s">
        <v>2354</v>
      </c>
      <c r="T766" s="796" t="s">
        <v>1515</v>
      </c>
      <c r="U766" s="815">
        <v>900000</v>
      </c>
      <c r="V766" s="61">
        <v>100000</v>
      </c>
      <c r="W766" s="61" t="s">
        <v>59</v>
      </c>
      <c r="X766" s="94">
        <v>45270</v>
      </c>
      <c r="Y766" s="2"/>
    </row>
    <row r="767" spans="1:25" s="137" customFormat="1" ht="15.75" customHeight="1">
      <c r="A767" s="792"/>
      <c r="B767" s="792"/>
      <c r="C767" s="792"/>
      <c r="D767" s="792"/>
      <c r="E767" s="936"/>
      <c r="F767" s="124" t="s">
        <v>2355</v>
      </c>
      <c r="G767" s="913"/>
      <c r="H767" s="792"/>
      <c r="I767" s="792"/>
      <c r="J767" s="792"/>
      <c r="K767" s="792"/>
      <c r="L767" s="797"/>
      <c r="M767" s="797"/>
      <c r="N767" s="797"/>
      <c r="O767" s="797"/>
      <c r="P767" s="797"/>
      <c r="Q767" s="792"/>
      <c r="R767" s="797"/>
      <c r="S767" s="792"/>
      <c r="T767" s="797"/>
      <c r="U767" s="844"/>
      <c r="V767" s="69">
        <v>250000</v>
      </c>
      <c r="W767" s="139" t="s">
        <v>2343</v>
      </c>
      <c r="X767" s="94">
        <v>45270</v>
      </c>
      <c r="Y767" s="138"/>
    </row>
    <row r="768" spans="1:25" ht="15.75" customHeight="1">
      <c r="A768" s="787"/>
      <c r="B768" s="787" t="s">
        <v>1977</v>
      </c>
      <c r="C768" s="795" t="s">
        <v>2356</v>
      </c>
      <c r="D768" s="787" t="s">
        <v>2335</v>
      </c>
      <c r="E768" s="867" t="s">
        <v>1966</v>
      </c>
      <c r="F768" s="124" t="s">
        <v>2357</v>
      </c>
      <c r="G768" s="869" t="s">
        <v>63</v>
      </c>
      <c r="H768" s="795" t="s">
        <v>2358</v>
      </c>
      <c r="I768" s="790" t="s">
        <v>525</v>
      </c>
      <c r="J768" s="795" t="s">
        <v>200</v>
      </c>
      <c r="K768" s="787" t="s">
        <v>304</v>
      </c>
      <c r="L768" s="796">
        <v>45132</v>
      </c>
      <c r="M768" s="796">
        <v>45138</v>
      </c>
      <c r="N768" s="796">
        <v>45140</v>
      </c>
      <c r="O768" s="796">
        <v>45140</v>
      </c>
      <c r="P768" s="796">
        <v>45141</v>
      </c>
      <c r="Q768" s="795" t="s">
        <v>2359</v>
      </c>
      <c r="R768" s="796">
        <v>45026</v>
      </c>
      <c r="S768" s="787" t="s">
        <v>2360</v>
      </c>
      <c r="T768" s="796">
        <v>45209</v>
      </c>
      <c r="U768" s="815">
        <v>1250000</v>
      </c>
      <c r="V768" s="61">
        <v>100000</v>
      </c>
      <c r="W768" s="140" t="s">
        <v>59</v>
      </c>
      <c r="X768" s="94">
        <v>45270</v>
      </c>
      <c r="Y768" s="2"/>
    </row>
    <row r="769" spans="1:25" s="137" customFormat="1" ht="15.75" customHeight="1">
      <c r="A769" s="792"/>
      <c r="B769" s="792"/>
      <c r="C769" s="792"/>
      <c r="D769" s="792"/>
      <c r="E769" s="936"/>
      <c r="F769" s="124" t="s">
        <v>2361</v>
      </c>
      <c r="G769" s="913"/>
      <c r="H769" s="792"/>
      <c r="I769" s="792"/>
      <c r="J769" s="792"/>
      <c r="K769" s="792"/>
      <c r="L769" s="797"/>
      <c r="M769" s="797"/>
      <c r="N769" s="797"/>
      <c r="O769" s="797"/>
      <c r="P769" s="797"/>
      <c r="Q769" s="792"/>
      <c r="R769" s="797"/>
      <c r="S769" s="792"/>
      <c r="T769" s="797"/>
      <c r="U769" s="844"/>
      <c r="V769" s="69">
        <v>250000</v>
      </c>
      <c r="W769" s="139" t="s">
        <v>2343</v>
      </c>
      <c r="X769" s="94">
        <v>45270</v>
      </c>
      <c r="Y769" s="138"/>
    </row>
    <row r="770" spans="1:25" ht="15.75" customHeight="1">
      <c r="A770" s="22"/>
      <c r="B770" s="22"/>
      <c r="C770" s="22"/>
      <c r="D770" s="22"/>
      <c r="E770" s="22"/>
      <c r="F770" s="141"/>
      <c r="G770" s="22"/>
      <c r="H770" s="22"/>
      <c r="I770" s="22"/>
      <c r="J770" s="22"/>
      <c r="K770" s="22"/>
      <c r="L770" s="24"/>
      <c r="M770" s="24"/>
      <c r="N770" s="24"/>
      <c r="O770" s="24"/>
      <c r="P770" s="24"/>
      <c r="Q770" s="22"/>
      <c r="R770" s="24"/>
      <c r="S770" s="22"/>
      <c r="T770" s="24"/>
      <c r="U770" s="29"/>
      <c r="V770" s="29"/>
      <c r="W770" s="29"/>
      <c r="X770" s="142"/>
      <c r="Y770" s="2"/>
    </row>
    <row r="771" spans="1:25" ht="15.75" customHeight="1">
      <c r="A771" s="850" t="s">
        <v>128</v>
      </c>
      <c r="B771" s="851"/>
      <c r="C771" s="851"/>
      <c r="D771" s="851"/>
      <c r="E771" s="851"/>
      <c r="F771" s="851"/>
      <c r="G771" s="851"/>
      <c r="H771" s="851"/>
      <c r="I771" s="851"/>
      <c r="J771" s="851"/>
      <c r="K771" s="851"/>
      <c r="L771" s="851"/>
      <c r="M771" s="851"/>
      <c r="N771" s="851"/>
      <c r="O771" s="851"/>
      <c r="P771" s="851"/>
      <c r="Q771" s="851"/>
      <c r="R771" s="851"/>
      <c r="S771" s="851"/>
      <c r="T771" s="851"/>
      <c r="U771" s="851"/>
      <c r="V771" s="851"/>
      <c r="W771" s="851"/>
      <c r="X771" s="852"/>
      <c r="Y771" s="2"/>
    </row>
    <row r="772" spans="1:25" ht="30" customHeight="1">
      <c r="A772" s="13"/>
      <c r="B772" s="13" t="s">
        <v>2362</v>
      </c>
      <c r="C772" s="9" t="s">
        <v>2363</v>
      </c>
      <c r="D772" s="13" t="s">
        <v>2364</v>
      </c>
      <c r="E772" s="13" t="s">
        <v>2336</v>
      </c>
      <c r="F772" s="134" t="s">
        <v>2365</v>
      </c>
      <c r="G772" s="13" t="s">
        <v>2208</v>
      </c>
      <c r="H772" s="129" t="s">
        <v>2366</v>
      </c>
      <c r="I772" s="16" t="s">
        <v>2367</v>
      </c>
      <c r="J772" s="13" t="s">
        <v>2368</v>
      </c>
      <c r="K772" s="129" t="s">
        <v>40</v>
      </c>
      <c r="L772" s="17">
        <v>45118</v>
      </c>
      <c r="M772" s="17">
        <v>45161</v>
      </c>
      <c r="N772" s="800" t="s">
        <v>2369</v>
      </c>
      <c r="O772" s="907"/>
      <c r="P772" s="908"/>
      <c r="Q772" s="66" t="s">
        <v>2370</v>
      </c>
      <c r="R772" s="17">
        <v>45119</v>
      </c>
      <c r="S772" s="13" t="s">
        <v>2371</v>
      </c>
      <c r="T772" s="17">
        <v>45135</v>
      </c>
      <c r="U772" s="19">
        <v>889500</v>
      </c>
      <c r="V772" s="14" t="s">
        <v>40</v>
      </c>
      <c r="W772" s="14" t="s">
        <v>40</v>
      </c>
      <c r="X772" s="12" t="s">
        <v>40</v>
      </c>
      <c r="Y772" s="2"/>
    </row>
    <row r="773" spans="1:25" s="111" customFormat="1" ht="35.25" customHeight="1">
      <c r="A773" s="13"/>
      <c r="B773" s="13" t="s">
        <v>1559</v>
      </c>
      <c r="C773" s="9" t="s">
        <v>2372</v>
      </c>
      <c r="D773" s="13" t="s">
        <v>2234</v>
      </c>
      <c r="E773" s="13" t="s">
        <v>2373</v>
      </c>
      <c r="F773" s="13" t="s">
        <v>2374</v>
      </c>
      <c r="G773" s="13" t="s">
        <v>63</v>
      </c>
      <c r="H773" s="16" t="s">
        <v>2375</v>
      </c>
      <c r="I773" s="16" t="s">
        <v>2376</v>
      </c>
      <c r="J773" s="13" t="s">
        <v>2377</v>
      </c>
      <c r="K773" s="13" t="s">
        <v>2378</v>
      </c>
      <c r="L773" s="17">
        <v>45135</v>
      </c>
      <c r="M773" s="17" t="s">
        <v>40</v>
      </c>
      <c r="N773" s="800" t="s">
        <v>2379</v>
      </c>
      <c r="O773" s="907"/>
      <c r="P773" s="908"/>
      <c r="Q773" s="66" t="s">
        <v>2380</v>
      </c>
      <c r="R773" s="17" t="s">
        <v>2353</v>
      </c>
      <c r="S773" s="13" t="s">
        <v>2381</v>
      </c>
      <c r="T773" s="17" t="s">
        <v>1515</v>
      </c>
      <c r="U773" s="19">
        <v>1450000</v>
      </c>
      <c r="V773" s="14" t="s">
        <v>40</v>
      </c>
      <c r="W773" s="14" t="s">
        <v>40</v>
      </c>
      <c r="X773" s="12" t="s">
        <v>40</v>
      </c>
      <c r="Y773" s="112"/>
    </row>
    <row r="774" spans="1:25" ht="15.75" customHeight="1">
      <c r="A774" s="850" t="s">
        <v>1919</v>
      </c>
      <c r="B774" s="851"/>
      <c r="C774" s="851"/>
      <c r="D774" s="851"/>
      <c r="E774" s="851"/>
      <c r="F774" s="851"/>
      <c r="G774" s="851"/>
      <c r="H774" s="851"/>
      <c r="I774" s="851"/>
      <c r="J774" s="851"/>
      <c r="K774" s="851"/>
      <c r="L774" s="851"/>
      <c r="M774" s="851"/>
      <c r="N774" s="851"/>
      <c r="O774" s="851"/>
      <c r="P774" s="851"/>
      <c r="Q774" s="851"/>
      <c r="R774" s="851"/>
      <c r="S774" s="851"/>
      <c r="T774" s="851"/>
      <c r="U774" s="851"/>
      <c r="V774" s="851"/>
      <c r="W774" s="851"/>
      <c r="X774" s="852"/>
      <c r="Y774" s="2"/>
    </row>
    <row r="775" spans="1:25" ht="27.75" customHeight="1">
      <c r="A775" s="9"/>
      <c r="B775" s="9" t="s">
        <v>45</v>
      </c>
      <c r="C775" s="143" t="s">
        <v>2382</v>
      </c>
      <c r="D775" s="66" t="s">
        <v>2383</v>
      </c>
      <c r="E775" s="66" t="s">
        <v>2384</v>
      </c>
      <c r="F775" s="66" t="s">
        <v>2385</v>
      </c>
      <c r="G775" s="66" t="s">
        <v>2386</v>
      </c>
      <c r="H775" s="66" t="s">
        <v>2387</v>
      </c>
      <c r="I775" s="66" t="s">
        <v>40</v>
      </c>
      <c r="J775" s="66" t="s">
        <v>2388</v>
      </c>
      <c r="K775" s="66" t="s">
        <v>2389</v>
      </c>
      <c r="L775" s="68">
        <v>45115</v>
      </c>
      <c r="M775" s="68">
        <v>45116</v>
      </c>
      <c r="N775" s="800" t="s">
        <v>2369</v>
      </c>
      <c r="O775" s="801"/>
      <c r="P775" s="802"/>
      <c r="Q775" s="66" t="s">
        <v>2390</v>
      </c>
      <c r="R775" s="68">
        <v>45131</v>
      </c>
      <c r="S775" s="66" t="s">
        <v>2391</v>
      </c>
      <c r="T775" s="68">
        <v>45187</v>
      </c>
      <c r="U775" s="69">
        <v>2304500</v>
      </c>
      <c r="V775" s="69" t="s">
        <v>40</v>
      </c>
      <c r="W775" s="69" t="s">
        <v>40</v>
      </c>
      <c r="X775" s="68" t="s">
        <v>40</v>
      </c>
      <c r="Y775" s="2"/>
    </row>
    <row r="776" spans="1:25" ht="27.75" customHeight="1">
      <c r="A776" s="9"/>
      <c r="B776" s="9" t="s">
        <v>45</v>
      </c>
      <c r="C776" s="143" t="s">
        <v>2392</v>
      </c>
      <c r="D776" s="66" t="s">
        <v>2383</v>
      </c>
      <c r="E776" s="66" t="s">
        <v>2384</v>
      </c>
      <c r="F776" s="66" t="s">
        <v>2385</v>
      </c>
      <c r="G776" s="66" t="s">
        <v>2393</v>
      </c>
      <c r="H776" s="66" t="s">
        <v>2394</v>
      </c>
      <c r="I776" s="66" t="s">
        <v>40</v>
      </c>
      <c r="J776" s="66" t="s">
        <v>2395</v>
      </c>
      <c r="K776" s="66" t="s">
        <v>2389</v>
      </c>
      <c r="L776" s="68">
        <v>45115</v>
      </c>
      <c r="M776" s="68">
        <v>45116</v>
      </c>
      <c r="N776" s="800" t="s">
        <v>2369</v>
      </c>
      <c r="O776" s="801"/>
      <c r="P776" s="802"/>
      <c r="Q776" s="66" t="s">
        <v>2390</v>
      </c>
      <c r="R776" s="68">
        <v>45131</v>
      </c>
      <c r="S776" s="66" t="s">
        <v>2396</v>
      </c>
      <c r="T776" s="68">
        <v>45187</v>
      </c>
      <c r="U776" s="69">
        <v>2653000</v>
      </c>
      <c r="V776" s="69" t="s">
        <v>40</v>
      </c>
      <c r="W776" s="69" t="s">
        <v>40</v>
      </c>
      <c r="X776" s="68" t="s">
        <v>40</v>
      </c>
      <c r="Y776" s="2"/>
    </row>
    <row r="777" spans="1:25" s="100" customFormat="1" ht="43.5" customHeight="1">
      <c r="A777" s="9"/>
      <c r="B777" s="9" t="s">
        <v>1375</v>
      </c>
      <c r="C777" s="9" t="s">
        <v>2397</v>
      </c>
      <c r="D777" s="66" t="s">
        <v>1919</v>
      </c>
      <c r="E777" s="66" t="s">
        <v>2398</v>
      </c>
      <c r="F777" s="66" t="s">
        <v>40</v>
      </c>
      <c r="G777" s="66" t="s">
        <v>2110</v>
      </c>
      <c r="H777" s="67" t="s">
        <v>2399</v>
      </c>
      <c r="I777" s="67" t="s">
        <v>40</v>
      </c>
      <c r="J777" s="66" t="s">
        <v>2400</v>
      </c>
      <c r="K777" s="66" t="s">
        <v>40</v>
      </c>
      <c r="L777" s="68">
        <v>45048</v>
      </c>
      <c r="M777" s="68">
        <v>45051</v>
      </c>
      <c r="N777" s="800" t="s">
        <v>2401</v>
      </c>
      <c r="O777" s="801"/>
      <c r="P777" s="802"/>
      <c r="Q777" s="66" t="s">
        <v>2398</v>
      </c>
      <c r="R777" s="68">
        <v>45133</v>
      </c>
      <c r="S777" s="66" t="s">
        <v>2402</v>
      </c>
      <c r="T777" s="68">
        <v>45180</v>
      </c>
      <c r="U777" s="69">
        <v>1000000</v>
      </c>
      <c r="V777" s="69">
        <v>500000</v>
      </c>
      <c r="W777" s="69" t="s">
        <v>59</v>
      </c>
      <c r="X777" s="68">
        <v>45204</v>
      </c>
      <c r="Y777" s="60"/>
    </row>
    <row r="778" spans="1:25" ht="15.7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29"/>
      <c r="W778" s="29"/>
      <c r="X778" s="24"/>
      <c r="Y778" s="2"/>
    </row>
    <row r="779" spans="1:25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4"/>
      <c r="M779" s="35"/>
      <c r="N779" s="54"/>
      <c r="O779" s="54"/>
      <c r="P779" s="54"/>
      <c r="Q779" s="53"/>
      <c r="R779" s="53"/>
      <c r="S779" s="53"/>
      <c r="T779" s="36" t="s">
        <v>163</v>
      </c>
      <c r="U779" s="27">
        <f>SUM(U738:U777)</f>
        <v>85021440</v>
      </c>
      <c r="V779" s="27">
        <f>V738+V741+V746+V752+V755+V758+V760+V762+V764+V766+V768</f>
        <v>14600000</v>
      </c>
      <c r="W779" s="49"/>
      <c r="X779" s="53"/>
      <c r="Y779" s="2"/>
    </row>
    <row r="780" spans="1:25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4"/>
      <c r="M780" s="35"/>
      <c r="N780" s="54"/>
      <c r="O780" s="54"/>
      <c r="P780" s="54"/>
      <c r="Q780" s="53"/>
      <c r="R780" s="53"/>
      <c r="S780" s="53"/>
      <c r="T780" s="36" t="s">
        <v>544</v>
      </c>
      <c r="U780" s="101">
        <v>36000000</v>
      </c>
      <c r="V780" s="102"/>
      <c r="W780" s="49"/>
      <c r="X780" s="53"/>
      <c r="Y780" s="2"/>
    </row>
    <row r="781" spans="1:25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35"/>
      <c r="N781" s="35"/>
      <c r="O781" s="35"/>
      <c r="P781" s="35"/>
      <c r="Q781" s="23"/>
      <c r="R781" s="23"/>
      <c r="S781" s="23"/>
      <c r="T781" s="36"/>
      <c r="U781" s="27">
        <f>U779-U780</f>
        <v>49021440</v>
      </c>
      <c r="V781" s="102"/>
      <c r="W781" s="55"/>
      <c r="X781" s="23"/>
      <c r="Y781" s="2"/>
    </row>
    <row r="782" spans="1:25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3"/>
      <c r="N782" s="22"/>
      <c r="O782" s="22"/>
      <c r="P782" s="22"/>
      <c r="Q782" s="22"/>
      <c r="R782" s="22"/>
      <c r="S782" s="22"/>
      <c r="T782" s="926" t="s">
        <v>165</v>
      </c>
      <c r="U782" s="27">
        <f>U779*12.5/100</f>
        <v>10627680</v>
      </c>
      <c r="V782" s="114"/>
      <c r="W782" s="22"/>
      <c r="X782" s="22"/>
      <c r="Y782" s="2"/>
    </row>
    <row r="783" spans="1:25" ht="15.75" customHeight="1">
      <c r="A783" s="22"/>
      <c r="B783" s="127"/>
      <c r="C783" s="127"/>
      <c r="D783" s="127"/>
      <c r="E783" s="127"/>
      <c r="F783" s="127"/>
      <c r="G783" s="127"/>
      <c r="H783" s="22"/>
      <c r="I783" s="22"/>
      <c r="J783" s="22"/>
      <c r="K783" s="22"/>
      <c r="L783" s="22"/>
      <c r="M783" s="23"/>
      <c r="N783" s="22"/>
      <c r="O783" s="22"/>
      <c r="P783" s="22"/>
      <c r="Q783" s="22"/>
      <c r="R783" s="22"/>
      <c r="S783" s="22"/>
      <c r="T783" s="927"/>
      <c r="U783" s="101"/>
      <c r="V783" s="114" t="s">
        <v>282</v>
      </c>
      <c r="W783" s="22"/>
      <c r="X783" s="22"/>
      <c r="Y783" s="2"/>
    </row>
    <row r="784" spans="1:25" ht="15.75" customHeight="1">
      <c r="A784" s="22"/>
      <c r="B784" s="127"/>
      <c r="C784" s="127" t="s">
        <v>2403</v>
      </c>
      <c r="D784" s="127"/>
      <c r="E784" s="127"/>
      <c r="F784" s="127"/>
      <c r="G784" s="127"/>
      <c r="H784" s="22"/>
      <c r="I784" s="22"/>
      <c r="J784" s="22"/>
      <c r="K784" s="22"/>
      <c r="L784" s="22"/>
      <c r="M784" s="23"/>
      <c r="N784" s="22"/>
      <c r="O784" s="22"/>
      <c r="P784" s="22"/>
      <c r="Q784" s="22"/>
      <c r="R784" s="22"/>
      <c r="S784" s="22"/>
      <c r="T784" s="114"/>
      <c r="U784" s="128">
        <f>U782+U783</f>
        <v>10627680</v>
      </c>
      <c r="V784" s="114"/>
      <c r="W784" s="22"/>
      <c r="X784" s="22"/>
      <c r="Y784" s="2"/>
    </row>
    <row r="785" spans="1:2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3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"/>
    </row>
    <row r="786" spans="1:25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3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"/>
    </row>
    <row r="787" spans="1:25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3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"/>
    </row>
    <row r="788" spans="1:25" ht="31.5" customHeight="1">
      <c r="A788" s="798" t="s">
        <v>2404</v>
      </c>
      <c r="B788" s="799"/>
      <c r="C788" s="799"/>
      <c r="D788" s="799"/>
      <c r="E788" s="799"/>
      <c r="F788" s="799"/>
      <c r="G788" s="799"/>
      <c r="H788" s="799"/>
      <c r="I788" s="799"/>
      <c r="J788" s="799"/>
      <c r="K788" s="799"/>
      <c r="L788" s="799"/>
      <c r="M788" s="799"/>
      <c r="N788" s="799"/>
      <c r="O788" s="799"/>
      <c r="P788" s="799"/>
      <c r="Q788" s="799"/>
      <c r="R788" s="799"/>
      <c r="S788" s="799"/>
      <c r="T788" s="799"/>
      <c r="U788" s="799"/>
      <c r="V788" s="799"/>
      <c r="W788" s="799"/>
      <c r="X788" s="799"/>
      <c r="Y788" s="2"/>
    </row>
    <row r="789" spans="1:25" ht="15.75" customHeight="1">
      <c r="A789" s="115" t="s">
        <v>1</v>
      </c>
      <c r="B789" s="116" t="s">
        <v>2</v>
      </c>
      <c r="C789" s="117" t="s">
        <v>3</v>
      </c>
      <c r="D789" s="117" t="s">
        <v>4</v>
      </c>
      <c r="E789" s="117" t="s">
        <v>5</v>
      </c>
      <c r="F789" s="117" t="s">
        <v>6</v>
      </c>
      <c r="G789" s="117" t="s">
        <v>7</v>
      </c>
      <c r="H789" s="117" t="s">
        <v>167</v>
      </c>
      <c r="I789" s="117" t="s">
        <v>9</v>
      </c>
      <c r="J789" s="117" t="s">
        <v>10</v>
      </c>
      <c r="K789" s="117" t="s">
        <v>11</v>
      </c>
      <c r="L789" s="117" t="s">
        <v>12</v>
      </c>
      <c r="M789" s="118" t="s">
        <v>13</v>
      </c>
      <c r="N789" s="117" t="s">
        <v>14</v>
      </c>
      <c r="O789" s="117" t="s">
        <v>15</v>
      </c>
      <c r="P789" s="117" t="s">
        <v>16</v>
      </c>
      <c r="Q789" s="119" t="s">
        <v>17</v>
      </c>
      <c r="R789" s="120" t="s">
        <v>18</v>
      </c>
      <c r="S789" s="120" t="s">
        <v>19</v>
      </c>
      <c r="T789" s="120" t="s">
        <v>20</v>
      </c>
      <c r="U789" s="117" t="s">
        <v>21</v>
      </c>
      <c r="V789" s="117" t="s">
        <v>22</v>
      </c>
      <c r="W789" s="117" t="s">
        <v>23</v>
      </c>
      <c r="X789" s="117" t="s">
        <v>24</v>
      </c>
      <c r="Y789" s="2"/>
    </row>
    <row r="790" spans="1:25" ht="15.75" customHeight="1">
      <c r="A790" s="807" t="s">
        <v>25</v>
      </c>
      <c r="B790" s="808"/>
      <c r="C790" s="808"/>
      <c r="D790" s="808"/>
      <c r="E790" s="808"/>
      <c r="F790" s="808"/>
      <c r="G790" s="808"/>
      <c r="H790" s="808"/>
      <c r="I790" s="808"/>
      <c r="J790" s="808"/>
      <c r="K790" s="808"/>
      <c r="L790" s="808"/>
      <c r="M790" s="808"/>
      <c r="N790" s="808"/>
      <c r="O790" s="808"/>
      <c r="P790" s="808"/>
      <c r="Q790" s="808"/>
      <c r="R790" s="808"/>
      <c r="S790" s="808"/>
      <c r="T790" s="808"/>
      <c r="U790" s="808"/>
      <c r="V790" s="808"/>
      <c r="W790" s="808"/>
      <c r="X790" s="809"/>
      <c r="Y790" s="2"/>
    </row>
    <row r="791" spans="1:25" s="144" customFormat="1" ht="20.25" customHeight="1">
      <c r="A791" s="787"/>
      <c r="B791" s="787" t="s">
        <v>1375</v>
      </c>
      <c r="C791" s="787" t="s">
        <v>2405</v>
      </c>
      <c r="D791" s="787" t="s">
        <v>2406</v>
      </c>
      <c r="E791" s="950" t="s">
        <v>2407</v>
      </c>
      <c r="F791" s="122" t="s">
        <v>2408</v>
      </c>
      <c r="G791" s="911" t="s">
        <v>156</v>
      </c>
      <c r="H791" s="790" t="s">
        <v>2409</v>
      </c>
      <c r="I791" s="790" t="s">
        <v>774</v>
      </c>
      <c r="J791" s="787" t="s">
        <v>66</v>
      </c>
      <c r="K791" s="787" t="s">
        <v>304</v>
      </c>
      <c r="L791" s="796">
        <v>45136</v>
      </c>
      <c r="M791" s="796">
        <v>45147</v>
      </c>
      <c r="N791" s="796">
        <v>45148</v>
      </c>
      <c r="O791" s="796">
        <v>45148</v>
      </c>
      <c r="P791" s="796">
        <v>45149</v>
      </c>
      <c r="Q791" s="787" t="s">
        <v>1834</v>
      </c>
      <c r="R791" s="796" t="s">
        <v>40</v>
      </c>
      <c r="S791" s="787" t="s">
        <v>2410</v>
      </c>
      <c r="T791" s="796" t="s">
        <v>2411</v>
      </c>
      <c r="U791" s="815">
        <v>8270080</v>
      </c>
      <c r="V791" s="93">
        <v>1820000</v>
      </c>
      <c r="W791" s="93" t="s">
        <v>1384</v>
      </c>
      <c r="X791" s="94">
        <v>45180</v>
      </c>
      <c r="Y791" s="145"/>
    </row>
    <row r="792" spans="1:25" s="144" customFormat="1" ht="20.25" customHeight="1">
      <c r="A792" s="792"/>
      <c r="B792" s="792"/>
      <c r="C792" s="792"/>
      <c r="D792" s="792"/>
      <c r="E792" s="951"/>
      <c r="F792" s="146" t="s">
        <v>2412</v>
      </c>
      <c r="G792" s="912"/>
      <c r="H792" s="792"/>
      <c r="I792" s="792"/>
      <c r="J792" s="792"/>
      <c r="K792" s="792"/>
      <c r="L792" s="797"/>
      <c r="M792" s="797"/>
      <c r="N792" s="797"/>
      <c r="O792" s="797"/>
      <c r="P792" s="797"/>
      <c r="Q792" s="792"/>
      <c r="R792" s="797"/>
      <c r="S792" s="792"/>
      <c r="T792" s="797"/>
      <c r="U792" s="844"/>
      <c r="V792" s="93">
        <v>2000000</v>
      </c>
      <c r="W792" s="93" t="s">
        <v>59</v>
      </c>
      <c r="X792" s="94">
        <v>45204</v>
      </c>
      <c r="Y792" s="145"/>
    </row>
    <row r="793" spans="1:25" s="144" customFormat="1" ht="28.5" customHeight="1">
      <c r="A793" s="105"/>
      <c r="B793" s="105" t="s">
        <v>2413</v>
      </c>
      <c r="C793" s="105" t="s">
        <v>2414</v>
      </c>
      <c r="D793" s="105" t="s">
        <v>2415</v>
      </c>
      <c r="E793" s="105" t="s">
        <v>2416</v>
      </c>
      <c r="F793" s="105" t="s">
        <v>2417</v>
      </c>
      <c r="G793" s="105" t="s">
        <v>2418</v>
      </c>
      <c r="H793" s="105" t="s">
        <v>2419</v>
      </c>
      <c r="I793" s="105" t="s">
        <v>40</v>
      </c>
      <c r="J793" s="105" t="s">
        <v>2420</v>
      </c>
      <c r="K793" s="105" t="s">
        <v>1639</v>
      </c>
      <c r="L793" s="107">
        <v>45151</v>
      </c>
      <c r="M793" s="107">
        <v>45151</v>
      </c>
      <c r="N793" s="94">
        <v>45152</v>
      </c>
      <c r="O793" s="94">
        <v>45152</v>
      </c>
      <c r="P793" s="94">
        <v>45152</v>
      </c>
      <c r="Q793" s="105" t="s">
        <v>2421</v>
      </c>
      <c r="R793" s="107">
        <v>45152</v>
      </c>
      <c r="S793" s="105" t="s">
        <v>2422</v>
      </c>
      <c r="T793" s="107">
        <v>45152</v>
      </c>
      <c r="U793" s="93">
        <v>9491020</v>
      </c>
      <c r="V793" s="93" t="s">
        <v>40</v>
      </c>
      <c r="W793" s="93" t="s">
        <v>40</v>
      </c>
      <c r="X793" s="94" t="s">
        <v>40</v>
      </c>
      <c r="Y793" s="145"/>
    </row>
    <row r="794" spans="1:25" ht="15.75" customHeight="1">
      <c r="A794" s="788"/>
      <c r="B794" s="788" t="s">
        <v>1977</v>
      </c>
      <c r="C794" s="788" t="s">
        <v>2423</v>
      </c>
      <c r="D794" s="788" t="s">
        <v>1588</v>
      </c>
      <c r="E794" s="906" t="s">
        <v>2373</v>
      </c>
      <c r="F794" s="122" t="s">
        <v>2424</v>
      </c>
      <c r="G794" s="856" t="s">
        <v>49</v>
      </c>
      <c r="H794" s="819" t="s">
        <v>2425</v>
      </c>
      <c r="I794" s="819" t="s">
        <v>2426</v>
      </c>
      <c r="J794" s="788" t="s">
        <v>215</v>
      </c>
      <c r="K794" s="788" t="s">
        <v>2427</v>
      </c>
      <c r="L794" s="813">
        <v>45133</v>
      </c>
      <c r="M794" s="813">
        <v>45153</v>
      </c>
      <c r="N794" s="813">
        <v>45154</v>
      </c>
      <c r="O794" s="813" t="s">
        <v>2428</v>
      </c>
      <c r="P794" s="813" t="s">
        <v>2429</v>
      </c>
      <c r="Q794" s="788" t="s">
        <v>2430</v>
      </c>
      <c r="R794" s="813">
        <v>45117</v>
      </c>
      <c r="S794" s="788" t="s">
        <v>2431</v>
      </c>
      <c r="T794" s="813" t="s">
        <v>2184</v>
      </c>
      <c r="U794" s="845">
        <v>2880000</v>
      </c>
      <c r="V794" s="845">
        <v>150000</v>
      </c>
      <c r="W794" s="845" t="s">
        <v>59</v>
      </c>
      <c r="X794" s="796" t="s">
        <v>2432</v>
      </c>
      <c r="Y794" s="2"/>
    </row>
    <row r="795" spans="1:25" ht="15.75" customHeight="1">
      <c r="A795" s="788"/>
      <c r="B795" s="788"/>
      <c r="C795" s="788"/>
      <c r="D795" s="788"/>
      <c r="E795" s="906"/>
      <c r="F795" s="96" t="s">
        <v>2433</v>
      </c>
      <c r="G795" s="856"/>
      <c r="H795" s="788"/>
      <c r="I795" s="788"/>
      <c r="J795" s="788"/>
      <c r="K795" s="788"/>
      <c r="L795" s="813"/>
      <c r="M795" s="813"/>
      <c r="N795" s="813"/>
      <c r="O795" s="813"/>
      <c r="P795" s="813"/>
      <c r="Q795" s="788"/>
      <c r="R795" s="813"/>
      <c r="S795" s="788"/>
      <c r="T795" s="813"/>
      <c r="U795" s="845"/>
      <c r="V795" s="816"/>
      <c r="W795" s="816"/>
      <c r="X795" s="839"/>
      <c r="Y795" s="2"/>
    </row>
    <row r="796" spans="1:25" ht="15.75" customHeight="1">
      <c r="A796" s="794"/>
      <c r="B796" s="794"/>
      <c r="C796" s="794"/>
      <c r="D796" s="794"/>
      <c r="E796" s="868"/>
      <c r="F796" s="97" t="s">
        <v>2434</v>
      </c>
      <c r="G796" s="809"/>
      <c r="H796" s="794"/>
      <c r="I796" s="794"/>
      <c r="J796" s="794"/>
      <c r="K796" s="794"/>
      <c r="L796" s="794"/>
      <c r="M796" s="794"/>
      <c r="N796" s="839"/>
      <c r="O796" s="839"/>
      <c r="P796" s="839"/>
      <c r="Q796" s="794"/>
      <c r="R796" s="794"/>
      <c r="S796" s="794"/>
      <c r="T796" s="794"/>
      <c r="U796" s="816"/>
      <c r="V796" s="14">
        <v>350000</v>
      </c>
      <c r="W796" s="14" t="s">
        <v>2277</v>
      </c>
      <c r="X796" s="12" t="s">
        <v>2435</v>
      </c>
      <c r="Y796" s="2"/>
    </row>
    <row r="797" spans="1:25" s="144" customFormat="1" ht="39.75" customHeight="1">
      <c r="A797" s="105"/>
      <c r="B797" s="105" t="s">
        <v>2436</v>
      </c>
      <c r="C797" s="105" t="s">
        <v>2437</v>
      </c>
      <c r="D797" s="105" t="s">
        <v>1588</v>
      </c>
      <c r="E797" s="105" t="s">
        <v>2438</v>
      </c>
      <c r="F797" s="105" t="s">
        <v>2439</v>
      </c>
      <c r="G797" s="105" t="s">
        <v>2440</v>
      </c>
      <c r="H797" s="105" t="s">
        <v>2441</v>
      </c>
      <c r="I797" s="106" t="s">
        <v>2442</v>
      </c>
      <c r="J797" s="105" t="s">
        <v>172</v>
      </c>
      <c r="K797" s="105" t="s">
        <v>419</v>
      </c>
      <c r="L797" s="107">
        <v>45148</v>
      </c>
      <c r="M797" s="107">
        <v>45157</v>
      </c>
      <c r="N797" s="94">
        <v>45159</v>
      </c>
      <c r="O797" s="94" t="s">
        <v>2443</v>
      </c>
      <c r="P797" s="94">
        <v>45161</v>
      </c>
      <c r="Q797" s="105" t="s">
        <v>2444</v>
      </c>
      <c r="R797" s="107">
        <v>45167</v>
      </c>
      <c r="S797" s="105" t="s">
        <v>2445</v>
      </c>
      <c r="T797" s="105" t="s">
        <v>2446</v>
      </c>
      <c r="U797" s="93">
        <v>1600000</v>
      </c>
      <c r="V797" s="93">
        <v>300000</v>
      </c>
      <c r="W797" s="93" t="s">
        <v>2447</v>
      </c>
      <c r="X797" s="94">
        <v>45162</v>
      </c>
      <c r="Y797" s="145"/>
    </row>
    <row r="798" spans="1:25" s="144" customFormat="1" ht="28.5" customHeight="1">
      <c r="A798" s="787"/>
      <c r="B798" s="787" t="s">
        <v>1375</v>
      </c>
      <c r="C798" s="787" t="s">
        <v>2448</v>
      </c>
      <c r="D798" s="787" t="s">
        <v>2406</v>
      </c>
      <c r="E798" s="787" t="s">
        <v>2449</v>
      </c>
      <c r="F798" s="787" t="s">
        <v>2450</v>
      </c>
      <c r="G798" s="787" t="s">
        <v>270</v>
      </c>
      <c r="H798" s="790" t="s">
        <v>2451</v>
      </c>
      <c r="I798" s="790" t="s">
        <v>193</v>
      </c>
      <c r="J798" s="787" t="s">
        <v>2452</v>
      </c>
      <c r="K798" s="787" t="s">
        <v>304</v>
      </c>
      <c r="L798" s="796">
        <v>45152</v>
      </c>
      <c r="M798" s="796">
        <v>45165</v>
      </c>
      <c r="N798" s="796">
        <v>45167</v>
      </c>
      <c r="O798" s="796">
        <v>45167</v>
      </c>
      <c r="P798" s="796">
        <v>45168</v>
      </c>
      <c r="Q798" s="787" t="s">
        <v>1834</v>
      </c>
      <c r="R798" s="796" t="s">
        <v>40</v>
      </c>
      <c r="S798" s="787" t="s">
        <v>2453</v>
      </c>
      <c r="T798" s="796" t="s">
        <v>2454</v>
      </c>
      <c r="U798" s="815">
        <v>4416140</v>
      </c>
      <c r="V798" s="14">
        <v>1400000</v>
      </c>
      <c r="W798" s="93" t="s">
        <v>1384</v>
      </c>
      <c r="X798" s="12">
        <v>45180</v>
      </c>
      <c r="Y798" s="145"/>
    </row>
    <row r="799" spans="1:25" s="144" customFormat="1" ht="28.5" customHeight="1">
      <c r="A799" s="788"/>
      <c r="B799" s="788"/>
      <c r="C799" s="788"/>
      <c r="D799" s="788"/>
      <c r="E799" s="788"/>
      <c r="F799" s="788"/>
      <c r="G799" s="788"/>
      <c r="H799" s="788"/>
      <c r="I799" s="788"/>
      <c r="J799" s="788"/>
      <c r="K799" s="788"/>
      <c r="L799" s="813"/>
      <c r="M799" s="813"/>
      <c r="N799" s="813"/>
      <c r="O799" s="813"/>
      <c r="P799" s="813"/>
      <c r="Q799" s="788"/>
      <c r="R799" s="813"/>
      <c r="S799" s="788"/>
      <c r="T799" s="813"/>
      <c r="U799" s="845"/>
      <c r="V799" s="19">
        <v>1500000</v>
      </c>
      <c r="W799" s="123" t="s">
        <v>59</v>
      </c>
      <c r="X799" s="17">
        <v>45180</v>
      </c>
      <c r="Y799" s="145"/>
    </row>
    <row r="800" spans="1:25" s="144" customFormat="1" ht="27" customHeight="1">
      <c r="A800" s="786"/>
      <c r="B800" s="786" t="s">
        <v>1375</v>
      </c>
      <c r="C800" s="786" t="s">
        <v>2455</v>
      </c>
      <c r="D800" s="786" t="s">
        <v>2406</v>
      </c>
      <c r="E800" s="786" t="s">
        <v>2456</v>
      </c>
      <c r="F800" s="786" t="s">
        <v>2457</v>
      </c>
      <c r="G800" s="786" t="s">
        <v>270</v>
      </c>
      <c r="H800" s="785" t="s">
        <v>2458</v>
      </c>
      <c r="I800" s="785" t="s">
        <v>2459</v>
      </c>
      <c r="J800" s="786" t="s">
        <v>2460</v>
      </c>
      <c r="K800" s="786" t="s">
        <v>2461</v>
      </c>
      <c r="L800" s="793">
        <v>45155</v>
      </c>
      <c r="M800" s="793">
        <v>45165</v>
      </c>
      <c r="N800" s="793">
        <v>45168</v>
      </c>
      <c r="O800" s="793">
        <v>45168</v>
      </c>
      <c r="P800" s="793">
        <v>45169</v>
      </c>
      <c r="Q800" s="786" t="s">
        <v>2462</v>
      </c>
      <c r="R800" s="793" t="s">
        <v>40</v>
      </c>
      <c r="S800" s="786" t="s">
        <v>2463</v>
      </c>
      <c r="T800" s="793">
        <v>45187</v>
      </c>
      <c r="U800" s="814">
        <v>8373800</v>
      </c>
      <c r="V800" s="93">
        <v>1400000</v>
      </c>
      <c r="W800" s="93" t="s">
        <v>1384</v>
      </c>
      <c r="X800" s="94">
        <v>45180</v>
      </c>
      <c r="Y800" s="145"/>
    </row>
    <row r="801" spans="1:25" s="144" customFormat="1" ht="24.75" customHeight="1">
      <c r="A801" s="786"/>
      <c r="B801" s="786"/>
      <c r="C801" s="786"/>
      <c r="D801" s="786"/>
      <c r="E801" s="786"/>
      <c r="F801" s="786"/>
      <c r="G801" s="786"/>
      <c r="H801" s="786"/>
      <c r="I801" s="786"/>
      <c r="J801" s="786"/>
      <c r="K801" s="786"/>
      <c r="L801" s="793"/>
      <c r="M801" s="793"/>
      <c r="N801" s="793"/>
      <c r="O801" s="793"/>
      <c r="P801" s="793"/>
      <c r="Q801" s="786"/>
      <c r="R801" s="793"/>
      <c r="S801" s="786"/>
      <c r="T801" s="793"/>
      <c r="U801" s="814"/>
      <c r="V801" s="93">
        <v>2000000</v>
      </c>
      <c r="W801" s="93" t="s">
        <v>59</v>
      </c>
      <c r="X801" s="94">
        <v>45204</v>
      </c>
      <c r="Y801" s="145"/>
    </row>
    <row r="802" spans="1:25" s="144" customFormat="1" ht="20.25" customHeight="1">
      <c r="A802" s="853"/>
      <c r="B802" s="853" t="s">
        <v>1536</v>
      </c>
      <c r="C802" s="853" t="s">
        <v>2464</v>
      </c>
      <c r="D802" s="853" t="s">
        <v>2135</v>
      </c>
      <c r="E802" s="955" t="s">
        <v>2465</v>
      </c>
      <c r="F802" s="805" t="s">
        <v>2466</v>
      </c>
      <c r="G802" s="944" t="s">
        <v>2440</v>
      </c>
      <c r="H802" s="939" t="s">
        <v>2467</v>
      </c>
      <c r="I802" s="949" t="s">
        <v>40</v>
      </c>
      <c r="J802" s="853" t="s">
        <v>2468</v>
      </c>
      <c r="K802" s="853" t="s">
        <v>637</v>
      </c>
      <c r="L802" s="849">
        <v>45145</v>
      </c>
      <c r="M802" s="849">
        <v>45167</v>
      </c>
      <c r="N802" s="849" t="s">
        <v>40</v>
      </c>
      <c r="O802" s="849" t="s">
        <v>40</v>
      </c>
      <c r="P802" s="849" t="s">
        <v>40</v>
      </c>
      <c r="Q802" s="853" t="s">
        <v>40</v>
      </c>
      <c r="R802" s="849">
        <v>45168</v>
      </c>
      <c r="S802" s="853" t="s">
        <v>2469</v>
      </c>
      <c r="T802" s="849">
        <v>45170</v>
      </c>
      <c r="U802" s="843">
        <v>5470200</v>
      </c>
      <c r="V802" s="843" t="s">
        <v>40</v>
      </c>
      <c r="W802" s="843" t="s">
        <v>40</v>
      </c>
      <c r="X802" s="849" t="s">
        <v>40</v>
      </c>
      <c r="Y802" s="145"/>
    </row>
    <row r="803" spans="1:25" s="144" customFormat="1" ht="20.25" customHeight="1">
      <c r="A803" s="792"/>
      <c r="B803" s="792"/>
      <c r="C803" s="792"/>
      <c r="D803" s="792"/>
      <c r="E803" s="951"/>
      <c r="F803" s="917"/>
      <c r="G803" s="912"/>
      <c r="H803" s="940"/>
      <c r="I803" s="792"/>
      <c r="J803" s="792"/>
      <c r="K803" s="792"/>
      <c r="L803" s="797"/>
      <c r="M803" s="797"/>
      <c r="N803" s="797"/>
      <c r="O803" s="797"/>
      <c r="P803" s="797"/>
      <c r="Q803" s="792"/>
      <c r="R803" s="797"/>
      <c r="S803" s="792"/>
      <c r="T803" s="797"/>
      <c r="U803" s="844"/>
      <c r="V803" s="844"/>
      <c r="W803" s="844"/>
      <c r="X803" s="797"/>
      <c r="Y803" s="145"/>
    </row>
    <row r="804" spans="1:25" s="59" customFormat="1" ht="24.75" customHeight="1">
      <c r="A804" s="786"/>
      <c r="B804" s="860" t="s">
        <v>1375</v>
      </c>
      <c r="C804" s="786" t="s">
        <v>2470</v>
      </c>
      <c r="D804" s="860" t="s">
        <v>2406</v>
      </c>
      <c r="E804" s="786" t="s">
        <v>2471</v>
      </c>
      <c r="F804" s="96" t="s">
        <v>2472</v>
      </c>
      <c r="G804" s="860" t="s">
        <v>2473</v>
      </c>
      <c r="H804" s="786" t="s">
        <v>2474</v>
      </c>
      <c r="I804" s="785" t="s">
        <v>2475</v>
      </c>
      <c r="J804" s="786" t="s">
        <v>2476</v>
      </c>
      <c r="K804" s="786" t="s">
        <v>201</v>
      </c>
      <c r="L804" s="793">
        <v>45155</v>
      </c>
      <c r="M804" s="793">
        <v>45167</v>
      </c>
      <c r="N804" s="793">
        <v>45168</v>
      </c>
      <c r="O804" s="793">
        <v>45169</v>
      </c>
      <c r="P804" s="793" t="s">
        <v>2477</v>
      </c>
      <c r="Q804" s="786" t="s">
        <v>2478</v>
      </c>
      <c r="R804" s="793" t="s">
        <v>40</v>
      </c>
      <c r="S804" s="786" t="s">
        <v>2479</v>
      </c>
      <c r="T804" s="793" t="s">
        <v>2454</v>
      </c>
      <c r="U804" s="814">
        <v>43126000</v>
      </c>
      <c r="V804" s="93">
        <v>600000</v>
      </c>
      <c r="W804" s="93" t="s">
        <v>1384</v>
      </c>
      <c r="X804" s="94" t="s">
        <v>40</v>
      </c>
      <c r="Y804" s="60"/>
    </row>
    <row r="805" spans="1:25" s="59" customFormat="1" ht="24.75" customHeight="1">
      <c r="A805" s="786"/>
      <c r="B805" s="860"/>
      <c r="C805" s="786"/>
      <c r="D805" s="860"/>
      <c r="E805" s="786"/>
      <c r="F805" s="96" t="s">
        <v>2480</v>
      </c>
      <c r="G805" s="860"/>
      <c r="H805" s="786"/>
      <c r="I805" s="786"/>
      <c r="J805" s="786"/>
      <c r="K805" s="786"/>
      <c r="L805" s="793"/>
      <c r="M805" s="793"/>
      <c r="N805" s="793"/>
      <c r="O805" s="793"/>
      <c r="P805" s="793"/>
      <c r="Q805" s="786"/>
      <c r="R805" s="793"/>
      <c r="S805" s="786"/>
      <c r="T805" s="793"/>
      <c r="U805" s="814"/>
      <c r="V805" s="814">
        <v>7000000</v>
      </c>
      <c r="W805" s="814" t="s">
        <v>2481</v>
      </c>
      <c r="X805" s="793" t="s">
        <v>40</v>
      </c>
      <c r="Y805" s="60"/>
    </row>
    <row r="806" spans="1:25" s="59" customFormat="1" ht="24.75" customHeight="1">
      <c r="A806" s="786"/>
      <c r="B806" s="860"/>
      <c r="C806" s="786"/>
      <c r="D806" s="860"/>
      <c r="E806" s="786"/>
      <c r="F806" s="96" t="s">
        <v>2482</v>
      </c>
      <c r="G806" s="860"/>
      <c r="H806" s="786"/>
      <c r="I806" s="786"/>
      <c r="J806" s="786"/>
      <c r="K806" s="786"/>
      <c r="L806" s="793"/>
      <c r="M806" s="793"/>
      <c r="N806" s="793"/>
      <c r="O806" s="793"/>
      <c r="P806" s="793"/>
      <c r="Q806" s="786"/>
      <c r="R806" s="793"/>
      <c r="S806" s="786"/>
      <c r="T806" s="793"/>
      <c r="U806" s="814"/>
      <c r="V806" s="814"/>
      <c r="W806" s="814"/>
      <c r="X806" s="793"/>
      <c r="Y806" s="60"/>
    </row>
    <row r="807" spans="1:25" s="59" customFormat="1" ht="24.75" customHeight="1">
      <c r="A807" s="786"/>
      <c r="B807" s="860"/>
      <c r="C807" s="786"/>
      <c r="D807" s="860"/>
      <c r="E807" s="786"/>
      <c r="F807" s="96" t="s">
        <v>2483</v>
      </c>
      <c r="G807" s="860"/>
      <c r="H807" s="786"/>
      <c r="I807" s="786"/>
      <c r="J807" s="786"/>
      <c r="K807" s="786"/>
      <c r="L807" s="793"/>
      <c r="M807" s="793"/>
      <c r="N807" s="793"/>
      <c r="O807" s="793"/>
      <c r="P807" s="793"/>
      <c r="Q807" s="786"/>
      <c r="R807" s="793"/>
      <c r="S807" s="786"/>
      <c r="T807" s="793"/>
      <c r="U807" s="814"/>
      <c r="V807" s="840">
        <v>3000000</v>
      </c>
      <c r="W807" s="840" t="s">
        <v>59</v>
      </c>
      <c r="X807" s="810">
        <v>45204</v>
      </c>
      <c r="Y807" s="60"/>
    </row>
    <row r="808" spans="1:25" s="144" customFormat="1" ht="20.25" customHeight="1">
      <c r="A808" s="786"/>
      <c r="B808" s="860"/>
      <c r="C808" s="786"/>
      <c r="D808" s="860"/>
      <c r="E808" s="786"/>
      <c r="F808" s="105" t="s">
        <v>2484</v>
      </c>
      <c r="G808" s="860"/>
      <c r="H808" s="786"/>
      <c r="I808" s="786"/>
      <c r="J808" s="786"/>
      <c r="K808" s="786"/>
      <c r="L808" s="793"/>
      <c r="M808" s="793"/>
      <c r="N808" s="793"/>
      <c r="O808" s="793"/>
      <c r="P808" s="793"/>
      <c r="Q808" s="786"/>
      <c r="R808" s="793"/>
      <c r="S808" s="786"/>
      <c r="T808" s="793"/>
      <c r="U808" s="814"/>
      <c r="V808" s="841"/>
      <c r="W808" s="841"/>
      <c r="X808" s="811"/>
      <c r="Y808" s="145"/>
    </row>
    <row r="809" spans="1:25" s="144" customFormat="1" ht="20.25" customHeight="1">
      <c r="A809" s="786"/>
      <c r="B809" s="860"/>
      <c r="C809" s="786"/>
      <c r="D809" s="860"/>
      <c r="E809" s="786"/>
      <c r="F809" s="105" t="s">
        <v>2485</v>
      </c>
      <c r="G809" s="860"/>
      <c r="H809" s="786"/>
      <c r="I809" s="786"/>
      <c r="J809" s="786"/>
      <c r="K809" s="786"/>
      <c r="L809" s="793"/>
      <c r="M809" s="793"/>
      <c r="N809" s="793"/>
      <c r="O809" s="793"/>
      <c r="P809" s="793"/>
      <c r="Q809" s="786"/>
      <c r="R809" s="793"/>
      <c r="S809" s="786"/>
      <c r="T809" s="793"/>
      <c r="U809" s="814"/>
      <c r="V809" s="842"/>
      <c r="W809" s="842"/>
      <c r="X809" s="812"/>
      <c r="Y809" s="145"/>
    </row>
    <row r="810" spans="1:25" s="144" customFormat="1" ht="20.25" customHeight="1">
      <c r="A810" s="786"/>
      <c r="B810" s="786" t="s">
        <v>1375</v>
      </c>
      <c r="C810" s="786" t="s">
        <v>2486</v>
      </c>
      <c r="D810" s="786" t="s">
        <v>2406</v>
      </c>
      <c r="E810" s="786" t="s">
        <v>2487</v>
      </c>
      <c r="F810" s="786" t="s">
        <v>2488</v>
      </c>
      <c r="G810" s="786" t="s">
        <v>71</v>
      </c>
      <c r="H810" s="785" t="s">
        <v>2489</v>
      </c>
      <c r="I810" s="785" t="s">
        <v>295</v>
      </c>
      <c r="J810" s="786" t="s">
        <v>2490</v>
      </c>
      <c r="K810" s="786" t="s">
        <v>1782</v>
      </c>
      <c r="L810" s="793">
        <v>45158</v>
      </c>
      <c r="M810" s="793">
        <v>45169</v>
      </c>
      <c r="N810" s="793">
        <v>45169</v>
      </c>
      <c r="O810" s="793">
        <v>45169</v>
      </c>
      <c r="P810" s="793">
        <v>45170</v>
      </c>
      <c r="Q810" s="786" t="s">
        <v>2491</v>
      </c>
      <c r="R810" s="793" t="s">
        <v>40</v>
      </c>
      <c r="S810" s="786" t="s">
        <v>2492</v>
      </c>
      <c r="T810" s="793" t="s">
        <v>2493</v>
      </c>
      <c r="U810" s="814">
        <v>4769435</v>
      </c>
      <c r="V810" s="93">
        <v>1400000</v>
      </c>
      <c r="W810" s="93" t="s">
        <v>1384</v>
      </c>
      <c r="X810" s="94">
        <v>45180</v>
      </c>
      <c r="Y810" s="145"/>
    </row>
    <row r="811" spans="1:25" s="144" customFormat="1" ht="20.25" customHeight="1">
      <c r="A811" s="786"/>
      <c r="B811" s="786"/>
      <c r="C811" s="786"/>
      <c r="D811" s="786"/>
      <c r="E811" s="786"/>
      <c r="F811" s="786"/>
      <c r="G811" s="786"/>
      <c r="H811" s="786"/>
      <c r="I811" s="786"/>
      <c r="J811" s="786"/>
      <c r="K811" s="786"/>
      <c r="L811" s="793"/>
      <c r="M811" s="793"/>
      <c r="N811" s="793"/>
      <c r="O811" s="793"/>
      <c r="P811" s="793"/>
      <c r="Q811" s="786"/>
      <c r="R811" s="793"/>
      <c r="S811" s="786"/>
      <c r="T811" s="793"/>
      <c r="U811" s="814"/>
      <c r="V811" s="93">
        <v>1500000</v>
      </c>
      <c r="W811" s="93" t="s">
        <v>59</v>
      </c>
      <c r="X811" s="94" t="s">
        <v>2494</v>
      </c>
      <c r="Y811" s="145"/>
    </row>
    <row r="812" spans="1:25" ht="15.75" customHeight="1">
      <c r="A812" s="805"/>
      <c r="B812" s="942" t="s">
        <v>1977</v>
      </c>
      <c r="C812" s="805" t="s">
        <v>2495</v>
      </c>
      <c r="D812" s="942" t="s">
        <v>1588</v>
      </c>
      <c r="E812" s="805" t="s">
        <v>2496</v>
      </c>
      <c r="F812" s="122" t="s">
        <v>2424</v>
      </c>
      <c r="G812" s="942" t="s">
        <v>63</v>
      </c>
      <c r="H812" s="805" t="s">
        <v>2497</v>
      </c>
      <c r="I812" s="910" t="s">
        <v>109</v>
      </c>
      <c r="J812" s="805" t="s">
        <v>2498</v>
      </c>
      <c r="K812" s="805" t="s">
        <v>1782</v>
      </c>
      <c r="L812" s="810">
        <v>45152</v>
      </c>
      <c r="M812" s="810">
        <v>45169</v>
      </c>
      <c r="N812" s="810">
        <v>45169</v>
      </c>
      <c r="O812" s="810">
        <v>45173</v>
      </c>
      <c r="P812" s="810">
        <v>45174</v>
      </c>
      <c r="Q812" s="805" t="s">
        <v>2499</v>
      </c>
      <c r="R812" s="810">
        <v>45270</v>
      </c>
      <c r="S812" s="805" t="s">
        <v>2500</v>
      </c>
      <c r="T812" s="810" t="s">
        <v>2184</v>
      </c>
      <c r="U812" s="840">
        <v>1150000</v>
      </c>
      <c r="V812" s="61">
        <v>100000</v>
      </c>
      <c r="W812" s="61" t="s">
        <v>59</v>
      </c>
      <c r="X812" s="17" t="s">
        <v>2435</v>
      </c>
      <c r="Y812" s="2"/>
    </row>
    <row r="813" spans="1:25" ht="15.75" customHeight="1">
      <c r="A813" s="806"/>
      <c r="B813" s="943"/>
      <c r="C813" s="806"/>
      <c r="D813" s="943"/>
      <c r="E813" s="806"/>
      <c r="F813" s="97" t="s">
        <v>2434</v>
      </c>
      <c r="G813" s="943"/>
      <c r="H813" s="806"/>
      <c r="I813" s="806"/>
      <c r="J813" s="806"/>
      <c r="K813" s="806"/>
      <c r="L813" s="811"/>
      <c r="M813" s="811"/>
      <c r="N813" s="811"/>
      <c r="O813" s="811"/>
      <c r="P813" s="811"/>
      <c r="Q813" s="806"/>
      <c r="R813" s="811"/>
      <c r="S813" s="806"/>
      <c r="T813" s="811"/>
      <c r="U813" s="841"/>
      <c r="V813" s="14">
        <v>250000</v>
      </c>
      <c r="W813" s="14" t="s">
        <v>2277</v>
      </c>
      <c r="X813" s="12" t="s">
        <v>2435</v>
      </c>
      <c r="Y813" s="2"/>
    </row>
    <row r="814" spans="1:25" ht="15.75" customHeight="1">
      <c r="A814" s="805"/>
      <c r="B814" s="942" t="s">
        <v>1977</v>
      </c>
      <c r="C814" s="805">
        <v>273187656</v>
      </c>
      <c r="D814" s="942" t="s">
        <v>1588</v>
      </c>
      <c r="E814" s="805"/>
      <c r="F814" s="805" t="s">
        <v>2501</v>
      </c>
      <c r="G814" s="942" t="s">
        <v>71</v>
      </c>
      <c r="H814" s="805" t="s">
        <v>2502</v>
      </c>
      <c r="I814" s="910" t="s">
        <v>347</v>
      </c>
      <c r="J814" s="805" t="s">
        <v>2503</v>
      </c>
      <c r="K814" s="805" t="s">
        <v>1782</v>
      </c>
      <c r="L814" s="810">
        <v>45152</v>
      </c>
      <c r="M814" s="810">
        <v>45169</v>
      </c>
      <c r="N814" s="810">
        <v>45173</v>
      </c>
      <c r="O814" s="810">
        <v>45173</v>
      </c>
      <c r="P814" s="810">
        <v>45174</v>
      </c>
      <c r="Q814" s="805" t="s">
        <v>2504</v>
      </c>
      <c r="R814" s="810">
        <v>45270</v>
      </c>
      <c r="S814" s="805" t="s">
        <v>2505</v>
      </c>
      <c r="T814" s="810" t="s">
        <v>2184</v>
      </c>
      <c r="U814" s="840">
        <v>537500</v>
      </c>
      <c r="V814" s="61">
        <v>50000</v>
      </c>
      <c r="W814" s="61" t="s">
        <v>59</v>
      </c>
      <c r="X814" s="17" t="s">
        <v>2435</v>
      </c>
      <c r="Y814" s="2"/>
    </row>
    <row r="815" spans="1:25" ht="15.75" customHeight="1">
      <c r="A815" s="806"/>
      <c r="B815" s="943"/>
      <c r="C815" s="806"/>
      <c r="D815" s="943"/>
      <c r="E815" s="806"/>
      <c r="F815" s="917"/>
      <c r="G815" s="943"/>
      <c r="H815" s="806"/>
      <c r="I815" s="806"/>
      <c r="J815" s="806"/>
      <c r="K815" s="806"/>
      <c r="L815" s="811"/>
      <c r="M815" s="811"/>
      <c r="N815" s="811"/>
      <c r="O815" s="811"/>
      <c r="P815" s="811"/>
      <c r="Q815" s="806"/>
      <c r="R815" s="811"/>
      <c r="S815" s="806"/>
      <c r="T815" s="811"/>
      <c r="U815" s="841"/>
      <c r="V815" s="14">
        <v>150000</v>
      </c>
      <c r="W815" s="14" t="s">
        <v>2277</v>
      </c>
      <c r="X815" s="12" t="s">
        <v>2435</v>
      </c>
      <c r="Y815" s="2"/>
    </row>
    <row r="816" spans="1:25" s="59" customFormat="1" ht="24.75" customHeight="1">
      <c r="A816" s="786"/>
      <c r="B816" s="860" t="s">
        <v>1375</v>
      </c>
      <c r="C816" s="786" t="s">
        <v>2506</v>
      </c>
      <c r="D816" s="860" t="s">
        <v>2406</v>
      </c>
      <c r="E816" s="786" t="s">
        <v>2507</v>
      </c>
      <c r="F816" s="96" t="s">
        <v>2508</v>
      </c>
      <c r="G816" s="860" t="s">
        <v>2004</v>
      </c>
      <c r="H816" s="786" t="s">
        <v>2509</v>
      </c>
      <c r="I816" s="785" t="s">
        <v>462</v>
      </c>
      <c r="J816" s="786" t="s">
        <v>2510</v>
      </c>
      <c r="K816" s="786" t="s">
        <v>1782</v>
      </c>
      <c r="L816" s="793">
        <v>45161</v>
      </c>
      <c r="M816" s="793">
        <v>45173</v>
      </c>
      <c r="N816" s="793">
        <v>45175</v>
      </c>
      <c r="O816" s="793">
        <v>45176</v>
      </c>
      <c r="P816" s="793">
        <v>45177</v>
      </c>
      <c r="Q816" s="786" t="s">
        <v>1834</v>
      </c>
      <c r="R816" s="793" t="s">
        <v>40</v>
      </c>
      <c r="S816" s="786" t="s">
        <v>2511</v>
      </c>
      <c r="T816" s="793" t="s">
        <v>2512</v>
      </c>
      <c r="U816" s="814">
        <v>18439600</v>
      </c>
      <c r="V816" s="920">
        <v>4200000</v>
      </c>
      <c r="W816" s="920" t="s">
        <v>1384</v>
      </c>
      <c r="X816" s="837">
        <v>45180</v>
      </c>
      <c r="Y816" s="60"/>
    </row>
    <row r="817" spans="1:25" s="59" customFormat="1" ht="24.75" customHeight="1">
      <c r="A817" s="786"/>
      <c r="B817" s="860"/>
      <c r="C817" s="786"/>
      <c r="D817" s="860"/>
      <c r="E817" s="786"/>
      <c r="F817" s="96" t="s">
        <v>2513</v>
      </c>
      <c r="G817" s="860"/>
      <c r="H817" s="786"/>
      <c r="I817" s="786"/>
      <c r="J817" s="786"/>
      <c r="K817" s="786"/>
      <c r="L817" s="793"/>
      <c r="M817" s="793"/>
      <c r="N817" s="793"/>
      <c r="O817" s="793"/>
      <c r="P817" s="793"/>
      <c r="Q817" s="786"/>
      <c r="R817" s="793"/>
      <c r="S817" s="786"/>
      <c r="T817" s="793"/>
      <c r="U817" s="814"/>
      <c r="V817" s="841"/>
      <c r="W817" s="841"/>
      <c r="X817" s="811"/>
      <c r="Y817" s="60"/>
    </row>
    <row r="818" spans="1:25" s="59" customFormat="1" ht="24.75" customHeight="1">
      <c r="A818" s="786"/>
      <c r="B818" s="860"/>
      <c r="C818" s="786"/>
      <c r="D818" s="860"/>
      <c r="E818" s="786"/>
      <c r="F818" s="96" t="s">
        <v>2514</v>
      </c>
      <c r="G818" s="860"/>
      <c r="H818" s="786"/>
      <c r="I818" s="786"/>
      <c r="J818" s="786"/>
      <c r="K818" s="786"/>
      <c r="L818" s="793"/>
      <c r="M818" s="793"/>
      <c r="N818" s="793"/>
      <c r="O818" s="793"/>
      <c r="P818" s="793"/>
      <c r="Q818" s="786"/>
      <c r="R818" s="793"/>
      <c r="S818" s="786"/>
      <c r="T818" s="793"/>
      <c r="U818" s="814"/>
      <c r="V818" s="842"/>
      <c r="W818" s="842"/>
      <c r="X818" s="812"/>
      <c r="Y818" s="60"/>
    </row>
    <row r="819" spans="1:25" s="59" customFormat="1" ht="24.75" customHeight="1">
      <c r="A819" s="786"/>
      <c r="B819" s="860"/>
      <c r="C819" s="786"/>
      <c r="D819" s="860"/>
      <c r="E819" s="786"/>
      <c r="F819" s="96" t="s">
        <v>2515</v>
      </c>
      <c r="G819" s="860"/>
      <c r="H819" s="786"/>
      <c r="I819" s="786"/>
      <c r="J819" s="786"/>
      <c r="K819" s="786"/>
      <c r="L819" s="793"/>
      <c r="M819" s="793"/>
      <c r="N819" s="793"/>
      <c r="O819" s="793"/>
      <c r="P819" s="793"/>
      <c r="Q819" s="786"/>
      <c r="R819" s="793"/>
      <c r="S819" s="786"/>
      <c r="T819" s="793"/>
      <c r="U819" s="814"/>
      <c r="V819" s="840">
        <v>3000000</v>
      </c>
      <c r="W819" s="840" t="s">
        <v>59</v>
      </c>
      <c r="X819" s="810">
        <v>45180</v>
      </c>
      <c r="Y819" s="60"/>
    </row>
    <row r="820" spans="1:25" s="144" customFormat="1" ht="20.25" customHeight="1">
      <c r="A820" s="786"/>
      <c r="B820" s="860"/>
      <c r="C820" s="786"/>
      <c r="D820" s="860"/>
      <c r="E820" s="786"/>
      <c r="F820" s="105" t="s">
        <v>2516</v>
      </c>
      <c r="G820" s="860"/>
      <c r="H820" s="786"/>
      <c r="I820" s="786"/>
      <c r="J820" s="786"/>
      <c r="K820" s="786"/>
      <c r="L820" s="793"/>
      <c r="M820" s="793"/>
      <c r="N820" s="793"/>
      <c r="O820" s="793"/>
      <c r="P820" s="793"/>
      <c r="Q820" s="786"/>
      <c r="R820" s="793"/>
      <c r="S820" s="786"/>
      <c r="T820" s="793"/>
      <c r="U820" s="814"/>
      <c r="V820" s="841"/>
      <c r="W820" s="841"/>
      <c r="X820" s="811"/>
      <c r="Y820" s="145"/>
    </row>
    <row r="821" spans="1:25" s="144" customFormat="1" ht="20.25" customHeight="1">
      <c r="A821" s="786"/>
      <c r="B821" s="860"/>
      <c r="C821" s="786"/>
      <c r="D821" s="860"/>
      <c r="E821" s="786"/>
      <c r="F821" s="105" t="s">
        <v>2517</v>
      </c>
      <c r="G821" s="860"/>
      <c r="H821" s="786"/>
      <c r="I821" s="786"/>
      <c r="J821" s="786"/>
      <c r="K821" s="786"/>
      <c r="L821" s="793"/>
      <c r="M821" s="793"/>
      <c r="N821" s="793"/>
      <c r="O821" s="793"/>
      <c r="P821" s="793"/>
      <c r="Q821" s="786"/>
      <c r="R821" s="793"/>
      <c r="S821" s="786"/>
      <c r="T821" s="793"/>
      <c r="U821" s="814"/>
      <c r="V821" s="842"/>
      <c r="W821" s="842"/>
      <c r="X821" s="812"/>
      <c r="Y821" s="145"/>
    </row>
    <row r="822" spans="1:25" s="59" customFormat="1" ht="24.75" customHeight="1">
      <c r="A822" s="786"/>
      <c r="B822" s="860" t="s">
        <v>1375</v>
      </c>
      <c r="C822" s="786" t="s">
        <v>2518</v>
      </c>
      <c r="D822" s="860" t="s">
        <v>2406</v>
      </c>
      <c r="E822" s="786" t="s">
        <v>2507</v>
      </c>
      <c r="F822" s="96" t="s">
        <v>2519</v>
      </c>
      <c r="G822" s="860" t="s">
        <v>2004</v>
      </c>
      <c r="H822" s="786" t="s">
        <v>2520</v>
      </c>
      <c r="I822" s="785" t="s">
        <v>478</v>
      </c>
      <c r="J822" s="786" t="s">
        <v>2510</v>
      </c>
      <c r="K822" s="786" t="s">
        <v>1782</v>
      </c>
      <c r="L822" s="793">
        <v>45161</v>
      </c>
      <c r="M822" s="793">
        <v>45173</v>
      </c>
      <c r="N822" s="793">
        <v>45175</v>
      </c>
      <c r="O822" s="793">
        <v>45176</v>
      </c>
      <c r="P822" s="793">
        <v>45177</v>
      </c>
      <c r="Q822" s="786" t="s">
        <v>1834</v>
      </c>
      <c r="R822" s="793" t="s">
        <v>40</v>
      </c>
      <c r="S822" s="786" t="s">
        <v>2521</v>
      </c>
      <c r="T822" s="793" t="s">
        <v>2512</v>
      </c>
      <c r="U822" s="814">
        <v>18439600</v>
      </c>
      <c r="V822" s="920">
        <v>4200000</v>
      </c>
      <c r="W822" s="920" t="s">
        <v>1384</v>
      </c>
      <c r="X822" s="837" t="s">
        <v>40</v>
      </c>
      <c r="Y822" s="60"/>
    </row>
    <row r="823" spans="1:25" s="59" customFormat="1" ht="24.75" customHeight="1">
      <c r="A823" s="786"/>
      <c r="B823" s="860"/>
      <c r="C823" s="786"/>
      <c r="D823" s="860"/>
      <c r="E823" s="786"/>
      <c r="F823" s="96" t="s">
        <v>2522</v>
      </c>
      <c r="G823" s="860"/>
      <c r="H823" s="786"/>
      <c r="I823" s="786"/>
      <c r="J823" s="786"/>
      <c r="K823" s="786"/>
      <c r="L823" s="793"/>
      <c r="M823" s="793"/>
      <c r="N823" s="793"/>
      <c r="O823" s="793"/>
      <c r="P823" s="793"/>
      <c r="Q823" s="786"/>
      <c r="R823" s="793"/>
      <c r="S823" s="786"/>
      <c r="T823" s="793"/>
      <c r="U823" s="814"/>
      <c r="V823" s="841"/>
      <c r="W823" s="841"/>
      <c r="X823" s="811"/>
      <c r="Y823" s="60"/>
    </row>
    <row r="824" spans="1:25" s="59" customFormat="1" ht="24.75" customHeight="1">
      <c r="A824" s="786"/>
      <c r="B824" s="860"/>
      <c r="C824" s="786"/>
      <c r="D824" s="860"/>
      <c r="E824" s="786"/>
      <c r="F824" s="96" t="s">
        <v>2523</v>
      </c>
      <c r="G824" s="860"/>
      <c r="H824" s="786"/>
      <c r="I824" s="786"/>
      <c r="J824" s="786"/>
      <c r="K824" s="786"/>
      <c r="L824" s="793"/>
      <c r="M824" s="793"/>
      <c r="N824" s="793"/>
      <c r="O824" s="793"/>
      <c r="P824" s="793"/>
      <c r="Q824" s="786"/>
      <c r="R824" s="793"/>
      <c r="S824" s="786"/>
      <c r="T824" s="793"/>
      <c r="U824" s="814"/>
      <c r="V824" s="842"/>
      <c r="W824" s="842"/>
      <c r="X824" s="812"/>
      <c r="Y824" s="60"/>
    </row>
    <row r="825" spans="1:25" s="59" customFormat="1" ht="24.75" customHeight="1">
      <c r="A825" s="786"/>
      <c r="B825" s="860"/>
      <c r="C825" s="786"/>
      <c r="D825" s="860"/>
      <c r="E825" s="786"/>
      <c r="F825" s="96" t="s">
        <v>2524</v>
      </c>
      <c r="G825" s="860"/>
      <c r="H825" s="786"/>
      <c r="I825" s="786"/>
      <c r="J825" s="786"/>
      <c r="K825" s="786"/>
      <c r="L825" s="793"/>
      <c r="M825" s="793"/>
      <c r="N825" s="793"/>
      <c r="O825" s="793"/>
      <c r="P825" s="793"/>
      <c r="Q825" s="786"/>
      <c r="R825" s="793"/>
      <c r="S825" s="786"/>
      <c r="T825" s="793"/>
      <c r="U825" s="814"/>
      <c r="V825" s="840">
        <v>3000000</v>
      </c>
      <c r="W825" s="840" t="s">
        <v>59</v>
      </c>
      <c r="X825" s="810">
        <v>45180</v>
      </c>
      <c r="Y825" s="60"/>
    </row>
    <row r="826" spans="1:25" s="144" customFormat="1" ht="20.25" customHeight="1">
      <c r="A826" s="786"/>
      <c r="B826" s="860"/>
      <c r="C826" s="786"/>
      <c r="D826" s="860"/>
      <c r="E826" s="786"/>
      <c r="F826" s="105" t="s">
        <v>2525</v>
      </c>
      <c r="G826" s="860"/>
      <c r="H826" s="786"/>
      <c r="I826" s="786"/>
      <c r="J826" s="786"/>
      <c r="K826" s="786"/>
      <c r="L826" s="793"/>
      <c r="M826" s="793"/>
      <c r="N826" s="793"/>
      <c r="O826" s="793"/>
      <c r="P826" s="793"/>
      <c r="Q826" s="786"/>
      <c r="R826" s="793"/>
      <c r="S826" s="786"/>
      <c r="T826" s="793"/>
      <c r="U826" s="814"/>
      <c r="V826" s="841"/>
      <c r="W826" s="841"/>
      <c r="X826" s="811"/>
      <c r="Y826" s="145"/>
    </row>
    <row r="827" spans="1:25" s="144" customFormat="1" ht="20.25" customHeight="1">
      <c r="A827" s="786"/>
      <c r="B827" s="860"/>
      <c r="C827" s="786"/>
      <c r="D827" s="860"/>
      <c r="E827" s="786"/>
      <c r="F827" s="105" t="s">
        <v>2526</v>
      </c>
      <c r="G827" s="860"/>
      <c r="H827" s="786"/>
      <c r="I827" s="786"/>
      <c r="J827" s="786"/>
      <c r="K827" s="786"/>
      <c r="L827" s="793"/>
      <c r="M827" s="793"/>
      <c r="N827" s="793"/>
      <c r="O827" s="793"/>
      <c r="P827" s="793"/>
      <c r="Q827" s="786"/>
      <c r="R827" s="793"/>
      <c r="S827" s="786"/>
      <c r="T827" s="793"/>
      <c r="U827" s="814"/>
      <c r="V827" s="842"/>
      <c r="W827" s="842"/>
      <c r="X827" s="812"/>
      <c r="Y827" s="145"/>
    </row>
    <row r="828" spans="1:25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4"/>
      <c r="M828" s="35"/>
      <c r="N828" s="54"/>
      <c r="O828" s="54"/>
      <c r="P828" s="54"/>
      <c r="Q828" s="53"/>
      <c r="R828" s="53"/>
      <c r="S828" s="53"/>
      <c r="T828" s="36" t="s">
        <v>163</v>
      </c>
      <c r="U828" s="27">
        <f>SUM(U791:U827)</f>
        <v>126963375</v>
      </c>
      <c r="V828" s="27">
        <f>V792+V794+V799+V801+V807+V811+V812+V814+V819+V825</f>
        <v>16300000</v>
      </c>
      <c r="W828" s="150" t="s">
        <v>2527</v>
      </c>
      <c r="X828" s="53"/>
      <c r="Y828" s="2"/>
    </row>
    <row r="829" spans="1:25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4"/>
      <c r="M829" s="35"/>
      <c r="N829" s="54"/>
      <c r="O829" s="54"/>
      <c r="P829" s="54"/>
      <c r="Q829" s="53"/>
      <c r="R829" s="53"/>
      <c r="S829" s="53"/>
      <c r="T829" s="36" t="s">
        <v>544</v>
      </c>
      <c r="U829" s="101">
        <v>100000000</v>
      </c>
      <c r="V829" s="27">
        <f>V791+V798+V800+V804+V810+V816+V822</f>
        <v>15020000</v>
      </c>
      <c r="W829" s="150" t="s">
        <v>2528</v>
      </c>
      <c r="X829" s="53"/>
      <c r="Y829" s="2"/>
    </row>
    <row r="830" spans="1:25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35"/>
      <c r="N830" s="35"/>
      <c r="O830" s="35"/>
      <c r="P830" s="35"/>
      <c r="Q830" s="23"/>
      <c r="R830" s="23"/>
      <c r="S830" s="23"/>
      <c r="T830" s="36"/>
      <c r="U830" s="27">
        <f>U828-U829</f>
        <v>26963375</v>
      </c>
      <c r="V830" s="102"/>
      <c r="W830" s="55"/>
      <c r="X830" s="23"/>
      <c r="Y830" s="2"/>
    </row>
    <row r="831" spans="1:25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3"/>
      <c r="N831" s="22"/>
      <c r="O831" s="22"/>
      <c r="P831" s="22"/>
      <c r="Q831" s="22"/>
      <c r="R831" s="22"/>
      <c r="S831" s="22"/>
      <c r="T831" s="151" t="s">
        <v>165</v>
      </c>
      <c r="U831" s="27">
        <f>U828*15/100</f>
        <v>19044506.25</v>
      </c>
      <c r="V831" s="114"/>
      <c r="W831" s="22"/>
      <c r="X831" s="22"/>
      <c r="Y831" s="2"/>
    </row>
    <row r="832" spans="1:25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3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"/>
    </row>
    <row r="833" spans="1:25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3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"/>
    </row>
    <row r="834" spans="1:25" ht="45.75" customHeight="1">
      <c r="A834" s="798" t="s">
        <v>2529</v>
      </c>
      <c r="B834" s="799"/>
      <c r="C834" s="799"/>
      <c r="D834" s="799"/>
      <c r="E834" s="799"/>
      <c r="F834" s="799"/>
      <c r="G834" s="799"/>
      <c r="H834" s="799"/>
      <c r="I834" s="799"/>
      <c r="J834" s="799"/>
      <c r="K834" s="799"/>
      <c r="L834" s="799"/>
      <c r="M834" s="799"/>
      <c r="N834" s="799"/>
      <c r="O834" s="799"/>
      <c r="P834" s="799"/>
      <c r="Q834" s="799"/>
      <c r="R834" s="799"/>
      <c r="S834" s="799"/>
      <c r="T834" s="799"/>
      <c r="U834" s="799"/>
      <c r="V834" s="799"/>
      <c r="W834" s="799"/>
      <c r="X834" s="799"/>
      <c r="Y834" s="2"/>
    </row>
    <row r="835" spans="1:25" ht="30" customHeight="1">
      <c r="A835" s="115" t="s">
        <v>1</v>
      </c>
      <c r="B835" s="116" t="s">
        <v>2</v>
      </c>
      <c r="C835" s="117" t="s">
        <v>3</v>
      </c>
      <c r="D835" s="117" t="s">
        <v>4</v>
      </c>
      <c r="E835" s="117" t="s">
        <v>5</v>
      </c>
      <c r="F835" s="117" t="s">
        <v>6</v>
      </c>
      <c r="G835" s="117" t="s">
        <v>7</v>
      </c>
      <c r="H835" s="117" t="s">
        <v>167</v>
      </c>
      <c r="I835" s="117" t="s">
        <v>9</v>
      </c>
      <c r="J835" s="117" t="s">
        <v>10</v>
      </c>
      <c r="K835" s="117" t="s">
        <v>11</v>
      </c>
      <c r="L835" s="117" t="s">
        <v>12</v>
      </c>
      <c r="M835" s="118" t="s">
        <v>13</v>
      </c>
      <c r="N835" s="117" t="s">
        <v>14</v>
      </c>
      <c r="O835" s="117" t="s">
        <v>15</v>
      </c>
      <c r="P835" s="117" t="s">
        <v>16</v>
      </c>
      <c r="Q835" s="119" t="s">
        <v>17</v>
      </c>
      <c r="R835" s="120" t="s">
        <v>18</v>
      </c>
      <c r="S835" s="120" t="s">
        <v>19</v>
      </c>
      <c r="T835" s="120" t="s">
        <v>20</v>
      </c>
      <c r="U835" s="117" t="s">
        <v>21</v>
      </c>
      <c r="V835" s="117" t="s">
        <v>22</v>
      </c>
      <c r="W835" s="117" t="s">
        <v>23</v>
      </c>
      <c r="X835" s="117" t="s">
        <v>24</v>
      </c>
      <c r="Y835" s="2"/>
    </row>
    <row r="836" spans="1:25" ht="15.75" customHeight="1">
      <c r="A836" s="807" t="s">
        <v>25</v>
      </c>
      <c r="B836" s="808"/>
      <c r="C836" s="808"/>
      <c r="D836" s="808"/>
      <c r="E836" s="808"/>
      <c r="F836" s="808"/>
      <c r="G836" s="808"/>
      <c r="H836" s="808"/>
      <c r="I836" s="808"/>
      <c r="J836" s="808"/>
      <c r="K836" s="808"/>
      <c r="L836" s="808"/>
      <c r="M836" s="808"/>
      <c r="N836" s="808"/>
      <c r="O836" s="808"/>
      <c r="P836" s="808"/>
      <c r="Q836" s="808"/>
      <c r="R836" s="808"/>
      <c r="S836" s="808"/>
      <c r="T836" s="808"/>
      <c r="U836" s="808"/>
      <c r="V836" s="808"/>
      <c r="W836" s="808"/>
      <c r="X836" s="809"/>
      <c r="Y836" s="2"/>
    </row>
    <row r="837" spans="1:25" s="59" customFormat="1" ht="24.75" customHeight="1">
      <c r="A837" s="786"/>
      <c r="B837" s="860" t="s">
        <v>1375</v>
      </c>
      <c r="C837" s="786" t="s">
        <v>2530</v>
      </c>
      <c r="D837" s="860" t="s">
        <v>1733</v>
      </c>
      <c r="E837" s="854" t="s">
        <v>1700</v>
      </c>
      <c r="F837" s="96" t="s">
        <v>2531</v>
      </c>
      <c r="G837" s="914" t="s">
        <v>2532</v>
      </c>
      <c r="H837" s="786" t="s">
        <v>2533</v>
      </c>
      <c r="I837" s="785" t="s">
        <v>469</v>
      </c>
      <c r="J837" s="786" t="s">
        <v>2534</v>
      </c>
      <c r="K837" s="786" t="s">
        <v>99</v>
      </c>
      <c r="L837" s="793">
        <v>45169</v>
      </c>
      <c r="M837" s="793">
        <v>45174</v>
      </c>
      <c r="N837" s="793">
        <v>45175</v>
      </c>
      <c r="O837" s="793">
        <v>45175</v>
      </c>
      <c r="P837" s="793">
        <v>45176</v>
      </c>
      <c r="Q837" s="786" t="s">
        <v>1834</v>
      </c>
      <c r="R837" s="793">
        <v>45179</v>
      </c>
      <c r="S837" s="786" t="s">
        <v>2535</v>
      </c>
      <c r="T837" s="793" t="s">
        <v>2536</v>
      </c>
      <c r="U837" s="814">
        <v>3500000</v>
      </c>
      <c r="V837" s="814">
        <v>400000</v>
      </c>
      <c r="W837" s="814" t="s">
        <v>1384</v>
      </c>
      <c r="X837" s="810" t="s">
        <v>40</v>
      </c>
      <c r="Y837" s="60"/>
    </row>
    <row r="838" spans="1:25" s="59" customFormat="1" ht="24.75" customHeight="1">
      <c r="A838" s="786"/>
      <c r="B838" s="786"/>
      <c r="C838" s="786"/>
      <c r="D838" s="786"/>
      <c r="E838" s="854"/>
      <c r="F838" s="96" t="s">
        <v>2537</v>
      </c>
      <c r="G838" s="915"/>
      <c r="H838" s="786"/>
      <c r="I838" s="786"/>
      <c r="J838" s="786"/>
      <c r="K838" s="786"/>
      <c r="L838" s="793"/>
      <c r="M838" s="793"/>
      <c r="N838" s="793"/>
      <c r="O838" s="793"/>
      <c r="P838" s="793"/>
      <c r="Q838" s="786"/>
      <c r="R838" s="793"/>
      <c r="S838" s="786"/>
      <c r="T838" s="793"/>
      <c r="U838" s="814"/>
      <c r="V838" s="814"/>
      <c r="W838" s="814"/>
      <c r="X838" s="812"/>
      <c r="Y838" s="60"/>
    </row>
    <row r="839" spans="1:25" s="59" customFormat="1" ht="24.75" customHeight="1">
      <c r="A839" s="786"/>
      <c r="B839" s="786"/>
      <c r="C839" s="786"/>
      <c r="D839" s="786"/>
      <c r="E839" s="854"/>
      <c r="F839" s="96" t="s">
        <v>2538</v>
      </c>
      <c r="G839" s="915"/>
      <c r="H839" s="786"/>
      <c r="I839" s="786"/>
      <c r="J839" s="786"/>
      <c r="K839" s="786"/>
      <c r="L839" s="793"/>
      <c r="M839" s="793"/>
      <c r="N839" s="793"/>
      <c r="O839" s="793"/>
      <c r="P839" s="793"/>
      <c r="Q839" s="786"/>
      <c r="R839" s="793"/>
      <c r="S839" s="786"/>
      <c r="T839" s="793"/>
      <c r="U839" s="814"/>
      <c r="V839" s="814">
        <v>800000</v>
      </c>
      <c r="W839" s="814" t="s">
        <v>59</v>
      </c>
      <c r="X839" s="810">
        <v>44938</v>
      </c>
      <c r="Y839" s="60"/>
    </row>
    <row r="840" spans="1:25" s="59" customFormat="1" ht="24.75" customHeight="1">
      <c r="A840" s="786"/>
      <c r="B840" s="786"/>
      <c r="C840" s="786"/>
      <c r="D840" s="786"/>
      <c r="E840" s="854"/>
      <c r="F840" s="96" t="s">
        <v>2539</v>
      </c>
      <c r="G840" s="915"/>
      <c r="H840" s="786"/>
      <c r="I840" s="786"/>
      <c r="J840" s="786"/>
      <c r="K840" s="786"/>
      <c r="L840" s="793"/>
      <c r="M840" s="793"/>
      <c r="N840" s="793"/>
      <c r="O840" s="793"/>
      <c r="P840" s="793"/>
      <c r="Q840" s="786"/>
      <c r="R840" s="793"/>
      <c r="S840" s="786"/>
      <c r="T840" s="793"/>
      <c r="U840" s="814"/>
      <c r="V840" s="814"/>
      <c r="W840" s="814"/>
      <c r="X840" s="812"/>
      <c r="Y840" s="60"/>
    </row>
    <row r="841" spans="1:25" ht="24" customHeight="1">
      <c r="A841" s="136"/>
      <c r="B841" s="136" t="s">
        <v>1485</v>
      </c>
      <c r="C841" s="136" t="s">
        <v>2540</v>
      </c>
      <c r="D841" s="136" t="s">
        <v>1829</v>
      </c>
      <c r="E841" s="136" t="s">
        <v>2541</v>
      </c>
      <c r="F841" s="136" t="s">
        <v>2542</v>
      </c>
      <c r="G841" s="136" t="s">
        <v>1931</v>
      </c>
      <c r="H841" s="136" t="s">
        <v>2543</v>
      </c>
      <c r="I841" s="152" t="s">
        <v>2544</v>
      </c>
      <c r="J841" s="136" t="s">
        <v>2545</v>
      </c>
      <c r="K841" s="136" t="s">
        <v>304</v>
      </c>
      <c r="L841" s="153">
        <v>45160</v>
      </c>
      <c r="M841" s="153">
        <v>45175</v>
      </c>
      <c r="N841" s="153">
        <v>45177</v>
      </c>
      <c r="O841" s="153">
        <v>45177</v>
      </c>
      <c r="P841" s="153">
        <v>45178</v>
      </c>
      <c r="Q841" s="136" t="s">
        <v>2546</v>
      </c>
      <c r="R841" s="153">
        <v>45179</v>
      </c>
      <c r="S841" s="136" t="s">
        <v>2547</v>
      </c>
      <c r="T841" s="153">
        <v>45210</v>
      </c>
      <c r="U841" s="135">
        <v>1200000</v>
      </c>
      <c r="V841" s="135" t="s">
        <v>40</v>
      </c>
      <c r="W841" s="135" t="s">
        <v>40</v>
      </c>
      <c r="X841" s="136" t="s">
        <v>40</v>
      </c>
      <c r="Y841" s="2"/>
    </row>
    <row r="842" spans="1:25" ht="15.75" customHeight="1">
      <c r="A842" s="786"/>
      <c r="B842" s="860" t="s">
        <v>1977</v>
      </c>
      <c r="C842" s="786">
        <v>273187646</v>
      </c>
      <c r="D842" s="860" t="s">
        <v>1588</v>
      </c>
      <c r="E842" s="786" t="s">
        <v>2548</v>
      </c>
      <c r="F842" s="786" t="s">
        <v>2501</v>
      </c>
      <c r="G842" s="860" t="s">
        <v>71</v>
      </c>
      <c r="H842" s="786" t="s">
        <v>2467</v>
      </c>
      <c r="I842" s="785" t="s">
        <v>339</v>
      </c>
      <c r="J842" s="786" t="s">
        <v>2503</v>
      </c>
      <c r="K842" s="786" t="s">
        <v>1782</v>
      </c>
      <c r="L842" s="793">
        <v>45152</v>
      </c>
      <c r="M842" s="793">
        <v>45176</v>
      </c>
      <c r="N842" s="793">
        <v>45116</v>
      </c>
      <c r="O842" s="793">
        <v>45116</v>
      </c>
      <c r="P842" s="793">
        <v>45147</v>
      </c>
      <c r="Q842" s="786" t="s">
        <v>2549</v>
      </c>
      <c r="R842" s="793" t="s">
        <v>2550</v>
      </c>
      <c r="S842" s="786" t="s">
        <v>2551</v>
      </c>
      <c r="T842" s="793" t="s">
        <v>2184</v>
      </c>
      <c r="U842" s="814">
        <v>1200000</v>
      </c>
      <c r="V842" s="93">
        <v>100000</v>
      </c>
      <c r="W842" s="93" t="s">
        <v>59</v>
      </c>
      <c r="X842" s="94" t="s">
        <v>2435</v>
      </c>
      <c r="Y842" s="2"/>
    </row>
    <row r="843" spans="1:25" ht="15.75" customHeight="1">
      <c r="A843" s="786"/>
      <c r="B843" s="860"/>
      <c r="C843" s="786"/>
      <c r="D843" s="860"/>
      <c r="E843" s="786"/>
      <c r="F843" s="786"/>
      <c r="G843" s="860"/>
      <c r="H843" s="786"/>
      <c r="I843" s="786"/>
      <c r="J843" s="786"/>
      <c r="K843" s="786"/>
      <c r="L843" s="793"/>
      <c r="M843" s="793"/>
      <c r="N843" s="793"/>
      <c r="O843" s="793"/>
      <c r="P843" s="793"/>
      <c r="Q843" s="786"/>
      <c r="R843" s="793"/>
      <c r="S843" s="786"/>
      <c r="T843" s="793"/>
      <c r="U843" s="814"/>
      <c r="V843" s="93">
        <v>250000</v>
      </c>
      <c r="W843" s="93" t="s">
        <v>2277</v>
      </c>
      <c r="X843" s="94" t="s">
        <v>2435</v>
      </c>
      <c r="Y843" s="2"/>
    </row>
    <row r="844" spans="1:25" s="144" customFormat="1" ht="20.25" customHeight="1">
      <c r="A844" s="786"/>
      <c r="B844" s="786" t="s">
        <v>1375</v>
      </c>
      <c r="C844" s="786" t="s">
        <v>2552</v>
      </c>
      <c r="D844" s="786" t="s">
        <v>2335</v>
      </c>
      <c r="E844" s="786" t="s">
        <v>1966</v>
      </c>
      <c r="F844" s="786" t="s">
        <v>2553</v>
      </c>
      <c r="G844" s="786" t="s">
        <v>833</v>
      </c>
      <c r="H844" s="785" t="s">
        <v>2554</v>
      </c>
      <c r="I844" s="785" t="s">
        <v>2555</v>
      </c>
      <c r="J844" s="786" t="s">
        <v>2556</v>
      </c>
      <c r="K844" s="786" t="s">
        <v>2557</v>
      </c>
      <c r="L844" s="793">
        <v>45180</v>
      </c>
      <c r="M844" s="793">
        <v>45181</v>
      </c>
      <c r="N844" s="793">
        <v>45182</v>
      </c>
      <c r="O844" s="793">
        <v>45182</v>
      </c>
      <c r="P844" s="793">
        <v>45182</v>
      </c>
      <c r="Q844" s="786" t="s">
        <v>2558</v>
      </c>
      <c r="R844" s="793" t="s">
        <v>40</v>
      </c>
      <c r="S844" s="786" t="s">
        <v>2559</v>
      </c>
      <c r="T844" s="793" t="s">
        <v>2536</v>
      </c>
      <c r="U844" s="814">
        <v>787600</v>
      </c>
      <c r="V844" s="93" t="s">
        <v>40</v>
      </c>
      <c r="W844" s="93" t="s">
        <v>1384</v>
      </c>
      <c r="X844" s="94" t="s">
        <v>40</v>
      </c>
      <c r="Y844" s="145"/>
    </row>
    <row r="845" spans="1:25" s="144" customFormat="1" ht="20.25" customHeight="1">
      <c r="A845" s="786"/>
      <c r="B845" s="786"/>
      <c r="C845" s="786"/>
      <c r="D845" s="786"/>
      <c r="E845" s="786"/>
      <c r="F845" s="786"/>
      <c r="G845" s="786"/>
      <c r="H845" s="786"/>
      <c r="I845" s="786"/>
      <c r="J845" s="786"/>
      <c r="K845" s="786"/>
      <c r="L845" s="793"/>
      <c r="M845" s="793"/>
      <c r="N845" s="793"/>
      <c r="O845" s="793"/>
      <c r="P845" s="793"/>
      <c r="Q845" s="786"/>
      <c r="R845" s="793"/>
      <c r="S845" s="786"/>
      <c r="T845" s="793"/>
      <c r="U845" s="814"/>
      <c r="V845" s="93">
        <v>200000</v>
      </c>
      <c r="W845" s="93" t="s">
        <v>59</v>
      </c>
      <c r="X845" s="94">
        <v>44938</v>
      </c>
      <c r="Y845" s="145"/>
    </row>
    <row r="846" spans="1:25" ht="15.75" customHeight="1">
      <c r="A846" s="786"/>
      <c r="B846" s="860" t="s">
        <v>1977</v>
      </c>
      <c r="C846" s="786" t="s">
        <v>2560</v>
      </c>
      <c r="D846" s="860" t="s">
        <v>1588</v>
      </c>
      <c r="E846" s="786" t="s">
        <v>1966</v>
      </c>
      <c r="F846" s="96" t="s">
        <v>2561</v>
      </c>
      <c r="G846" s="860" t="s">
        <v>49</v>
      </c>
      <c r="H846" s="786" t="s">
        <v>2562</v>
      </c>
      <c r="I846" s="785" t="s">
        <v>492</v>
      </c>
      <c r="J846" s="786" t="s">
        <v>2563</v>
      </c>
      <c r="K846" s="786" t="s">
        <v>99</v>
      </c>
      <c r="L846" s="793">
        <v>45178</v>
      </c>
      <c r="M846" s="793">
        <v>45184</v>
      </c>
      <c r="N846" s="793" t="s">
        <v>2564</v>
      </c>
      <c r="O846" s="793" t="s">
        <v>2565</v>
      </c>
      <c r="P846" s="793" t="s">
        <v>2566</v>
      </c>
      <c r="Q846" s="786" t="s">
        <v>2567</v>
      </c>
      <c r="R846" s="793">
        <v>45026</v>
      </c>
      <c r="S846" s="786" t="s">
        <v>2568</v>
      </c>
      <c r="T846" s="793" t="s">
        <v>2184</v>
      </c>
      <c r="U846" s="814">
        <v>1600000</v>
      </c>
      <c r="V846" s="93">
        <v>150000</v>
      </c>
      <c r="W846" s="93" t="s">
        <v>59</v>
      </c>
      <c r="X846" s="94" t="s">
        <v>2435</v>
      </c>
      <c r="Y846" s="2"/>
    </row>
    <row r="847" spans="1:25" ht="15.75" customHeight="1">
      <c r="A847" s="786"/>
      <c r="B847" s="860"/>
      <c r="C847" s="786"/>
      <c r="D847" s="860"/>
      <c r="E847" s="786"/>
      <c r="F847" s="96" t="s">
        <v>2569</v>
      </c>
      <c r="G847" s="860"/>
      <c r="H847" s="786"/>
      <c r="I847" s="786"/>
      <c r="J847" s="786"/>
      <c r="K847" s="786"/>
      <c r="L847" s="793"/>
      <c r="M847" s="793"/>
      <c r="N847" s="793"/>
      <c r="O847" s="793"/>
      <c r="P847" s="793"/>
      <c r="Q847" s="786"/>
      <c r="R847" s="793"/>
      <c r="S847" s="786"/>
      <c r="T847" s="793"/>
      <c r="U847" s="814"/>
      <c r="V847" s="840">
        <v>350000</v>
      </c>
      <c r="W847" s="840" t="s">
        <v>2277</v>
      </c>
      <c r="X847" s="793" t="s">
        <v>2435</v>
      </c>
      <c r="Y847" s="2"/>
    </row>
    <row r="848" spans="1:25" ht="15.75" customHeight="1">
      <c r="A848" s="786"/>
      <c r="B848" s="860"/>
      <c r="C848" s="786"/>
      <c r="D848" s="860"/>
      <c r="E848" s="786"/>
      <c r="F848" s="96" t="s">
        <v>2570</v>
      </c>
      <c r="G848" s="860"/>
      <c r="H848" s="786"/>
      <c r="I848" s="786"/>
      <c r="J848" s="786"/>
      <c r="K848" s="786"/>
      <c r="L848" s="793"/>
      <c r="M848" s="793"/>
      <c r="N848" s="793"/>
      <c r="O848" s="793"/>
      <c r="P848" s="793"/>
      <c r="Q848" s="786"/>
      <c r="R848" s="793"/>
      <c r="S848" s="786"/>
      <c r="T848" s="793"/>
      <c r="U848" s="814"/>
      <c r="V848" s="842"/>
      <c r="W848" s="842"/>
      <c r="X848" s="793"/>
      <c r="Y848" s="2"/>
    </row>
    <row r="849" spans="1:25" s="154" customFormat="1" ht="20.25" customHeight="1">
      <c r="A849" s="857"/>
      <c r="B849" s="857" t="s">
        <v>1375</v>
      </c>
      <c r="C849" s="857" t="s">
        <v>2571</v>
      </c>
      <c r="D849" s="857" t="s">
        <v>1588</v>
      </c>
      <c r="E849" s="857" t="s">
        <v>1572</v>
      </c>
      <c r="F849" s="857" t="s">
        <v>2572</v>
      </c>
      <c r="G849" s="857" t="s">
        <v>71</v>
      </c>
      <c r="H849" s="857" t="s">
        <v>2573</v>
      </c>
      <c r="I849" s="941" t="s">
        <v>2574</v>
      </c>
      <c r="J849" s="857" t="s">
        <v>2575</v>
      </c>
      <c r="K849" s="857" t="s">
        <v>2576</v>
      </c>
      <c r="L849" s="838">
        <v>45175</v>
      </c>
      <c r="M849" s="838">
        <v>45185</v>
      </c>
      <c r="N849" s="838" t="s">
        <v>2564</v>
      </c>
      <c r="O849" s="838" t="s">
        <v>2577</v>
      </c>
      <c r="P849" s="838" t="s">
        <v>2577</v>
      </c>
      <c r="Q849" s="857" t="s">
        <v>2578</v>
      </c>
      <c r="R849" s="838"/>
      <c r="S849" s="857"/>
      <c r="T849" s="838"/>
      <c r="U849" s="930">
        <v>900000</v>
      </c>
      <c r="V849" s="157">
        <v>100000</v>
      </c>
      <c r="W849" s="157" t="s">
        <v>1384</v>
      </c>
      <c r="X849" s="156" t="s">
        <v>40</v>
      </c>
      <c r="Y849" s="158"/>
    </row>
    <row r="850" spans="1:25" s="154" customFormat="1" ht="20.25" customHeight="1">
      <c r="A850" s="857"/>
      <c r="B850" s="857"/>
      <c r="C850" s="857"/>
      <c r="D850" s="857"/>
      <c r="E850" s="857"/>
      <c r="F850" s="857"/>
      <c r="G850" s="857"/>
      <c r="H850" s="857"/>
      <c r="I850" s="857"/>
      <c r="J850" s="857"/>
      <c r="K850" s="857"/>
      <c r="L850" s="838"/>
      <c r="M850" s="838"/>
      <c r="N850" s="838"/>
      <c r="O850" s="838"/>
      <c r="P850" s="838"/>
      <c r="Q850" s="857"/>
      <c r="R850" s="838"/>
      <c r="S850" s="857"/>
      <c r="T850" s="838"/>
      <c r="U850" s="930"/>
      <c r="V850" s="157">
        <v>200000</v>
      </c>
      <c r="W850" s="157" t="s">
        <v>59</v>
      </c>
      <c r="X850" s="156"/>
      <c r="Y850" s="158"/>
    </row>
    <row r="851" spans="1:25" ht="24" customHeight="1">
      <c r="A851" s="136"/>
      <c r="B851" s="136" t="s">
        <v>1485</v>
      </c>
      <c r="C851" s="136" t="s">
        <v>2579</v>
      </c>
      <c r="D851" s="136" t="s">
        <v>1829</v>
      </c>
      <c r="E851" s="136" t="s">
        <v>1651</v>
      </c>
      <c r="F851" s="136" t="s">
        <v>2580</v>
      </c>
      <c r="G851" s="136" t="s">
        <v>71</v>
      </c>
      <c r="H851" s="136" t="s">
        <v>2581</v>
      </c>
      <c r="I851" s="152" t="s">
        <v>1475</v>
      </c>
      <c r="J851" s="136" t="s">
        <v>2582</v>
      </c>
      <c r="K851" s="136" t="s">
        <v>99</v>
      </c>
      <c r="L851" s="153">
        <v>45168</v>
      </c>
      <c r="M851" s="153">
        <v>45188</v>
      </c>
      <c r="N851" s="153" t="s">
        <v>2565</v>
      </c>
      <c r="O851" s="153" t="s">
        <v>2565</v>
      </c>
      <c r="P851" s="153" t="s">
        <v>2566</v>
      </c>
      <c r="Q851" s="136" t="s">
        <v>78</v>
      </c>
      <c r="R851" s="153">
        <v>45179</v>
      </c>
      <c r="S851" s="136" t="s">
        <v>2583</v>
      </c>
      <c r="T851" s="153">
        <v>45210</v>
      </c>
      <c r="U851" s="135">
        <v>1100000</v>
      </c>
      <c r="V851" s="135" t="s">
        <v>40</v>
      </c>
      <c r="W851" s="135" t="s">
        <v>40</v>
      </c>
      <c r="X851" s="136" t="s">
        <v>40</v>
      </c>
      <c r="Y851" s="2"/>
    </row>
    <row r="852" spans="1:25" ht="15.75" customHeight="1">
      <c r="A852" s="787"/>
      <c r="B852" s="787" t="s">
        <v>1375</v>
      </c>
      <c r="C852" s="787" t="s">
        <v>2584</v>
      </c>
      <c r="D852" s="787" t="s">
        <v>2135</v>
      </c>
      <c r="E852" s="867" t="s">
        <v>2585</v>
      </c>
      <c r="F852" s="96" t="s">
        <v>2586</v>
      </c>
      <c r="G852" s="869" t="s">
        <v>1458</v>
      </c>
      <c r="H852" s="787" t="s">
        <v>2587</v>
      </c>
      <c r="I852" s="790" t="s">
        <v>576</v>
      </c>
      <c r="J852" s="787" t="s">
        <v>2588</v>
      </c>
      <c r="K852" s="787" t="s">
        <v>1782</v>
      </c>
      <c r="L852" s="796">
        <v>45175</v>
      </c>
      <c r="M852" s="796">
        <v>45189</v>
      </c>
      <c r="N852" s="905" t="s">
        <v>2565</v>
      </c>
      <c r="O852" s="905" t="s">
        <v>2566</v>
      </c>
      <c r="P852" s="905" t="s">
        <v>2566</v>
      </c>
      <c r="Q852" s="795" t="s">
        <v>40</v>
      </c>
      <c r="R852" s="796" t="s">
        <v>2565</v>
      </c>
      <c r="S852" s="795" t="s">
        <v>2589</v>
      </c>
      <c r="T852" s="905">
        <v>45088</v>
      </c>
      <c r="U852" s="923">
        <v>30700000</v>
      </c>
      <c r="V852" s="945">
        <v>18500000</v>
      </c>
      <c r="W852" s="945" t="s">
        <v>1384</v>
      </c>
      <c r="X852" s="968" t="s">
        <v>40</v>
      </c>
      <c r="Y852" s="2"/>
    </row>
    <row r="853" spans="1:25" ht="15.75" customHeight="1">
      <c r="A853" s="788"/>
      <c r="B853" s="788"/>
      <c r="C853" s="788"/>
      <c r="D853" s="788"/>
      <c r="E853" s="906"/>
      <c r="F853" s="96" t="s">
        <v>2590</v>
      </c>
      <c r="G853" s="856"/>
      <c r="H853" s="788"/>
      <c r="I853" s="788"/>
      <c r="J853" s="788"/>
      <c r="K853" s="788"/>
      <c r="L853" s="813"/>
      <c r="M853" s="813"/>
      <c r="N853" s="813"/>
      <c r="O853" s="813"/>
      <c r="P853" s="813"/>
      <c r="Q853" s="788"/>
      <c r="R853" s="813"/>
      <c r="S853" s="788"/>
      <c r="T853" s="813"/>
      <c r="U853" s="923"/>
      <c r="V853" s="946"/>
      <c r="W853" s="946"/>
      <c r="X853" s="969"/>
      <c r="Y853" s="2"/>
    </row>
    <row r="854" spans="1:25" ht="15.75" customHeight="1">
      <c r="A854" s="788"/>
      <c r="B854" s="788"/>
      <c r="C854" s="788"/>
      <c r="D854" s="788"/>
      <c r="E854" s="906"/>
      <c r="F854" s="96" t="s">
        <v>2591</v>
      </c>
      <c r="G854" s="856"/>
      <c r="H854" s="788"/>
      <c r="I854" s="788"/>
      <c r="J854" s="788"/>
      <c r="K854" s="788"/>
      <c r="L854" s="813"/>
      <c r="M854" s="813"/>
      <c r="N854" s="813"/>
      <c r="O854" s="813"/>
      <c r="P854" s="813"/>
      <c r="Q854" s="788"/>
      <c r="R854" s="813"/>
      <c r="S854" s="788"/>
      <c r="T854" s="813"/>
      <c r="U854" s="923"/>
      <c r="V854" s="946"/>
      <c r="W854" s="946"/>
      <c r="X854" s="969"/>
      <c r="Y854" s="2"/>
    </row>
    <row r="855" spans="1:25" ht="15.75" customHeight="1">
      <c r="A855" s="788"/>
      <c r="B855" s="788"/>
      <c r="C855" s="788"/>
      <c r="D855" s="788"/>
      <c r="E855" s="906"/>
      <c r="F855" s="96" t="s">
        <v>2592</v>
      </c>
      <c r="G855" s="856"/>
      <c r="H855" s="788"/>
      <c r="I855" s="788"/>
      <c r="J855" s="788"/>
      <c r="K855" s="788"/>
      <c r="L855" s="813"/>
      <c r="M855" s="813"/>
      <c r="N855" s="813"/>
      <c r="O855" s="813"/>
      <c r="P855" s="813"/>
      <c r="Q855" s="788"/>
      <c r="R855" s="813"/>
      <c r="S855" s="788"/>
      <c r="T855" s="813"/>
      <c r="U855" s="923"/>
      <c r="V855" s="946"/>
      <c r="W855" s="946"/>
      <c r="X855" s="969"/>
      <c r="Y855" s="2"/>
    </row>
    <row r="856" spans="1:25" ht="15.75" customHeight="1">
      <c r="A856" s="788"/>
      <c r="B856" s="788"/>
      <c r="C856" s="788"/>
      <c r="D856" s="788"/>
      <c r="E856" s="906"/>
      <c r="F856" s="96" t="s">
        <v>2593</v>
      </c>
      <c r="G856" s="856"/>
      <c r="H856" s="788"/>
      <c r="I856" s="788"/>
      <c r="J856" s="788"/>
      <c r="K856" s="788"/>
      <c r="L856" s="813"/>
      <c r="M856" s="813"/>
      <c r="N856" s="813"/>
      <c r="O856" s="813"/>
      <c r="P856" s="813"/>
      <c r="Q856" s="788"/>
      <c r="R856" s="813"/>
      <c r="S856" s="788"/>
      <c r="T856" s="813"/>
      <c r="U856" s="923"/>
      <c r="V856" s="947"/>
      <c r="W856" s="947"/>
      <c r="X856" s="970"/>
      <c r="Y856" s="2"/>
    </row>
    <row r="857" spans="1:25" ht="15.75" customHeight="1">
      <c r="A857" s="788"/>
      <c r="B857" s="788"/>
      <c r="C857" s="788"/>
      <c r="D857" s="788"/>
      <c r="E857" s="906"/>
      <c r="F857" s="96" t="s">
        <v>2594</v>
      </c>
      <c r="G857" s="856"/>
      <c r="H857" s="788"/>
      <c r="I857" s="788"/>
      <c r="J857" s="788"/>
      <c r="K857" s="788"/>
      <c r="L857" s="813"/>
      <c r="M857" s="813"/>
      <c r="N857" s="813"/>
      <c r="O857" s="813"/>
      <c r="P857" s="813"/>
      <c r="Q857" s="788"/>
      <c r="R857" s="813"/>
      <c r="S857" s="788"/>
      <c r="T857" s="813"/>
      <c r="U857" s="923"/>
      <c r="V857" s="840">
        <v>7000000</v>
      </c>
      <c r="W857" s="840" t="s">
        <v>59</v>
      </c>
      <c r="X857" s="810" t="s">
        <v>2494</v>
      </c>
      <c r="Y857" s="2"/>
    </row>
    <row r="858" spans="1:25" ht="15.75" customHeight="1">
      <c r="A858" s="788"/>
      <c r="B858" s="788"/>
      <c r="C858" s="788"/>
      <c r="D858" s="788"/>
      <c r="E858" s="906"/>
      <c r="F858" s="96" t="s">
        <v>2595</v>
      </c>
      <c r="G858" s="856"/>
      <c r="H858" s="788"/>
      <c r="I858" s="788"/>
      <c r="J858" s="788"/>
      <c r="K858" s="788"/>
      <c r="L858" s="813"/>
      <c r="M858" s="813"/>
      <c r="N858" s="813"/>
      <c r="O858" s="813"/>
      <c r="P858" s="813"/>
      <c r="Q858" s="788"/>
      <c r="R858" s="813"/>
      <c r="S858" s="788"/>
      <c r="T858" s="813"/>
      <c r="U858" s="923"/>
      <c r="V858" s="841"/>
      <c r="W858" s="841"/>
      <c r="X858" s="811"/>
      <c r="Y858" s="2"/>
    </row>
    <row r="859" spans="1:25" ht="15.75" customHeight="1">
      <c r="A859" s="788"/>
      <c r="B859" s="788"/>
      <c r="C859" s="788"/>
      <c r="D859" s="788"/>
      <c r="E859" s="906"/>
      <c r="F859" s="96" t="s">
        <v>2596</v>
      </c>
      <c r="G859" s="856"/>
      <c r="H859" s="788"/>
      <c r="I859" s="788"/>
      <c r="J859" s="788"/>
      <c r="K859" s="788"/>
      <c r="L859" s="813"/>
      <c r="M859" s="813"/>
      <c r="N859" s="813"/>
      <c r="O859" s="813"/>
      <c r="P859" s="813"/>
      <c r="Q859" s="788"/>
      <c r="R859" s="813"/>
      <c r="S859" s="788"/>
      <c r="T859" s="813"/>
      <c r="U859" s="923"/>
      <c r="V859" s="841"/>
      <c r="W859" s="841"/>
      <c r="X859" s="811"/>
      <c r="Y859" s="2"/>
    </row>
    <row r="860" spans="1:25" ht="15.75" customHeight="1">
      <c r="A860" s="788"/>
      <c r="B860" s="788"/>
      <c r="C860" s="788"/>
      <c r="D860" s="788"/>
      <c r="E860" s="906"/>
      <c r="F860" s="96" t="s">
        <v>2597</v>
      </c>
      <c r="G860" s="856"/>
      <c r="H860" s="788"/>
      <c r="I860" s="788"/>
      <c r="J860" s="788"/>
      <c r="K860" s="788"/>
      <c r="L860" s="813"/>
      <c r="M860" s="813"/>
      <c r="N860" s="813"/>
      <c r="O860" s="813"/>
      <c r="P860" s="813"/>
      <c r="Q860" s="788"/>
      <c r="R860" s="813"/>
      <c r="S860" s="788"/>
      <c r="T860" s="813"/>
      <c r="U860" s="923"/>
      <c r="V860" s="841"/>
      <c r="W860" s="841"/>
      <c r="X860" s="811"/>
      <c r="Y860" s="2"/>
    </row>
    <row r="861" spans="1:25" ht="15.75" customHeight="1">
      <c r="A861" s="788"/>
      <c r="B861" s="788"/>
      <c r="C861" s="788"/>
      <c r="D861" s="788"/>
      <c r="E861" s="906"/>
      <c r="F861" s="110" t="s">
        <v>2598</v>
      </c>
      <c r="G861" s="856"/>
      <c r="H861" s="788"/>
      <c r="I861" s="788"/>
      <c r="J861" s="788"/>
      <c r="K861" s="788"/>
      <c r="L861" s="813"/>
      <c r="M861" s="813"/>
      <c r="N861" s="813"/>
      <c r="O861" s="813"/>
      <c r="P861" s="813"/>
      <c r="Q861" s="788"/>
      <c r="R861" s="813"/>
      <c r="S861" s="788"/>
      <c r="T861" s="813"/>
      <c r="U861" s="923"/>
      <c r="V861" s="842"/>
      <c r="W861" s="842"/>
      <c r="X861" s="812"/>
      <c r="Y861" s="2"/>
    </row>
    <row r="862" spans="1:25" s="59" customFormat="1" ht="15.75" customHeight="1">
      <c r="A862" s="786"/>
      <c r="B862" s="786" t="s">
        <v>1375</v>
      </c>
      <c r="C862" s="786" t="s">
        <v>2599</v>
      </c>
      <c r="D862" s="786" t="s">
        <v>1588</v>
      </c>
      <c r="E862" s="786" t="s">
        <v>2585</v>
      </c>
      <c r="F862" s="96" t="s">
        <v>2600</v>
      </c>
      <c r="G862" s="786" t="s">
        <v>1521</v>
      </c>
      <c r="H862" s="786" t="s">
        <v>2601</v>
      </c>
      <c r="I862" s="785" t="s">
        <v>509</v>
      </c>
      <c r="J862" s="786" t="s">
        <v>2588</v>
      </c>
      <c r="K862" s="786" t="s">
        <v>1782</v>
      </c>
      <c r="L862" s="793">
        <v>45175</v>
      </c>
      <c r="M862" s="793">
        <v>45189</v>
      </c>
      <c r="N862" s="793" t="s">
        <v>2565</v>
      </c>
      <c r="O862" s="793" t="s">
        <v>2565</v>
      </c>
      <c r="P862" s="793" t="s">
        <v>2566</v>
      </c>
      <c r="Q862" s="786" t="s">
        <v>40</v>
      </c>
      <c r="R862" s="786" t="s">
        <v>2565</v>
      </c>
      <c r="S862" s="786" t="s">
        <v>2602</v>
      </c>
      <c r="T862" s="793">
        <v>45088</v>
      </c>
      <c r="U862" s="814">
        <v>10875300</v>
      </c>
      <c r="V862" s="814">
        <v>5250000</v>
      </c>
      <c r="W862" s="814" t="s">
        <v>1384</v>
      </c>
      <c r="X862" s="793" t="s">
        <v>40</v>
      </c>
      <c r="Y862" s="60"/>
    </row>
    <row r="863" spans="1:25" s="59" customFormat="1" ht="15.75" customHeight="1">
      <c r="A863" s="786"/>
      <c r="B863" s="786"/>
      <c r="C863" s="786"/>
      <c r="D863" s="786"/>
      <c r="E863" s="786"/>
      <c r="F863" s="96" t="s">
        <v>2603</v>
      </c>
      <c r="G863" s="786"/>
      <c r="H863" s="786"/>
      <c r="I863" s="786"/>
      <c r="J863" s="786"/>
      <c r="K863" s="786"/>
      <c r="L863" s="793"/>
      <c r="M863" s="793"/>
      <c r="N863" s="793"/>
      <c r="O863" s="793"/>
      <c r="P863" s="793"/>
      <c r="Q863" s="786"/>
      <c r="R863" s="786"/>
      <c r="S863" s="786"/>
      <c r="T863" s="793"/>
      <c r="U863" s="814"/>
      <c r="V863" s="814"/>
      <c r="W863" s="814"/>
      <c r="X863" s="793"/>
      <c r="Y863" s="60"/>
    </row>
    <row r="864" spans="1:25" s="59" customFormat="1" ht="24.75" customHeight="1">
      <c r="A864" s="786"/>
      <c r="B864" s="786"/>
      <c r="C864" s="786"/>
      <c r="D864" s="786"/>
      <c r="E864" s="786"/>
      <c r="F864" s="96" t="s">
        <v>2604</v>
      </c>
      <c r="G864" s="786"/>
      <c r="H864" s="786"/>
      <c r="I864" s="786"/>
      <c r="J864" s="786"/>
      <c r="K864" s="786"/>
      <c r="L864" s="793"/>
      <c r="M864" s="793"/>
      <c r="N864" s="793"/>
      <c r="O864" s="793"/>
      <c r="P864" s="793"/>
      <c r="Q864" s="786"/>
      <c r="R864" s="786"/>
      <c r="S864" s="786"/>
      <c r="T864" s="793"/>
      <c r="U864" s="814"/>
      <c r="V864" s="93">
        <v>2100000</v>
      </c>
      <c r="W864" s="93" t="s">
        <v>59</v>
      </c>
      <c r="X864" s="94" t="s">
        <v>2494</v>
      </c>
      <c r="Y864" s="60"/>
    </row>
    <row r="865" spans="1:25" s="144" customFormat="1" ht="20.25" customHeight="1">
      <c r="A865" s="788"/>
      <c r="B865" s="788" t="s">
        <v>1375</v>
      </c>
      <c r="C865" s="788" t="s">
        <v>2605</v>
      </c>
      <c r="D865" s="788" t="s">
        <v>2406</v>
      </c>
      <c r="E865" s="788" t="s">
        <v>2606</v>
      </c>
      <c r="F865" s="788" t="s">
        <v>2607</v>
      </c>
      <c r="G865" s="788" t="s">
        <v>71</v>
      </c>
      <c r="H865" s="788" t="s">
        <v>2608</v>
      </c>
      <c r="I865" s="819" t="s">
        <v>458</v>
      </c>
      <c r="J865" s="788" t="s">
        <v>2609</v>
      </c>
      <c r="K865" s="788" t="s">
        <v>1782</v>
      </c>
      <c r="L865" s="813">
        <v>45170</v>
      </c>
      <c r="M865" s="813">
        <v>45190</v>
      </c>
      <c r="N865" s="813" t="s">
        <v>2566</v>
      </c>
      <c r="O865" s="813" t="s">
        <v>2566</v>
      </c>
      <c r="P865" s="813" t="s">
        <v>2610</v>
      </c>
      <c r="Q865" s="788" t="s">
        <v>40</v>
      </c>
      <c r="R865" s="813" t="s">
        <v>2565</v>
      </c>
      <c r="S865" s="788" t="s">
        <v>2611</v>
      </c>
      <c r="T865" s="813">
        <v>45088</v>
      </c>
      <c r="U865" s="845">
        <v>6245760</v>
      </c>
      <c r="V865" s="20">
        <v>1500000</v>
      </c>
      <c r="W865" s="20" t="s">
        <v>1384</v>
      </c>
      <c r="X865" s="40" t="s">
        <v>40</v>
      </c>
      <c r="Y865" s="145"/>
    </row>
    <row r="866" spans="1:25" s="144" customFormat="1" ht="20.25" customHeight="1">
      <c r="A866" s="792"/>
      <c r="B866" s="792"/>
      <c r="C866" s="792"/>
      <c r="D866" s="792"/>
      <c r="E866" s="792"/>
      <c r="F866" s="900"/>
      <c r="G866" s="792"/>
      <c r="H866" s="792"/>
      <c r="I866" s="792"/>
      <c r="J866" s="792"/>
      <c r="K866" s="792"/>
      <c r="L866" s="797"/>
      <c r="M866" s="797"/>
      <c r="N866" s="797"/>
      <c r="O866" s="797"/>
      <c r="P866" s="797"/>
      <c r="Q866" s="792"/>
      <c r="R866" s="797"/>
      <c r="S866" s="792"/>
      <c r="T866" s="797"/>
      <c r="U866" s="844"/>
      <c r="V866" s="14">
        <v>700000</v>
      </c>
      <c r="W866" s="93" t="s">
        <v>59</v>
      </c>
      <c r="X866" s="12" t="s">
        <v>2494</v>
      </c>
      <c r="Y866" s="145"/>
    </row>
    <row r="867" spans="1:25" s="154" customFormat="1" ht="20.25" customHeight="1">
      <c r="A867" s="857"/>
      <c r="B867" s="857" t="s">
        <v>1375</v>
      </c>
      <c r="C867" s="857" t="s">
        <v>2612</v>
      </c>
      <c r="D867" s="857" t="s">
        <v>1588</v>
      </c>
      <c r="E867" s="857" t="s">
        <v>1572</v>
      </c>
      <c r="F867" s="857" t="s">
        <v>2613</v>
      </c>
      <c r="G867" s="857" t="s">
        <v>71</v>
      </c>
      <c r="H867" s="857" t="s">
        <v>2614</v>
      </c>
      <c r="I867" s="941" t="s">
        <v>2615</v>
      </c>
      <c r="J867" s="857" t="s">
        <v>2616</v>
      </c>
      <c r="K867" s="857" t="s">
        <v>2617</v>
      </c>
      <c r="L867" s="838">
        <v>45182</v>
      </c>
      <c r="M867" s="838">
        <v>45191</v>
      </c>
      <c r="N867" s="838" t="s">
        <v>2618</v>
      </c>
      <c r="O867" s="838" t="s">
        <v>2618</v>
      </c>
      <c r="P867" s="838" t="s">
        <v>2619</v>
      </c>
      <c r="Q867" s="857" t="s">
        <v>2620</v>
      </c>
      <c r="R867" s="838"/>
      <c r="S867" s="857"/>
      <c r="T867" s="838"/>
      <c r="U867" s="930">
        <v>900000</v>
      </c>
      <c r="V867" s="157">
        <v>100000</v>
      </c>
      <c r="W867" s="157" t="s">
        <v>1384</v>
      </c>
      <c r="X867" s="156" t="s">
        <v>40</v>
      </c>
      <c r="Y867" s="158"/>
    </row>
    <row r="868" spans="1:25" s="154" customFormat="1" ht="20.25" customHeight="1">
      <c r="A868" s="857"/>
      <c r="B868" s="857"/>
      <c r="C868" s="857"/>
      <c r="D868" s="857"/>
      <c r="E868" s="857"/>
      <c r="F868" s="857"/>
      <c r="G868" s="857"/>
      <c r="H868" s="857"/>
      <c r="I868" s="857"/>
      <c r="J868" s="857"/>
      <c r="K868" s="857"/>
      <c r="L868" s="838"/>
      <c r="M868" s="838"/>
      <c r="N868" s="838"/>
      <c r="O868" s="838"/>
      <c r="P868" s="838"/>
      <c r="Q868" s="857"/>
      <c r="R868" s="838"/>
      <c r="S868" s="857"/>
      <c r="T868" s="838"/>
      <c r="U868" s="930"/>
      <c r="V868" s="157">
        <v>200000</v>
      </c>
      <c r="W868" s="157" t="s">
        <v>59</v>
      </c>
      <c r="X868" s="156"/>
      <c r="Y868" s="158"/>
    </row>
    <row r="869" spans="1:25" s="144" customFormat="1" ht="20.25" customHeight="1">
      <c r="A869" s="788"/>
      <c r="B869" s="788" t="s">
        <v>1375</v>
      </c>
      <c r="C869" s="788" t="s">
        <v>2621</v>
      </c>
      <c r="D869" s="788" t="s">
        <v>2406</v>
      </c>
      <c r="E869" s="788" t="s">
        <v>2622</v>
      </c>
      <c r="F869" s="853" t="s">
        <v>2623</v>
      </c>
      <c r="G869" s="788" t="s">
        <v>71</v>
      </c>
      <c r="H869" s="788" t="s">
        <v>2624</v>
      </c>
      <c r="I869" s="819" t="s">
        <v>2625</v>
      </c>
      <c r="J869" s="788" t="s">
        <v>2626</v>
      </c>
      <c r="K869" s="788" t="s">
        <v>304</v>
      </c>
      <c r="L869" s="813">
        <v>45181</v>
      </c>
      <c r="M869" s="813">
        <v>45191</v>
      </c>
      <c r="N869" s="813" t="s">
        <v>2627</v>
      </c>
      <c r="O869" s="813" t="s">
        <v>2627</v>
      </c>
      <c r="P869" s="813" t="s">
        <v>2618</v>
      </c>
      <c r="Q869" s="788" t="s">
        <v>40</v>
      </c>
      <c r="R869" s="813" t="s">
        <v>2565</v>
      </c>
      <c r="S869" s="788" t="s">
        <v>2628</v>
      </c>
      <c r="T869" s="813">
        <v>45088</v>
      </c>
      <c r="U869" s="845">
        <v>4940000</v>
      </c>
      <c r="V869" s="20">
        <v>1500000</v>
      </c>
      <c r="W869" s="20" t="s">
        <v>1384</v>
      </c>
      <c r="X869" s="40" t="s">
        <v>40</v>
      </c>
      <c r="Y869" s="145"/>
    </row>
    <row r="870" spans="1:25" s="144" customFormat="1" ht="20.25" customHeight="1">
      <c r="A870" s="792"/>
      <c r="B870" s="792"/>
      <c r="C870" s="792"/>
      <c r="D870" s="792"/>
      <c r="E870" s="792"/>
      <c r="F870" s="900"/>
      <c r="G870" s="792"/>
      <c r="H870" s="792"/>
      <c r="I870" s="792"/>
      <c r="J870" s="792"/>
      <c r="K870" s="792"/>
      <c r="L870" s="797"/>
      <c r="M870" s="797"/>
      <c r="N870" s="797"/>
      <c r="O870" s="797"/>
      <c r="P870" s="797"/>
      <c r="Q870" s="792"/>
      <c r="R870" s="797"/>
      <c r="S870" s="792"/>
      <c r="T870" s="797"/>
      <c r="U870" s="844"/>
      <c r="V870" s="14">
        <v>700000</v>
      </c>
      <c r="W870" s="93" t="s">
        <v>59</v>
      </c>
      <c r="X870" s="12" t="s">
        <v>2494</v>
      </c>
      <c r="Y870" s="145"/>
    </row>
    <row r="871" spans="1:25" s="59" customFormat="1" ht="24.75" customHeight="1">
      <c r="A871" s="786"/>
      <c r="B871" s="860" t="s">
        <v>1375</v>
      </c>
      <c r="C871" s="786" t="s">
        <v>2629</v>
      </c>
      <c r="D871" s="860" t="s">
        <v>2406</v>
      </c>
      <c r="E871" s="786" t="s">
        <v>1700</v>
      </c>
      <c r="F871" s="96" t="s">
        <v>2630</v>
      </c>
      <c r="G871" s="860" t="s">
        <v>2631</v>
      </c>
      <c r="H871" s="786" t="s">
        <v>2632</v>
      </c>
      <c r="I871" s="785" t="s">
        <v>580</v>
      </c>
      <c r="J871" s="786" t="s">
        <v>2633</v>
      </c>
      <c r="K871" s="786" t="s">
        <v>99</v>
      </c>
      <c r="L871" s="793">
        <v>45183</v>
      </c>
      <c r="M871" s="793">
        <v>45191</v>
      </c>
      <c r="N871" s="793">
        <v>45191</v>
      </c>
      <c r="O871" s="793">
        <v>45191</v>
      </c>
      <c r="P871" s="793">
        <v>45192</v>
      </c>
      <c r="Q871" s="786" t="s">
        <v>2634</v>
      </c>
      <c r="R871" s="793" t="s">
        <v>40</v>
      </c>
      <c r="S871" s="786" t="s">
        <v>2635</v>
      </c>
      <c r="T871" s="793" t="s">
        <v>2536</v>
      </c>
      <c r="U871" s="814">
        <v>5875000</v>
      </c>
      <c r="V871" s="920">
        <v>1400000</v>
      </c>
      <c r="W871" s="920" t="s">
        <v>1384</v>
      </c>
      <c r="X871" s="837" t="s">
        <v>40</v>
      </c>
      <c r="Y871" s="60"/>
    </row>
    <row r="872" spans="1:25" s="59" customFormat="1" ht="24.75" customHeight="1">
      <c r="A872" s="786"/>
      <c r="B872" s="860"/>
      <c r="C872" s="786"/>
      <c r="D872" s="860"/>
      <c r="E872" s="786"/>
      <c r="F872" s="96" t="s">
        <v>2636</v>
      </c>
      <c r="G872" s="860"/>
      <c r="H872" s="786"/>
      <c r="I872" s="786"/>
      <c r="J872" s="786"/>
      <c r="K872" s="786"/>
      <c r="L872" s="793"/>
      <c r="M872" s="793"/>
      <c r="N872" s="793"/>
      <c r="O872" s="793"/>
      <c r="P872" s="793"/>
      <c r="Q872" s="786"/>
      <c r="R872" s="793"/>
      <c r="S872" s="786"/>
      <c r="T872" s="793"/>
      <c r="U872" s="814"/>
      <c r="V872" s="841"/>
      <c r="W872" s="841"/>
      <c r="X872" s="811"/>
      <c r="Y872" s="60"/>
    </row>
    <row r="873" spans="1:25" s="59" customFormat="1" ht="24.75" customHeight="1">
      <c r="A873" s="786"/>
      <c r="B873" s="860"/>
      <c r="C873" s="786"/>
      <c r="D873" s="860"/>
      <c r="E873" s="786"/>
      <c r="F873" s="96" t="s">
        <v>2637</v>
      </c>
      <c r="G873" s="860"/>
      <c r="H873" s="786"/>
      <c r="I873" s="786"/>
      <c r="J873" s="786"/>
      <c r="K873" s="786"/>
      <c r="L873" s="793"/>
      <c r="M873" s="793"/>
      <c r="N873" s="793"/>
      <c r="O873" s="793"/>
      <c r="P873" s="793"/>
      <c r="Q873" s="786"/>
      <c r="R873" s="793"/>
      <c r="S873" s="786"/>
      <c r="T873" s="793"/>
      <c r="U873" s="814"/>
      <c r="V873" s="842"/>
      <c r="W873" s="842"/>
      <c r="X873" s="812"/>
      <c r="Y873" s="60"/>
    </row>
    <row r="874" spans="1:25" s="59" customFormat="1" ht="24.75" customHeight="1">
      <c r="A874" s="786"/>
      <c r="B874" s="860"/>
      <c r="C874" s="786"/>
      <c r="D874" s="860"/>
      <c r="E874" s="786"/>
      <c r="F874" s="96" t="s">
        <v>2638</v>
      </c>
      <c r="G874" s="860"/>
      <c r="H874" s="786"/>
      <c r="I874" s="786"/>
      <c r="J874" s="786"/>
      <c r="K874" s="786"/>
      <c r="L874" s="793"/>
      <c r="M874" s="793"/>
      <c r="N874" s="793"/>
      <c r="O874" s="793"/>
      <c r="P874" s="793"/>
      <c r="Q874" s="786"/>
      <c r="R874" s="793"/>
      <c r="S874" s="786"/>
      <c r="T874" s="793"/>
      <c r="U874" s="814"/>
      <c r="V874" s="840">
        <v>1400000</v>
      </c>
      <c r="W874" s="840" t="s">
        <v>59</v>
      </c>
      <c r="X874" s="810">
        <v>44938</v>
      </c>
      <c r="Y874" s="60"/>
    </row>
    <row r="875" spans="1:25" s="59" customFormat="1" ht="24.75" customHeight="1">
      <c r="A875" s="786"/>
      <c r="B875" s="860"/>
      <c r="C875" s="786"/>
      <c r="D875" s="860"/>
      <c r="E875" s="786"/>
      <c r="F875" s="96" t="s">
        <v>2639</v>
      </c>
      <c r="G875" s="860"/>
      <c r="H875" s="786"/>
      <c r="I875" s="786"/>
      <c r="J875" s="786"/>
      <c r="K875" s="786"/>
      <c r="L875" s="793"/>
      <c r="M875" s="793"/>
      <c r="N875" s="793"/>
      <c r="O875" s="793"/>
      <c r="P875" s="793"/>
      <c r="Q875" s="786"/>
      <c r="R875" s="793"/>
      <c r="S875" s="786"/>
      <c r="T875" s="793"/>
      <c r="U875" s="814"/>
      <c r="V875" s="841"/>
      <c r="W875" s="841"/>
      <c r="X875" s="811"/>
      <c r="Y875" s="60"/>
    </row>
    <row r="876" spans="1:25" s="144" customFormat="1" ht="20.25" customHeight="1">
      <c r="A876" s="786"/>
      <c r="B876" s="860"/>
      <c r="C876" s="786"/>
      <c r="D876" s="860"/>
      <c r="E876" s="786"/>
      <c r="F876" s="105" t="s">
        <v>2640</v>
      </c>
      <c r="G876" s="860"/>
      <c r="H876" s="786"/>
      <c r="I876" s="786"/>
      <c r="J876" s="786"/>
      <c r="K876" s="786"/>
      <c r="L876" s="793"/>
      <c r="M876" s="793"/>
      <c r="N876" s="793"/>
      <c r="O876" s="793"/>
      <c r="P876" s="793"/>
      <c r="Q876" s="786"/>
      <c r="R876" s="793"/>
      <c r="S876" s="786"/>
      <c r="T876" s="793"/>
      <c r="U876" s="814"/>
      <c r="V876" s="841"/>
      <c r="W876" s="841"/>
      <c r="X876" s="811"/>
      <c r="Y876" s="145"/>
    </row>
    <row r="877" spans="1:25" s="144" customFormat="1" ht="20.25" customHeight="1">
      <c r="A877" s="786"/>
      <c r="B877" s="860"/>
      <c r="C877" s="786"/>
      <c r="D877" s="860"/>
      <c r="E877" s="786"/>
      <c r="F877" s="105" t="s">
        <v>2641</v>
      </c>
      <c r="G877" s="860"/>
      <c r="H877" s="786"/>
      <c r="I877" s="786"/>
      <c r="J877" s="786"/>
      <c r="K877" s="786"/>
      <c r="L877" s="793"/>
      <c r="M877" s="793"/>
      <c r="N877" s="793"/>
      <c r="O877" s="793"/>
      <c r="P877" s="793"/>
      <c r="Q877" s="786"/>
      <c r="R877" s="793"/>
      <c r="S877" s="786"/>
      <c r="T877" s="793"/>
      <c r="U877" s="814"/>
      <c r="V877" s="842"/>
      <c r="W877" s="842"/>
      <c r="X877" s="812"/>
      <c r="Y877" s="145"/>
    </row>
    <row r="878" spans="1:25" s="59" customFormat="1" ht="24.75" customHeight="1">
      <c r="A878" s="786"/>
      <c r="B878" s="860" t="s">
        <v>1375</v>
      </c>
      <c r="C878" s="786" t="s">
        <v>2642</v>
      </c>
      <c r="D878" s="860" t="s">
        <v>1733</v>
      </c>
      <c r="E878" s="854" t="s">
        <v>2643</v>
      </c>
      <c r="F878" s="96" t="s">
        <v>2644</v>
      </c>
      <c r="G878" s="914" t="s">
        <v>2645</v>
      </c>
      <c r="H878" s="786" t="s">
        <v>2646</v>
      </c>
      <c r="I878" s="952" t="s">
        <v>608</v>
      </c>
      <c r="J878" s="786" t="s">
        <v>2647</v>
      </c>
      <c r="K878" s="786" t="s">
        <v>2648</v>
      </c>
      <c r="L878" s="793">
        <v>45177</v>
      </c>
      <c r="M878" s="793">
        <v>45193</v>
      </c>
      <c r="N878" s="793" t="s">
        <v>2627</v>
      </c>
      <c r="O878" s="793" t="s">
        <v>2627</v>
      </c>
      <c r="P878" s="793" t="s">
        <v>2618</v>
      </c>
      <c r="Q878" s="786" t="s">
        <v>40</v>
      </c>
      <c r="R878" s="793" t="s">
        <v>2565</v>
      </c>
      <c r="S878" s="786" t="s">
        <v>2649</v>
      </c>
      <c r="T878" s="793">
        <v>45088</v>
      </c>
      <c r="U878" s="814">
        <v>27864240</v>
      </c>
      <c r="V878" s="814">
        <v>2640000</v>
      </c>
      <c r="W878" s="814" t="s">
        <v>1384</v>
      </c>
      <c r="X878" s="810" t="s">
        <v>40</v>
      </c>
      <c r="Y878" s="60"/>
    </row>
    <row r="879" spans="1:25" s="59" customFormat="1" ht="24.75" customHeight="1">
      <c r="A879" s="786"/>
      <c r="B879" s="786"/>
      <c r="C879" s="786"/>
      <c r="D879" s="786"/>
      <c r="E879" s="854"/>
      <c r="F879" s="96" t="s">
        <v>2650</v>
      </c>
      <c r="G879" s="915"/>
      <c r="H879" s="786"/>
      <c r="I879" s="952"/>
      <c r="J879" s="786"/>
      <c r="K879" s="786"/>
      <c r="L879" s="793"/>
      <c r="M879" s="793"/>
      <c r="N879" s="793"/>
      <c r="O879" s="793"/>
      <c r="P879" s="793"/>
      <c r="Q879" s="786"/>
      <c r="R879" s="793"/>
      <c r="S879" s="786"/>
      <c r="T879" s="793"/>
      <c r="U879" s="814"/>
      <c r="V879" s="814"/>
      <c r="W879" s="814"/>
      <c r="X879" s="812"/>
      <c r="Y879" s="60"/>
    </row>
    <row r="880" spans="1:25" s="59" customFormat="1" ht="24.75" customHeight="1">
      <c r="A880" s="786"/>
      <c r="B880" s="786"/>
      <c r="C880" s="786"/>
      <c r="D880" s="786"/>
      <c r="E880" s="854"/>
      <c r="F880" s="96" t="s">
        <v>2651</v>
      </c>
      <c r="G880" s="915"/>
      <c r="H880" s="786"/>
      <c r="I880" s="952"/>
      <c r="J880" s="786"/>
      <c r="K880" s="786"/>
      <c r="L880" s="793"/>
      <c r="M880" s="793"/>
      <c r="N880" s="793"/>
      <c r="O880" s="793"/>
      <c r="P880" s="793"/>
      <c r="Q880" s="786"/>
      <c r="R880" s="793"/>
      <c r="S880" s="786"/>
      <c r="T880" s="793"/>
      <c r="U880" s="814"/>
      <c r="V880" s="814">
        <v>2800000</v>
      </c>
      <c r="W880" s="814" t="s">
        <v>59</v>
      </c>
      <c r="X880" s="810" t="s">
        <v>2494</v>
      </c>
      <c r="Y880" s="60"/>
    </row>
    <row r="881" spans="1:25" s="59" customFormat="1" ht="24.75" customHeight="1">
      <c r="A881" s="786"/>
      <c r="B881" s="786"/>
      <c r="C881" s="786"/>
      <c r="D881" s="786"/>
      <c r="E881" s="854"/>
      <c r="F881" s="96" t="s">
        <v>2652</v>
      </c>
      <c r="G881" s="915"/>
      <c r="H881" s="786"/>
      <c r="I881" s="952"/>
      <c r="J881" s="786"/>
      <c r="K881" s="786"/>
      <c r="L881" s="793"/>
      <c r="M881" s="793"/>
      <c r="N881" s="793"/>
      <c r="O881" s="793"/>
      <c r="P881" s="793"/>
      <c r="Q881" s="786"/>
      <c r="R881" s="793"/>
      <c r="S881" s="786"/>
      <c r="T881" s="793"/>
      <c r="U881" s="814"/>
      <c r="V881" s="814"/>
      <c r="W881" s="814"/>
      <c r="X881" s="812"/>
      <c r="Y881" s="60"/>
    </row>
    <row r="882" spans="1:25" s="144" customFormat="1" ht="20.25" customHeight="1">
      <c r="A882" s="786"/>
      <c r="B882" s="786" t="s">
        <v>1375</v>
      </c>
      <c r="C882" s="786" t="s">
        <v>2653</v>
      </c>
      <c r="D882" s="786" t="s">
        <v>2406</v>
      </c>
      <c r="E882" s="786" t="s">
        <v>2654</v>
      </c>
      <c r="F882" s="786" t="s">
        <v>2655</v>
      </c>
      <c r="G882" s="786" t="s">
        <v>71</v>
      </c>
      <c r="H882" s="857" t="s">
        <v>2656</v>
      </c>
      <c r="I882" s="785" t="s">
        <v>2657</v>
      </c>
      <c r="J882" s="786" t="s">
        <v>2658</v>
      </c>
      <c r="K882" s="786" t="s">
        <v>2617</v>
      </c>
      <c r="L882" s="793">
        <v>45179</v>
      </c>
      <c r="M882" s="793">
        <v>45194</v>
      </c>
      <c r="N882" s="793" t="s">
        <v>40</v>
      </c>
      <c r="O882" s="793" t="s">
        <v>40</v>
      </c>
      <c r="P882" s="793" t="s">
        <v>40</v>
      </c>
      <c r="Q882" s="786" t="s">
        <v>2620</v>
      </c>
      <c r="R882" s="793">
        <v>45239</v>
      </c>
      <c r="S882" s="786" t="s">
        <v>2659</v>
      </c>
      <c r="T882" s="793">
        <v>45088</v>
      </c>
      <c r="U882" s="814">
        <v>6296760</v>
      </c>
      <c r="V882" s="93">
        <v>1500000</v>
      </c>
      <c r="W882" s="93" t="s">
        <v>1384</v>
      </c>
      <c r="X882" s="94" t="s">
        <v>40</v>
      </c>
      <c r="Y882" s="145"/>
    </row>
    <row r="883" spans="1:25" s="144" customFormat="1" ht="20.25" customHeight="1">
      <c r="A883" s="786"/>
      <c r="B883" s="786"/>
      <c r="C883" s="786"/>
      <c r="D883" s="786"/>
      <c r="E883" s="786"/>
      <c r="F883" s="786"/>
      <c r="G883" s="786"/>
      <c r="H883" s="857"/>
      <c r="I883" s="786"/>
      <c r="J883" s="786"/>
      <c r="K883" s="786"/>
      <c r="L883" s="793"/>
      <c r="M883" s="793"/>
      <c r="N883" s="793"/>
      <c r="O883" s="793"/>
      <c r="P883" s="793"/>
      <c r="Q883" s="786"/>
      <c r="R883" s="793"/>
      <c r="S883" s="786"/>
      <c r="T883" s="793"/>
      <c r="U883" s="814"/>
      <c r="V883" s="93">
        <v>700000</v>
      </c>
      <c r="W883" s="93" t="s">
        <v>59</v>
      </c>
      <c r="X883" s="94" t="s">
        <v>2494</v>
      </c>
      <c r="Y883" s="145"/>
    </row>
    <row r="884" spans="1:25" s="82" customFormat="1" ht="30.75" customHeight="1">
      <c r="A884" s="105"/>
      <c r="B884" s="105" t="s">
        <v>1758</v>
      </c>
      <c r="C884" s="105" t="s">
        <v>2660</v>
      </c>
      <c r="D884" s="105" t="s">
        <v>1588</v>
      </c>
      <c r="E884" s="105" t="s">
        <v>2661</v>
      </c>
      <c r="F884" s="105" t="s">
        <v>2662</v>
      </c>
      <c r="G884" s="105" t="s">
        <v>833</v>
      </c>
      <c r="H884" s="105" t="s">
        <v>2663</v>
      </c>
      <c r="I884" s="106" t="s">
        <v>40</v>
      </c>
      <c r="J884" s="105" t="s">
        <v>66</v>
      </c>
      <c r="K884" s="105" t="s">
        <v>977</v>
      </c>
      <c r="L884" s="107" t="s">
        <v>2664</v>
      </c>
      <c r="M884" s="107">
        <v>45194</v>
      </c>
      <c r="N884" s="94" t="s">
        <v>2618</v>
      </c>
      <c r="O884" s="94">
        <v>45195</v>
      </c>
      <c r="P884" s="94">
        <v>45195</v>
      </c>
      <c r="Q884" s="105" t="s">
        <v>1766</v>
      </c>
      <c r="R884" s="107">
        <v>45201</v>
      </c>
      <c r="S884" s="105" t="s">
        <v>2665</v>
      </c>
      <c r="T884" s="107">
        <v>44968</v>
      </c>
      <c r="U884" s="93">
        <v>1308000</v>
      </c>
      <c r="V884" s="93" t="s">
        <v>40</v>
      </c>
      <c r="W884" s="93" t="s">
        <v>40</v>
      </c>
      <c r="X884" s="94" t="s">
        <v>40</v>
      </c>
      <c r="Y884" s="86"/>
    </row>
    <row r="885" spans="1:25" s="59" customFormat="1" ht="15.75" customHeight="1">
      <c r="A885" s="786"/>
      <c r="B885" s="786" t="s">
        <v>1375</v>
      </c>
      <c r="C885" s="786" t="s">
        <v>2666</v>
      </c>
      <c r="D885" s="786" t="s">
        <v>1588</v>
      </c>
      <c r="E885" s="786" t="s">
        <v>2449</v>
      </c>
      <c r="F885" s="96" t="s">
        <v>2667</v>
      </c>
      <c r="G885" s="786" t="s">
        <v>2668</v>
      </c>
      <c r="H885" s="786" t="s">
        <v>2669</v>
      </c>
      <c r="I885" s="785" t="s">
        <v>687</v>
      </c>
      <c r="J885" s="786" t="s">
        <v>2670</v>
      </c>
      <c r="K885" s="786" t="s">
        <v>304</v>
      </c>
      <c r="L885" s="793">
        <v>45186</v>
      </c>
      <c r="M885" s="793">
        <v>45196</v>
      </c>
      <c r="N885" s="793">
        <v>45198</v>
      </c>
      <c r="O885" s="793">
        <v>45198</v>
      </c>
      <c r="P885" s="793">
        <v>45199</v>
      </c>
      <c r="Q885" s="786" t="s">
        <v>40</v>
      </c>
      <c r="R885" s="793" t="s">
        <v>2671</v>
      </c>
      <c r="S885" s="786" t="s">
        <v>2672</v>
      </c>
      <c r="T885" s="793">
        <v>45088</v>
      </c>
      <c r="U885" s="814">
        <v>23020600</v>
      </c>
      <c r="V885" s="814">
        <v>4500000</v>
      </c>
      <c r="W885" s="814" t="s">
        <v>1384</v>
      </c>
      <c r="X885" s="793" t="s">
        <v>40</v>
      </c>
      <c r="Y885" s="60"/>
    </row>
    <row r="886" spans="1:25" s="59" customFormat="1" ht="15.75" customHeight="1">
      <c r="A886" s="786"/>
      <c r="B886" s="786"/>
      <c r="C886" s="786"/>
      <c r="D886" s="786"/>
      <c r="E886" s="786"/>
      <c r="F886" s="96" t="s">
        <v>2673</v>
      </c>
      <c r="G886" s="786"/>
      <c r="H886" s="786"/>
      <c r="I886" s="786"/>
      <c r="J886" s="786"/>
      <c r="K886" s="786"/>
      <c r="L886" s="793"/>
      <c r="M886" s="793"/>
      <c r="N886" s="793"/>
      <c r="O886" s="793"/>
      <c r="P886" s="793"/>
      <c r="Q886" s="786"/>
      <c r="R886" s="793"/>
      <c r="S886" s="786"/>
      <c r="T886" s="793"/>
      <c r="U886" s="814"/>
      <c r="V886" s="814"/>
      <c r="W886" s="814"/>
      <c r="X886" s="793"/>
      <c r="Y886" s="60"/>
    </row>
    <row r="887" spans="1:25" s="59" customFormat="1" ht="24.75" customHeight="1">
      <c r="A887" s="786"/>
      <c r="B887" s="786"/>
      <c r="C887" s="786"/>
      <c r="D887" s="786"/>
      <c r="E887" s="786"/>
      <c r="F887" s="96" t="s">
        <v>2674</v>
      </c>
      <c r="G887" s="786"/>
      <c r="H887" s="786"/>
      <c r="I887" s="786"/>
      <c r="J887" s="786"/>
      <c r="K887" s="786"/>
      <c r="L887" s="793"/>
      <c r="M887" s="793"/>
      <c r="N887" s="793"/>
      <c r="O887" s="793"/>
      <c r="P887" s="793"/>
      <c r="Q887" s="786"/>
      <c r="R887" s="793"/>
      <c r="S887" s="786"/>
      <c r="T887" s="793"/>
      <c r="U887" s="814"/>
      <c r="V887" s="93">
        <v>2100000</v>
      </c>
      <c r="W887" s="93" t="s">
        <v>59</v>
      </c>
      <c r="X887" s="94" t="s">
        <v>2494</v>
      </c>
      <c r="Y887" s="60"/>
    </row>
    <row r="888" spans="1:25" ht="25.5" customHeight="1">
      <c r="A888" s="96"/>
      <c r="B888" s="130" t="s">
        <v>2675</v>
      </c>
      <c r="C888" s="96" t="s">
        <v>2676</v>
      </c>
      <c r="D888" s="130" t="s">
        <v>2135</v>
      </c>
      <c r="E888" s="96" t="s">
        <v>2677</v>
      </c>
      <c r="F888" s="105" t="s">
        <v>2678</v>
      </c>
      <c r="G888" s="130" t="s">
        <v>71</v>
      </c>
      <c r="H888" s="159" t="s">
        <v>2679</v>
      </c>
      <c r="I888" s="96" t="s">
        <v>40</v>
      </c>
      <c r="J888" s="96" t="s">
        <v>2680</v>
      </c>
      <c r="K888" s="96" t="s">
        <v>40</v>
      </c>
      <c r="L888" s="94">
        <v>45181</v>
      </c>
      <c r="M888" s="94">
        <v>45198</v>
      </c>
      <c r="N888" s="94" t="s">
        <v>40</v>
      </c>
      <c r="O888" s="94" t="s">
        <v>40</v>
      </c>
      <c r="P888" s="94" t="s">
        <v>40</v>
      </c>
      <c r="Q888" s="96" t="s">
        <v>40</v>
      </c>
      <c r="R888" s="94">
        <v>45198</v>
      </c>
      <c r="S888" s="96" t="s">
        <v>2681</v>
      </c>
      <c r="T888" s="94">
        <v>45198</v>
      </c>
      <c r="U888" s="93">
        <v>4194610</v>
      </c>
      <c r="V888" s="149" t="s">
        <v>40</v>
      </c>
      <c r="W888" s="149" t="s">
        <v>40</v>
      </c>
      <c r="X888" s="131" t="s">
        <v>40</v>
      </c>
    </row>
    <row r="889" spans="1:25" s="160" customFormat="1" ht="24" customHeight="1">
      <c r="A889" s="161"/>
      <c r="B889" s="161" t="s">
        <v>1485</v>
      </c>
      <c r="C889" s="161" t="s">
        <v>2682</v>
      </c>
      <c r="D889" s="161" t="s">
        <v>1829</v>
      </c>
      <c r="E889" s="161" t="s">
        <v>2683</v>
      </c>
      <c r="F889" s="161" t="s">
        <v>2684</v>
      </c>
      <c r="G889" s="161" t="s">
        <v>71</v>
      </c>
      <c r="H889" s="161" t="s">
        <v>2685</v>
      </c>
      <c r="I889" s="162" t="s">
        <v>1512</v>
      </c>
      <c r="J889" s="161" t="s">
        <v>2686</v>
      </c>
      <c r="K889" s="161"/>
      <c r="L889" s="163" t="s">
        <v>2687</v>
      </c>
      <c r="M889" s="163">
        <v>45206</v>
      </c>
      <c r="N889" s="163"/>
      <c r="O889" s="163"/>
      <c r="P889" s="163"/>
      <c r="Q889" s="161"/>
      <c r="R889" s="163"/>
      <c r="S889" s="161"/>
      <c r="T889" s="163"/>
      <c r="U889" s="164">
        <v>1000000</v>
      </c>
      <c r="V889" s="164" t="s">
        <v>40</v>
      </c>
      <c r="W889" s="164" t="s">
        <v>40</v>
      </c>
      <c r="X889" s="161" t="s">
        <v>40</v>
      </c>
      <c r="Y889" s="165"/>
    </row>
    <row r="890" spans="1:25" s="160" customFormat="1" ht="24" customHeight="1">
      <c r="A890" s="161"/>
      <c r="B890" s="161" t="s">
        <v>1485</v>
      </c>
      <c r="C890" s="161" t="s">
        <v>2688</v>
      </c>
      <c r="D890" s="161" t="s">
        <v>1829</v>
      </c>
      <c r="E890" s="161" t="s">
        <v>1651</v>
      </c>
      <c r="F890" s="161" t="s">
        <v>2689</v>
      </c>
      <c r="G890" s="161" t="s">
        <v>71</v>
      </c>
      <c r="H890" s="161" t="s">
        <v>2679</v>
      </c>
      <c r="I890" s="162" t="s">
        <v>753</v>
      </c>
      <c r="J890" s="161" t="s">
        <v>2690</v>
      </c>
      <c r="K890" s="161" t="s">
        <v>501</v>
      </c>
      <c r="L890" s="163">
        <v>45194</v>
      </c>
      <c r="M890" s="163">
        <v>45206</v>
      </c>
      <c r="N890" s="163">
        <v>45240</v>
      </c>
      <c r="O890" s="163" t="s">
        <v>2691</v>
      </c>
      <c r="P890" s="163">
        <v>45270</v>
      </c>
      <c r="Q890" s="161"/>
      <c r="R890" s="163"/>
      <c r="S890" s="161"/>
      <c r="T890" s="163"/>
      <c r="U890" s="164">
        <v>1000000</v>
      </c>
      <c r="V890" s="164" t="s">
        <v>40</v>
      </c>
      <c r="W890" s="164" t="s">
        <v>40</v>
      </c>
      <c r="X890" s="161" t="s">
        <v>40</v>
      </c>
      <c r="Y890" s="165"/>
    </row>
    <row r="891" spans="1:25" s="160" customFormat="1" ht="15" customHeight="1">
      <c r="A891" s="803"/>
      <c r="B891" s="803" t="s">
        <v>1375</v>
      </c>
      <c r="C891" s="803" t="s">
        <v>2692</v>
      </c>
      <c r="D891" s="803" t="s">
        <v>2406</v>
      </c>
      <c r="E891" s="803" t="s">
        <v>2693</v>
      </c>
      <c r="F891" s="166" t="s">
        <v>2694</v>
      </c>
      <c r="G891" s="803" t="s">
        <v>914</v>
      </c>
      <c r="H891" s="803"/>
      <c r="I891" s="859" t="s">
        <v>802</v>
      </c>
      <c r="J891" s="803" t="s">
        <v>2695</v>
      </c>
      <c r="K891" s="803" t="s">
        <v>2696</v>
      </c>
      <c r="L891" s="872" t="s">
        <v>2697</v>
      </c>
      <c r="M891" s="872">
        <v>45209</v>
      </c>
      <c r="N891" s="872"/>
      <c r="O891" s="872"/>
      <c r="P891" s="872"/>
      <c r="Q891" s="803"/>
      <c r="R891" s="872"/>
      <c r="S891" s="803"/>
      <c r="T891" s="872"/>
      <c r="U891" s="893">
        <v>10300000</v>
      </c>
      <c r="V891" s="167">
        <v>1400000</v>
      </c>
      <c r="W891" s="167" t="s">
        <v>1384</v>
      </c>
      <c r="X891" s="168" t="s">
        <v>40</v>
      </c>
    </row>
    <row r="892" spans="1:25" s="160" customFormat="1" ht="15" customHeight="1">
      <c r="A892" s="804"/>
      <c r="B892" s="804"/>
      <c r="C892" s="804"/>
      <c r="D892" s="804"/>
      <c r="E892" s="804"/>
      <c r="F892" s="169" t="s">
        <v>2698</v>
      </c>
      <c r="G892" s="804"/>
      <c r="H892" s="804"/>
      <c r="I892" s="804"/>
      <c r="J892" s="804"/>
      <c r="K892" s="804"/>
      <c r="L892" s="873"/>
      <c r="M892" s="873"/>
      <c r="N892" s="873"/>
      <c r="O892" s="873"/>
      <c r="P892" s="873"/>
      <c r="Q892" s="804"/>
      <c r="R892" s="873"/>
      <c r="S892" s="804"/>
      <c r="T892" s="873"/>
      <c r="U892" s="894"/>
      <c r="V892" s="170">
        <v>700000</v>
      </c>
      <c r="W892" s="157" t="s">
        <v>59</v>
      </c>
      <c r="X892" s="171" t="s">
        <v>2435</v>
      </c>
    </row>
    <row r="893" spans="1:25" s="160" customFormat="1" ht="15" customHeight="1">
      <c r="A893" s="803"/>
      <c r="B893" s="803" t="s">
        <v>1375</v>
      </c>
      <c r="C893" s="803" t="s">
        <v>2699</v>
      </c>
      <c r="D893" s="803" t="s">
        <v>2406</v>
      </c>
      <c r="E893" s="803" t="s">
        <v>2700</v>
      </c>
      <c r="F893" s="953"/>
      <c r="G893" s="803" t="s">
        <v>270</v>
      </c>
      <c r="H893" s="803"/>
      <c r="I893" s="803"/>
      <c r="J893" s="803" t="s">
        <v>2701</v>
      </c>
      <c r="K893" s="803"/>
      <c r="L893" s="872">
        <v>45178</v>
      </c>
      <c r="M893" s="872">
        <v>45216</v>
      </c>
      <c r="N893" s="872"/>
      <c r="O893" s="872"/>
      <c r="P893" s="872"/>
      <c r="Q893" s="803"/>
      <c r="R893" s="872"/>
      <c r="S893" s="803"/>
      <c r="T893" s="872"/>
      <c r="U893" s="893">
        <v>10300000</v>
      </c>
      <c r="V893" s="167">
        <v>1400000</v>
      </c>
      <c r="W893" s="167" t="s">
        <v>1384</v>
      </c>
      <c r="X893" s="168" t="s">
        <v>40</v>
      </c>
    </row>
    <row r="894" spans="1:25" s="160" customFormat="1" ht="15" customHeight="1">
      <c r="A894" s="804"/>
      <c r="B894" s="804"/>
      <c r="C894" s="804"/>
      <c r="D894" s="804"/>
      <c r="E894" s="804"/>
      <c r="F894" s="954"/>
      <c r="G894" s="804"/>
      <c r="H894" s="804"/>
      <c r="I894" s="804"/>
      <c r="J894" s="804"/>
      <c r="K894" s="804"/>
      <c r="L894" s="873"/>
      <c r="M894" s="873"/>
      <c r="N894" s="873"/>
      <c r="O894" s="873"/>
      <c r="P894" s="873"/>
      <c r="Q894" s="804"/>
      <c r="R894" s="873"/>
      <c r="S894" s="804"/>
      <c r="T894" s="873"/>
      <c r="U894" s="894"/>
      <c r="V894" s="170">
        <v>700000</v>
      </c>
      <c r="W894" s="157" t="s">
        <v>59</v>
      </c>
      <c r="X894" s="171" t="s">
        <v>2435</v>
      </c>
    </row>
    <row r="895" spans="1:25" ht="12.65" customHeight="1">
      <c r="A895" s="850" t="s">
        <v>1919</v>
      </c>
      <c r="B895" s="851"/>
      <c r="C895" s="851"/>
      <c r="D895" s="851"/>
      <c r="E895" s="851"/>
      <c r="F895" s="851"/>
      <c r="G895" s="851"/>
      <c r="H895" s="851"/>
      <c r="I895" s="851"/>
      <c r="J895" s="851"/>
      <c r="K895" s="851"/>
      <c r="L895" s="851"/>
      <c r="M895" s="851"/>
      <c r="N895" s="851"/>
      <c r="O895" s="851"/>
      <c r="P895" s="851"/>
      <c r="Q895" s="851"/>
      <c r="R895" s="851"/>
      <c r="S895" s="851"/>
      <c r="T895" s="851"/>
      <c r="U895" s="851"/>
      <c r="V895" s="851"/>
      <c r="W895" s="851"/>
      <c r="X895" s="852"/>
      <c r="Y895" s="2"/>
    </row>
    <row r="896" spans="1:25" s="100" customFormat="1" ht="43.5" customHeight="1">
      <c r="A896" s="9"/>
      <c r="B896" s="9" t="s">
        <v>1375</v>
      </c>
      <c r="C896" s="9" t="s">
        <v>2702</v>
      </c>
      <c r="D896" s="66" t="s">
        <v>1919</v>
      </c>
      <c r="E896" s="66" t="s">
        <v>2703</v>
      </c>
      <c r="F896" s="66" t="s">
        <v>40</v>
      </c>
      <c r="G896" s="66" t="s">
        <v>2110</v>
      </c>
      <c r="H896" s="67" t="s">
        <v>2704</v>
      </c>
      <c r="I896" s="67" t="s">
        <v>40</v>
      </c>
      <c r="J896" s="66" t="s">
        <v>2705</v>
      </c>
      <c r="K896" s="66" t="s">
        <v>40</v>
      </c>
      <c r="L896" s="68">
        <v>45170</v>
      </c>
      <c r="M896" s="68">
        <v>45172</v>
      </c>
      <c r="N896" s="800" t="s">
        <v>2706</v>
      </c>
      <c r="O896" s="801"/>
      <c r="P896" s="802"/>
      <c r="Q896" s="66" t="s">
        <v>2703</v>
      </c>
      <c r="R896" s="68">
        <v>45176</v>
      </c>
      <c r="S896" s="66" t="s">
        <v>2707</v>
      </c>
      <c r="T896" s="68" t="s">
        <v>2708</v>
      </c>
      <c r="U896" s="69">
        <v>1000000</v>
      </c>
      <c r="V896" s="69">
        <v>500000</v>
      </c>
      <c r="W896" s="69" t="s">
        <v>59</v>
      </c>
      <c r="X896" s="68"/>
      <c r="Y896" s="60"/>
    </row>
    <row r="897" spans="1:25" s="172" customFormat="1" ht="15" customHeight="1">
      <c r="A897" s="783"/>
      <c r="B897" s="783" t="s">
        <v>1375</v>
      </c>
      <c r="C897" s="783" t="s">
        <v>2709</v>
      </c>
      <c r="D897" s="783" t="s">
        <v>2406</v>
      </c>
      <c r="E897" s="783" t="s">
        <v>2507</v>
      </c>
      <c r="F897" s="937" t="s">
        <v>2710</v>
      </c>
      <c r="G897" s="783" t="s">
        <v>270</v>
      </c>
      <c r="H897" s="783"/>
      <c r="I897" s="965" t="s">
        <v>2711</v>
      </c>
      <c r="J897" s="783" t="s">
        <v>2712</v>
      </c>
      <c r="K897" s="783" t="s">
        <v>2713</v>
      </c>
      <c r="L897" s="876" t="s">
        <v>2714</v>
      </c>
      <c r="M897" s="876">
        <v>45207</v>
      </c>
      <c r="N897" s="876">
        <v>45270</v>
      </c>
      <c r="O897" s="876">
        <v>45270</v>
      </c>
      <c r="P897" s="876" t="s">
        <v>2446</v>
      </c>
      <c r="Q897" s="783" t="s">
        <v>2715</v>
      </c>
      <c r="R897" s="876"/>
      <c r="S897" s="783"/>
      <c r="T897" s="876"/>
      <c r="U897" s="918">
        <v>0</v>
      </c>
      <c r="V897" s="173">
        <v>100000</v>
      </c>
      <c r="W897" s="173" t="s">
        <v>1384</v>
      </c>
      <c r="X897" s="174"/>
      <c r="Y897" s="175"/>
    </row>
    <row r="898" spans="1:25" s="172" customFormat="1" ht="15" customHeight="1">
      <c r="A898" s="784"/>
      <c r="B898" s="784"/>
      <c r="C898" s="784"/>
      <c r="D898" s="784"/>
      <c r="E898" s="784"/>
      <c r="F898" s="938"/>
      <c r="G898" s="784"/>
      <c r="H898" s="784"/>
      <c r="I898" s="784"/>
      <c r="J898" s="784"/>
      <c r="K898" s="784"/>
      <c r="L898" s="877"/>
      <c r="M898" s="877"/>
      <c r="N898" s="877"/>
      <c r="O898" s="877"/>
      <c r="P898" s="877"/>
      <c r="Q898" s="784"/>
      <c r="R898" s="877"/>
      <c r="S898" s="784"/>
      <c r="T898" s="877"/>
      <c r="U898" s="919"/>
      <c r="V898" s="176">
        <v>200000</v>
      </c>
      <c r="W898" s="177" t="s">
        <v>59</v>
      </c>
      <c r="X898" s="178"/>
      <c r="Y898" s="175"/>
    </row>
    <row r="899" spans="1:25" s="179" customFormat="1" ht="15.75" customHeight="1">
      <c r="A899" s="791"/>
      <c r="B899" s="791" t="s">
        <v>1375</v>
      </c>
      <c r="C899" s="791" t="s">
        <v>2716</v>
      </c>
      <c r="D899" s="791" t="s">
        <v>1588</v>
      </c>
      <c r="E899" s="791" t="s">
        <v>2449</v>
      </c>
      <c r="F899" s="180" t="s">
        <v>2667</v>
      </c>
      <c r="G899" s="791" t="s">
        <v>1521</v>
      </c>
      <c r="H899" s="791"/>
      <c r="I899" s="892" t="s">
        <v>2717</v>
      </c>
      <c r="J899" s="791" t="s">
        <v>2718</v>
      </c>
      <c r="K899" s="791" t="s">
        <v>2617</v>
      </c>
      <c r="L899" s="858" t="s">
        <v>2719</v>
      </c>
      <c r="M899" s="858">
        <v>45209</v>
      </c>
      <c r="N899" s="858"/>
      <c r="O899" s="858"/>
      <c r="P899" s="858"/>
      <c r="Q899" s="791" t="s">
        <v>2720</v>
      </c>
      <c r="R899" s="858"/>
      <c r="S899" s="791"/>
      <c r="T899" s="858"/>
      <c r="U899" s="916">
        <v>0</v>
      </c>
      <c r="V899" s="916"/>
      <c r="W899" s="916" t="s">
        <v>1384</v>
      </c>
      <c r="X899" s="858"/>
      <c r="Y899" s="182"/>
    </row>
    <row r="900" spans="1:25" s="179" customFormat="1" ht="15.75" customHeight="1">
      <c r="A900" s="791"/>
      <c r="B900" s="791"/>
      <c r="C900" s="791"/>
      <c r="D900" s="791"/>
      <c r="E900" s="791"/>
      <c r="F900" s="180" t="s">
        <v>2673</v>
      </c>
      <c r="G900" s="791"/>
      <c r="H900" s="791"/>
      <c r="I900" s="791"/>
      <c r="J900" s="791"/>
      <c r="K900" s="791"/>
      <c r="L900" s="858"/>
      <c r="M900" s="858"/>
      <c r="N900" s="858"/>
      <c r="O900" s="858"/>
      <c r="P900" s="858"/>
      <c r="Q900" s="791"/>
      <c r="R900" s="858"/>
      <c r="S900" s="791"/>
      <c r="T900" s="858"/>
      <c r="U900" s="916"/>
      <c r="V900" s="916"/>
      <c r="W900" s="916"/>
      <c r="X900" s="858"/>
      <c r="Y900" s="182"/>
    </row>
    <row r="901" spans="1:25" s="179" customFormat="1" ht="24.75" customHeight="1">
      <c r="A901" s="791"/>
      <c r="B901" s="791"/>
      <c r="C901" s="791"/>
      <c r="D901" s="791"/>
      <c r="E901" s="791"/>
      <c r="F901" s="180" t="s">
        <v>2674</v>
      </c>
      <c r="G901" s="791"/>
      <c r="H901" s="791"/>
      <c r="I901" s="791"/>
      <c r="J901" s="791"/>
      <c r="K901" s="791"/>
      <c r="L901" s="858"/>
      <c r="M901" s="858"/>
      <c r="N901" s="858"/>
      <c r="O901" s="858"/>
      <c r="P901" s="858"/>
      <c r="Q901" s="791"/>
      <c r="R901" s="858"/>
      <c r="S901" s="791"/>
      <c r="T901" s="858"/>
      <c r="U901" s="916"/>
      <c r="V901" s="177"/>
      <c r="W901" s="177" t="s">
        <v>59</v>
      </c>
      <c r="X901" s="181"/>
      <c r="Y901" s="182"/>
    </row>
    <row r="902" spans="1:25" s="175" customFormat="1" ht="15.75" customHeight="1">
      <c r="A902" s="791"/>
      <c r="B902" s="871" t="s">
        <v>1977</v>
      </c>
      <c r="C902" s="791">
        <v>231430182</v>
      </c>
      <c r="D902" s="871" t="s">
        <v>1588</v>
      </c>
      <c r="E902" s="858" t="s">
        <v>1679</v>
      </c>
      <c r="F902" s="180" t="s">
        <v>2721</v>
      </c>
      <c r="G902" s="871" t="s">
        <v>63</v>
      </c>
      <c r="H902" s="791"/>
      <c r="I902" s="791"/>
      <c r="J902" s="791" t="s">
        <v>2626</v>
      </c>
      <c r="K902" s="791"/>
      <c r="L902" s="858" t="s">
        <v>2722</v>
      </c>
      <c r="M902" s="858">
        <v>45270</v>
      </c>
      <c r="N902" s="858"/>
      <c r="O902" s="858"/>
      <c r="P902" s="858"/>
      <c r="Q902" s="791"/>
      <c r="R902" s="858"/>
      <c r="S902" s="791"/>
      <c r="T902" s="858" t="s">
        <v>2184</v>
      </c>
      <c r="U902" s="916">
        <v>0</v>
      </c>
      <c r="V902" s="177">
        <v>100000</v>
      </c>
      <c r="W902" s="177" t="s">
        <v>59</v>
      </c>
      <c r="X902" s="181"/>
      <c r="Y902" s="183"/>
    </row>
    <row r="903" spans="1:25" s="175" customFormat="1" ht="15.75" customHeight="1">
      <c r="A903" s="791"/>
      <c r="B903" s="871"/>
      <c r="C903" s="791"/>
      <c r="D903" s="871"/>
      <c r="E903" s="791"/>
      <c r="F903" s="180" t="s">
        <v>2723</v>
      </c>
      <c r="G903" s="871"/>
      <c r="H903" s="791"/>
      <c r="I903" s="791"/>
      <c r="J903" s="791"/>
      <c r="K903" s="791"/>
      <c r="L903" s="858"/>
      <c r="M903" s="858"/>
      <c r="N903" s="858"/>
      <c r="O903" s="858"/>
      <c r="P903" s="858"/>
      <c r="Q903" s="791"/>
      <c r="R903" s="858"/>
      <c r="S903" s="791"/>
      <c r="T903" s="858"/>
      <c r="U903" s="916"/>
      <c r="V903" s="177">
        <v>250000</v>
      </c>
      <c r="W903" s="177" t="s">
        <v>2277</v>
      </c>
      <c r="X903" s="181"/>
      <c r="Y903" s="183"/>
    </row>
    <row r="904" spans="1:25" s="172" customFormat="1" ht="15" customHeight="1">
      <c r="A904" s="783"/>
      <c r="B904" s="783" t="s">
        <v>1375</v>
      </c>
      <c r="C904" s="783" t="s">
        <v>2724</v>
      </c>
      <c r="D904" s="783" t="s">
        <v>1588</v>
      </c>
      <c r="E904" s="783" t="s">
        <v>1508</v>
      </c>
      <c r="F904" s="937" t="s">
        <v>2725</v>
      </c>
      <c r="G904" s="783" t="s">
        <v>270</v>
      </c>
      <c r="H904" s="783"/>
      <c r="I904" s="965" t="s">
        <v>1687</v>
      </c>
      <c r="J904" s="783" t="s">
        <v>2718</v>
      </c>
      <c r="K904" s="783"/>
      <c r="L904" s="876" t="s">
        <v>2618</v>
      </c>
      <c r="M904" s="876">
        <v>45270</v>
      </c>
      <c r="N904" s="876"/>
      <c r="O904" s="876"/>
      <c r="P904" s="876"/>
      <c r="Q904" s="783" t="s">
        <v>2720</v>
      </c>
      <c r="R904" s="876"/>
      <c r="S904" s="783"/>
      <c r="T904" s="876"/>
      <c r="U904" s="918">
        <v>0</v>
      </c>
      <c r="V904" s="173">
        <v>100000</v>
      </c>
      <c r="W904" s="173" t="s">
        <v>1384</v>
      </c>
      <c r="X904" s="174"/>
      <c r="Y904" s="175"/>
    </row>
    <row r="905" spans="1:25" s="172" customFormat="1" ht="15" customHeight="1">
      <c r="A905" s="784"/>
      <c r="B905" s="784"/>
      <c r="C905" s="784"/>
      <c r="D905" s="784"/>
      <c r="E905" s="784"/>
      <c r="F905" s="938"/>
      <c r="G905" s="784"/>
      <c r="H905" s="784"/>
      <c r="I905" s="784"/>
      <c r="J905" s="784"/>
      <c r="K905" s="784"/>
      <c r="L905" s="877"/>
      <c r="M905" s="877"/>
      <c r="N905" s="877"/>
      <c r="O905" s="877"/>
      <c r="P905" s="877"/>
      <c r="Q905" s="784"/>
      <c r="R905" s="877"/>
      <c r="S905" s="784"/>
      <c r="T905" s="877"/>
      <c r="U905" s="919"/>
      <c r="V905" s="176">
        <v>200000</v>
      </c>
      <c r="W905" s="177" t="s">
        <v>59</v>
      </c>
      <c r="X905" s="178"/>
      <c r="Y905" s="175"/>
    </row>
    <row r="906" spans="1:25" s="179" customFormat="1" ht="15.75" customHeight="1">
      <c r="A906" s="791"/>
      <c r="B906" s="791" t="s">
        <v>1375</v>
      </c>
      <c r="C906" s="791" t="s">
        <v>2726</v>
      </c>
      <c r="D906" s="791" t="s">
        <v>1588</v>
      </c>
      <c r="E906" s="791" t="s">
        <v>2449</v>
      </c>
      <c r="F906" s="180" t="s">
        <v>2727</v>
      </c>
      <c r="G906" s="791" t="s">
        <v>2728</v>
      </c>
      <c r="H906" s="791"/>
      <c r="I906" s="791"/>
      <c r="J906" s="791" t="s">
        <v>2729</v>
      </c>
      <c r="K906" s="791"/>
      <c r="L906" s="858">
        <v>45056</v>
      </c>
      <c r="M906" s="858">
        <v>45215</v>
      </c>
      <c r="N906" s="858"/>
      <c r="O906" s="858"/>
      <c r="P906" s="858"/>
      <c r="Q906" s="791"/>
      <c r="R906" s="858"/>
      <c r="S906" s="791"/>
      <c r="T906" s="858"/>
      <c r="U906" s="916">
        <v>0</v>
      </c>
      <c r="V906" s="916"/>
      <c r="W906" s="916" t="s">
        <v>1384</v>
      </c>
      <c r="X906" s="858"/>
      <c r="Y906" s="182"/>
    </row>
    <row r="907" spans="1:25" s="179" customFormat="1" ht="15.75" customHeight="1">
      <c r="A907" s="791"/>
      <c r="B907" s="791"/>
      <c r="C907" s="791"/>
      <c r="D907" s="791"/>
      <c r="E907" s="791"/>
      <c r="F907" s="180" t="s">
        <v>2730</v>
      </c>
      <c r="G907" s="791"/>
      <c r="H907" s="791"/>
      <c r="I907" s="791"/>
      <c r="J907" s="791"/>
      <c r="K907" s="791"/>
      <c r="L907" s="858"/>
      <c r="M907" s="858"/>
      <c r="N907" s="858"/>
      <c r="O907" s="858"/>
      <c r="P907" s="858"/>
      <c r="Q907" s="791"/>
      <c r="R907" s="858"/>
      <c r="S907" s="791"/>
      <c r="T907" s="858"/>
      <c r="U907" s="916"/>
      <c r="V907" s="916"/>
      <c r="W907" s="916"/>
      <c r="X907" s="858"/>
      <c r="Y907" s="182"/>
    </row>
    <row r="908" spans="1:25" s="179" customFormat="1" ht="24.75" customHeight="1">
      <c r="A908" s="791"/>
      <c r="B908" s="791"/>
      <c r="C908" s="791"/>
      <c r="D908" s="791"/>
      <c r="E908" s="791"/>
      <c r="F908" s="180" t="s">
        <v>2731</v>
      </c>
      <c r="G908" s="791"/>
      <c r="H908" s="791"/>
      <c r="I908" s="791"/>
      <c r="J908" s="791"/>
      <c r="K908" s="791"/>
      <c r="L908" s="858"/>
      <c r="M908" s="858"/>
      <c r="N908" s="858"/>
      <c r="O908" s="858"/>
      <c r="P908" s="858"/>
      <c r="Q908" s="791"/>
      <c r="R908" s="858"/>
      <c r="S908" s="791"/>
      <c r="T908" s="858"/>
      <c r="U908" s="916"/>
      <c r="V908" s="177"/>
      <c r="W908" s="177" t="s">
        <v>59</v>
      </c>
      <c r="X908" s="181"/>
      <c r="Y908" s="182"/>
    </row>
    <row r="909" spans="1:25" s="172" customFormat="1" ht="15" customHeight="1">
      <c r="A909" s="783"/>
      <c r="B909" s="783" t="s">
        <v>1375</v>
      </c>
      <c r="C909" s="783" t="s">
        <v>2732</v>
      </c>
      <c r="D909" s="783" t="s">
        <v>1588</v>
      </c>
      <c r="E909" s="783" t="s">
        <v>2507</v>
      </c>
      <c r="F909" s="937"/>
      <c r="G909" s="783" t="s">
        <v>270</v>
      </c>
      <c r="H909" s="783"/>
      <c r="I909" s="783"/>
      <c r="J909" s="783" t="s">
        <v>2476</v>
      </c>
      <c r="K909" s="783"/>
      <c r="L909" s="876" t="s">
        <v>2733</v>
      </c>
      <c r="M909" s="876">
        <v>45217</v>
      </c>
      <c r="N909" s="876"/>
      <c r="O909" s="876"/>
      <c r="P909" s="876"/>
      <c r="Q909" s="783"/>
      <c r="R909" s="876"/>
      <c r="S909" s="783"/>
      <c r="T909" s="876"/>
      <c r="U909" s="918">
        <v>0</v>
      </c>
      <c r="V909" s="173"/>
      <c r="W909" s="173" t="s">
        <v>1384</v>
      </c>
      <c r="X909" s="174"/>
      <c r="Y909" s="175"/>
    </row>
    <row r="910" spans="1:25" s="172" customFormat="1" ht="15" customHeight="1">
      <c r="A910" s="784"/>
      <c r="B910" s="784"/>
      <c r="C910" s="784"/>
      <c r="D910" s="784"/>
      <c r="E910" s="784"/>
      <c r="F910" s="938"/>
      <c r="G910" s="784"/>
      <c r="H910" s="784"/>
      <c r="I910" s="784"/>
      <c r="J910" s="784"/>
      <c r="K910" s="784"/>
      <c r="L910" s="877"/>
      <c r="M910" s="877"/>
      <c r="N910" s="877"/>
      <c r="O910" s="877"/>
      <c r="P910" s="877"/>
      <c r="Q910" s="784"/>
      <c r="R910" s="877"/>
      <c r="S910" s="784"/>
      <c r="T910" s="877"/>
      <c r="U910" s="919"/>
      <c r="V910" s="176"/>
      <c r="W910" s="177" t="s">
        <v>59</v>
      </c>
      <c r="X910" s="178"/>
      <c r="Y910" s="175"/>
    </row>
    <row r="911" spans="1:25" s="175" customFormat="1" ht="15.75" customHeight="1">
      <c r="A911" s="791"/>
      <c r="B911" s="871" t="s">
        <v>1977</v>
      </c>
      <c r="C911" s="791" t="s">
        <v>2734</v>
      </c>
      <c r="D911" s="871" t="s">
        <v>1588</v>
      </c>
      <c r="E911" s="858" t="s">
        <v>1966</v>
      </c>
      <c r="F911" s="791" t="s">
        <v>2735</v>
      </c>
      <c r="G911" s="871" t="s">
        <v>71</v>
      </c>
      <c r="H911" s="791"/>
      <c r="I911" s="791"/>
      <c r="J911" s="791" t="s">
        <v>2736</v>
      </c>
      <c r="K911" s="791"/>
      <c r="L911" s="858" t="s">
        <v>2566</v>
      </c>
      <c r="M911" s="858"/>
      <c r="N911" s="858"/>
      <c r="O911" s="858"/>
      <c r="P911" s="858"/>
      <c r="Q911" s="791"/>
      <c r="R911" s="858"/>
      <c r="S911" s="791"/>
      <c r="T911" s="858"/>
      <c r="U911" s="916">
        <v>0</v>
      </c>
      <c r="V911" s="177">
        <v>50000</v>
      </c>
      <c r="W911" s="177" t="s">
        <v>59</v>
      </c>
      <c r="X911" s="181"/>
      <c r="Y911" s="183"/>
    </row>
    <row r="912" spans="1:25" s="175" customFormat="1" ht="15.75" customHeight="1">
      <c r="A912" s="791"/>
      <c r="B912" s="871"/>
      <c r="C912" s="791"/>
      <c r="D912" s="871"/>
      <c r="E912" s="791"/>
      <c r="F912" s="791"/>
      <c r="G912" s="871"/>
      <c r="H912" s="791"/>
      <c r="I912" s="791"/>
      <c r="J912" s="791"/>
      <c r="K912" s="791"/>
      <c r="L912" s="858"/>
      <c r="M912" s="858"/>
      <c r="N912" s="858"/>
      <c r="O912" s="858"/>
      <c r="P912" s="858"/>
      <c r="Q912" s="791"/>
      <c r="R912" s="858"/>
      <c r="S912" s="791"/>
      <c r="T912" s="858"/>
      <c r="U912" s="916"/>
      <c r="V912" s="177">
        <v>150000</v>
      </c>
      <c r="W912" s="177" t="s">
        <v>2277</v>
      </c>
      <c r="X912" s="181"/>
      <c r="Y912" s="183"/>
    </row>
    <row r="913" spans="1:24" ht="1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4"/>
      <c r="M913" s="35"/>
      <c r="N913" s="54"/>
      <c r="O913" s="54"/>
      <c r="P913" s="54"/>
      <c r="Q913" s="53"/>
      <c r="R913" s="53"/>
      <c r="S913" s="53"/>
      <c r="T913" s="36" t="s">
        <v>163</v>
      </c>
      <c r="U913" s="27">
        <f>SUM(U837:U912)</f>
        <v>156107870</v>
      </c>
      <c r="V913" s="27"/>
      <c r="W913" s="49"/>
      <c r="X913" s="53"/>
    </row>
    <row r="914" spans="1:24" ht="1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4"/>
      <c r="M914" s="35"/>
      <c r="N914" s="54"/>
      <c r="O914" s="54"/>
      <c r="P914" s="54"/>
      <c r="Q914" s="53"/>
      <c r="R914" s="53"/>
      <c r="S914" s="53"/>
      <c r="T914" s="36" t="s">
        <v>544</v>
      </c>
      <c r="U914" s="101">
        <v>100000000</v>
      </c>
      <c r="V914" s="102" t="s">
        <v>278</v>
      </c>
      <c r="W914" s="49"/>
      <c r="X914" s="53"/>
    </row>
    <row r="915" spans="1:24" ht="1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35"/>
      <c r="N915" s="35"/>
      <c r="O915" s="35"/>
      <c r="P915" s="35"/>
      <c r="Q915" s="23"/>
      <c r="R915" s="23"/>
      <c r="S915" s="23"/>
      <c r="T915" s="36"/>
      <c r="U915" s="27">
        <f>U913-U914</f>
        <v>56107870</v>
      </c>
      <c r="V915" s="102"/>
      <c r="W915" s="55"/>
      <c r="X915" s="23"/>
    </row>
    <row r="916" spans="1:24" ht="1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3"/>
      <c r="N916" s="22"/>
      <c r="O916" s="22"/>
      <c r="P916" s="22"/>
      <c r="Q916" s="22"/>
      <c r="R916" s="22"/>
      <c r="S916" s="22"/>
      <c r="T916" s="151" t="s">
        <v>165</v>
      </c>
      <c r="U916" s="27">
        <f>U913*15/100</f>
        <v>23416180.5</v>
      </c>
      <c r="V916" s="114"/>
      <c r="W916" s="22"/>
      <c r="X916" s="22"/>
    </row>
    <row r="917" spans="1:24" ht="1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3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9" spans="1:24" ht="48.25" customHeight="1">
      <c r="A919" s="798" t="s">
        <v>2737</v>
      </c>
      <c r="B919" s="799"/>
      <c r="C919" s="799"/>
      <c r="D919" s="799"/>
      <c r="E919" s="799"/>
      <c r="F919" s="799"/>
      <c r="G919" s="799"/>
      <c r="H919" s="799"/>
      <c r="I919" s="799"/>
      <c r="J919" s="799"/>
      <c r="K919" s="799"/>
      <c r="L919" s="799"/>
      <c r="M919" s="799"/>
      <c r="N919" s="799"/>
      <c r="O919" s="799"/>
      <c r="P919" s="799"/>
      <c r="Q919" s="799"/>
      <c r="R919" s="799"/>
      <c r="S919" s="799"/>
      <c r="T919" s="799"/>
      <c r="U919" s="799"/>
      <c r="V919" s="799"/>
      <c r="W919" s="799"/>
      <c r="X919" s="799"/>
    </row>
    <row r="920" spans="1:24" ht="20.9" customHeight="1">
      <c r="A920" s="115" t="s">
        <v>1</v>
      </c>
      <c r="B920" s="116" t="s">
        <v>2</v>
      </c>
      <c r="C920" s="117" t="s">
        <v>3</v>
      </c>
      <c r="D920" s="117" t="s">
        <v>4</v>
      </c>
      <c r="E920" s="117" t="s">
        <v>5</v>
      </c>
      <c r="F920" s="117" t="s">
        <v>6</v>
      </c>
      <c r="G920" s="117" t="s">
        <v>7</v>
      </c>
      <c r="H920" s="117" t="s">
        <v>2738</v>
      </c>
      <c r="I920" s="117" t="s">
        <v>9</v>
      </c>
      <c r="J920" s="117" t="s">
        <v>10</v>
      </c>
      <c r="K920" s="117" t="s">
        <v>11</v>
      </c>
      <c r="L920" s="117" t="s">
        <v>12</v>
      </c>
      <c r="M920" s="118" t="s">
        <v>13</v>
      </c>
      <c r="N920" s="117" t="s">
        <v>14</v>
      </c>
      <c r="O920" s="117" t="s">
        <v>15</v>
      </c>
      <c r="P920" s="117" t="s">
        <v>16</v>
      </c>
      <c r="Q920" s="119" t="s">
        <v>17</v>
      </c>
      <c r="R920" s="120" t="s">
        <v>18</v>
      </c>
      <c r="S920" s="120" t="s">
        <v>2739</v>
      </c>
      <c r="T920" s="120" t="s">
        <v>20</v>
      </c>
      <c r="U920" s="117" t="s">
        <v>21</v>
      </c>
      <c r="V920" s="117" t="s">
        <v>22</v>
      </c>
      <c r="W920" s="117" t="s">
        <v>23</v>
      </c>
      <c r="X920" s="117" t="s">
        <v>24</v>
      </c>
    </row>
    <row r="921" spans="1:24" ht="15" customHeight="1">
      <c r="A921" s="807" t="s">
        <v>25</v>
      </c>
      <c r="B921" s="808"/>
      <c r="C921" s="808"/>
      <c r="D921" s="808"/>
      <c r="E921" s="808"/>
      <c r="F921" s="851"/>
      <c r="G921" s="808"/>
      <c r="H921" s="808"/>
      <c r="I921" s="808"/>
      <c r="J921" s="808"/>
      <c r="K921" s="808"/>
      <c r="L921" s="808"/>
      <c r="M921" s="808"/>
      <c r="N921" s="808"/>
      <c r="O921" s="808"/>
      <c r="P921" s="808"/>
      <c r="Q921" s="808"/>
      <c r="R921" s="808"/>
      <c r="S921" s="808"/>
      <c r="T921" s="808"/>
      <c r="U921" s="808"/>
      <c r="V921" s="808"/>
      <c r="W921" s="808"/>
      <c r="X921" s="809"/>
    </row>
    <row r="922" spans="1:24" s="184" customFormat="1" ht="15" customHeight="1">
      <c r="A922" s="185">
        <v>1</v>
      </c>
      <c r="B922" s="186" t="s">
        <v>2740</v>
      </c>
      <c r="C922" s="185" t="s">
        <v>2741</v>
      </c>
      <c r="D922" s="186" t="s">
        <v>1588</v>
      </c>
      <c r="E922" s="187" t="s">
        <v>1572</v>
      </c>
      <c r="F922" s="185" t="s">
        <v>2742</v>
      </c>
      <c r="G922" s="188" t="s">
        <v>818</v>
      </c>
      <c r="H922" s="185" t="s">
        <v>2743</v>
      </c>
      <c r="I922" s="189" t="s">
        <v>2744</v>
      </c>
      <c r="J922" s="185" t="s">
        <v>2498</v>
      </c>
      <c r="K922" s="185" t="s">
        <v>201</v>
      </c>
      <c r="L922" s="190" t="s">
        <v>2745</v>
      </c>
      <c r="M922" s="190" t="s">
        <v>2746</v>
      </c>
      <c r="N922" s="190" t="s">
        <v>2747</v>
      </c>
      <c r="O922" s="190" t="s">
        <v>2747</v>
      </c>
      <c r="P922" s="190">
        <v>44937</v>
      </c>
      <c r="Q922" s="185" t="s">
        <v>2748</v>
      </c>
      <c r="R922" s="190">
        <v>44937</v>
      </c>
      <c r="S922" s="185" t="s">
        <v>2749</v>
      </c>
      <c r="T922" s="190" t="s">
        <v>2750</v>
      </c>
      <c r="U922" s="191">
        <v>1287800</v>
      </c>
      <c r="V922" s="191" t="s">
        <v>40</v>
      </c>
      <c r="W922" s="191" t="s">
        <v>40</v>
      </c>
      <c r="X922" s="192" t="s">
        <v>40</v>
      </c>
    </row>
    <row r="923" spans="1:24" s="184" customFormat="1" ht="30.4" customHeight="1">
      <c r="A923" s="193">
        <v>2</v>
      </c>
      <c r="B923" s="194" t="s">
        <v>2751</v>
      </c>
      <c r="C923" s="194" t="s">
        <v>2752</v>
      </c>
      <c r="D923" s="194" t="s">
        <v>2753</v>
      </c>
      <c r="E923" s="187" t="s">
        <v>2336</v>
      </c>
      <c r="F923" s="195" t="s">
        <v>2754</v>
      </c>
      <c r="G923" s="196" t="s">
        <v>818</v>
      </c>
      <c r="H923" s="194" t="s">
        <v>2755</v>
      </c>
      <c r="I923" s="197" t="s">
        <v>2756</v>
      </c>
      <c r="J923" s="185" t="s">
        <v>934</v>
      </c>
      <c r="K923" s="193" t="s">
        <v>2648</v>
      </c>
      <c r="L923" s="198" t="s">
        <v>2757</v>
      </c>
      <c r="M923" s="198" t="s">
        <v>2745</v>
      </c>
      <c r="N923" s="198" t="s">
        <v>2758</v>
      </c>
      <c r="O923" s="198" t="s">
        <v>2759</v>
      </c>
      <c r="P923" s="198">
        <v>45149</v>
      </c>
      <c r="Q923" s="193" t="s">
        <v>2760</v>
      </c>
      <c r="R923" s="198" t="s">
        <v>2761</v>
      </c>
      <c r="S923" s="194" t="s">
        <v>2762</v>
      </c>
      <c r="T923" s="198" t="s">
        <v>1515</v>
      </c>
      <c r="U923" s="199">
        <v>3695000</v>
      </c>
      <c r="V923" s="199">
        <v>100000</v>
      </c>
      <c r="W923" s="199" t="s">
        <v>2158</v>
      </c>
      <c r="X923" s="198">
        <v>45028</v>
      </c>
    </row>
    <row r="924" spans="1:24" s="184" customFormat="1" ht="15" customHeight="1">
      <c r="A924" s="185">
        <v>3</v>
      </c>
      <c r="B924" s="194" t="s">
        <v>2763</v>
      </c>
      <c r="C924" s="194" t="s">
        <v>2764</v>
      </c>
      <c r="D924" s="194" t="s">
        <v>2765</v>
      </c>
      <c r="E924" s="187" t="s">
        <v>2507</v>
      </c>
      <c r="F924" s="195" t="s">
        <v>2766</v>
      </c>
      <c r="G924" s="188" t="s">
        <v>2418</v>
      </c>
      <c r="H924" s="194" t="s">
        <v>2767</v>
      </c>
      <c r="I924" s="185" t="s">
        <v>40</v>
      </c>
      <c r="J924" s="185" t="s">
        <v>66</v>
      </c>
      <c r="K924" s="185" t="s">
        <v>40</v>
      </c>
      <c r="L924" s="190" t="s">
        <v>40</v>
      </c>
      <c r="M924" s="190" t="s">
        <v>40</v>
      </c>
      <c r="N924" s="190" t="s">
        <v>40</v>
      </c>
      <c r="O924" s="190" t="s">
        <v>40</v>
      </c>
      <c r="P924" s="190" t="s">
        <v>40</v>
      </c>
      <c r="Q924" s="185" t="s">
        <v>40</v>
      </c>
      <c r="R924" s="190" t="s">
        <v>2768</v>
      </c>
      <c r="S924" s="194" t="s">
        <v>2769</v>
      </c>
      <c r="T924" s="190" t="s">
        <v>2768</v>
      </c>
      <c r="U924" s="191">
        <v>10711655</v>
      </c>
      <c r="V924" s="191" t="s">
        <v>40</v>
      </c>
      <c r="W924" s="191" t="s">
        <v>40</v>
      </c>
      <c r="X924" s="190" t="s">
        <v>40</v>
      </c>
    </row>
    <row r="925" spans="1:24" s="184" customFormat="1" ht="21.4" customHeight="1">
      <c r="A925" s="185">
        <v>4</v>
      </c>
      <c r="B925" s="194" t="s">
        <v>2751</v>
      </c>
      <c r="C925" s="194" t="s">
        <v>2770</v>
      </c>
      <c r="D925" s="194" t="s">
        <v>2753</v>
      </c>
      <c r="E925" s="187" t="s">
        <v>2336</v>
      </c>
      <c r="F925" s="195" t="s">
        <v>2771</v>
      </c>
      <c r="G925" s="200" t="s">
        <v>818</v>
      </c>
      <c r="H925" s="194" t="s">
        <v>2772</v>
      </c>
      <c r="I925" s="201" t="s">
        <v>2773</v>
      </c>
      <c r="J925" s="185" t="s">
        <v>934</v>
      </c>
      <c r="K925" s="185" t="s">
        <v>194</v>
      </c>
      <c r="L925" s="190" t="s">
        <v>40</v>
      </c>
      <c r="M925" s="190" t="s">
        <v>2774</v>
      </c>
      <c r="N925" s="190" t="s">
        <v>2758</v>
      </c>
      <c r="O925" s="190" t="s">
        <v>2435</v>
      </c>
      <c r="P925" s="190" t="s">
        <v>2775</v>
      </c>
      <c r="Q925" s="185" t="s">
        <v>1798</v>
      </c>
      <c r="R925" s="190" t="s">
        <v>2758</v>
      </c>
      <c r="S925" s="194" t="s">
        <v>2776</v>
      </c>
      <c r="T925" s="190" t="s">
        <v>1515</v>
      </c>
      <c r="U925" s="191">
        <v>743000</v>
      </c>
      <c r="V925" s="191">
        <v>150000</v>
      </c>
      <c r="W925" s="199" t="s">
        <v>2158</v>
      </c>
      <c r="X925" s="198">
        <v>45028</v>
      </c>
    </row>
    <row r="926" spans="1:24" s="184" customFormat="1" ht="21.4" customHeight="1">
      <c r="A926" s="185">
        <v>5</v>
      </c>
      <c r="B926" s="194" t="s">
        <v>2751</v>
      </c>
      <c r="C926" s="194" t="s">
        <v>2777</v>
      </c>
      <c r="D926" s="194" t="s">
        <v>2753</v>
      </c>
      <c r="E926" s="187" t="s">
        <v>2336</v>
      </c>
      <c r="F926" s="195" t="s">
        <v>2778</v>
      </c>
      <c r="G926" s="188" t="s">
        <v>818</v>
      </c>
      <c r="H926" s="194" t="s">
        <v>2779</v>
      </c>
      <c r="I926" s="201" t="s">
        <v>2780</v>
      </c>
      <c r="J926" s="185" t="s">
        <v>934</v>
      </c>
      <c r="K926" s="185" t="s">
        <v>194</v>
      </c>
      <c r="L926" s="190" t="s">
        <v>2774</v>
      </c>
      <c r="M926" s="190" t="s">
        <v>2746</v>
      </c>
      <c r="N926" s="190">
        <v>44937</v>
      </c>
      <c r="O926" s="190">
        <v>44937</v>
      </c>
      <c r="P926" s="190">
        <v>44968</v>
      </c>
      <c r="Q926" s="185" t="s">
        <v>2748</v>
      </c>
      <c r="R926" s="190">
        <v>44937</v>
      </c>
      <c r="S926" s="194" t="s">
        <v>2781</v>
      </c>
      <c r="T926" s="190" t="s">
        <v>1515</v>
      </c>
      <c r="U926" s="191">
        <v>673000</v>
      </c>
      <c r="V926" s="191">
        <v>150000</v>
      </c>
      <c r="W926" s="199" t="s">
        <v>2158</v>
      </c>
      <c r="X926" s="198">
        <v>45028</v>
      </c>
    </row>
    <row r="927" spans="1:24" ht="1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4"/>
      <c r="M927" s="24"/>
      <c r="N927" s="24"/>
      <c r="O927" s="24"/>
      <c r="P927" s="24"/>
      <c r="Q927" s="22"/>
      <c r="R927" s="22"/>
      <c r="S927" s="22"/>
      <c r="T927" s="36" t="s">
        <v>163</v>
      </c>
      <c r="U927" s="27">
        <f>SUM(U922:U926)</f>
        <v>17110455</v>
      </c>
      <c r="V927" s="27"/>
      <c r="W927" s="29"/>
      <c r="X927" s="22"/>
    </row>
    <row r="928" spans="1:24" ht="1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4"/>
      <c r="M928" s="24"/>
      <c r="N928" s="24"/>
      <c r="O928" s="24"/>
      <c r="P928" s="24"/>
      <c r="Q928" s="22"/>
      <c r="R928" s="22"/>
      <c r="S928" s="22"/>
      <c r="T928" s="36" t="s">
        <v>544</v>
      </c>
      <c r="U928" s="101">
        <v>105000000</v>
      </c>
      <c r="V928" s="102" t="s">
        <v>278</v>
      </c>
      <c r="W928" s="29"/>
      <c r="X928" s="22"/>
    </row>
    <row r="929" spans="1:24" ht="1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4"/>
      <c r="N929" s="24"/>
      <c r="O929" s="24"/>
      <c r="P929" s="24"/>
      <c r="Q929" s="22"/>
      <c r="R929" s="22"/>
      <c r="S929" s="22"/>
      <c r="T929" s="36"/>
      <c r="U929" s="27"/>
      <c r="V929" s="102"/>
      <c r="W929" s="29"/>
      <c r="X929" s="22"/>
    </row>
    <row r="930" spans="1:24" ht="1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151" t="s">
        <v>165</v>
      </c>
      <c r="U930" s="27">
        <f>U927*10/100</f>
        <v>1711045.5</v>
      </c>
      <c r="V930" s="114"/>
      <c r="W930" s="22"/>
      <c r="X930" s="22"/>
    </row>
    <row r="931" spans="1:24" ht="1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3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38.9" customHeight="1">
      <c r="A932" s="798" t="s">
        <v>2782</v>
      </c>
      <c r="B932" s="799"/>
      <c r="C932" s="799"/>
      <c r="D932" s="799"/>
      <c r="E932" s="799"/>
      <c r="F932" s="799"/>
      <c r="G932" s="799"/>
      <c r="H932" s="799"/>
      <c r="I932" s="799"/>
      <c r="J932" s="799"/>
      <c r="K932" s="799"/>
      <c r="L932" s="799"/>
      <c r="M932" s="799"/>
      <c r="N932" s="799"/>
      <c r="O932" s="799"/>
      <c r="P932" s="799"/>
      <c r="Q932" s="799"/>
      <c r="R932" s="799"/>
      <c r="S932" s="799"/>
      <c r="T932" s="799"/>
      <c r="U932" s="799"/>
      <c r="V932" s="799"/>
      <c r="W932" s="799"/>
      <c r="X932" s="799"/>
    </row>
    <row r="933" spans="1:24" ht="31.5" customHeight="1">
      <c r="A933" s="115" t="s">
        <v>1</v>
      </c>
      <c r="B933" s="116" t="s">
        <v>2</v>
      </c>
      <c r="C933" s="117" t="s">
        <v>3</v>
      </c>
      <c r="D933" s="117" t="s">
        <v>4</v>
      </c>
      <c r="E933" s="117" t="s">
        <v>5</v>
      </c>
      <c r="F933" s="117" t="s">
        <v>6</v>
      </c>
      <c r="G933" s="117" t="s">
        <v>7</v>
      </c>
      <c r="H933" s="117" t="s">
        <v>2738</v>
      </c>
      <c r="I933" s="117" t="s">
        <v>9</v>
      </c>
      <c r="J933" s="117" t="s">
        <v>10</v>
      </c>
      <c r="K933" s="117" t="s">
        <v>11</v>
      </c>
      <c r="L933" s="117" t="s">
        <v>12</v>
      </c>
      <c r="M933" s="118" t="s">
        <v>13</v>
      </c>
      <c r="N933" s="117" t="s">
        <v>14</v>
      </c>
      <c r="O933" s="117" t="s">
        <v>15</v>
      </c>
      <c r="P933" s="117" t="s">
        <v>16</v>
      </c>
      <c r="Q933" s="119" t="s">
        <v>17</v>
      </c>
      <c r="R933" s="120" t="s">
        <v>18</v>
      </c>
      <c r="S933" s="120" t="s">
        <v>2739</v>
      </c>
      <c r="T933" s="120" t="s">
        <v>20</v>
      </c>
      <c r="U933" s="117" t="s">
        <v>21</v>
      </c>
      <c r="V933" s="117" t="s">
        <v>22</v>
      </c>
      <c r="W933" s="117" t="s">
        <v>23</v>
      </c>
      <c r="X933" s="117" t="s">
        <v>24</v>
      </c>
    </row>
    <row r="934" spans="1:24" ht="15" customHeight="1">
      <c r="A934" s="807" t="s">
        <v>25</v>
      </c>
      <c r="B934" s="808"/>
      <c r="C934" s="808"/>
      <c r="D934" s="808"/>
      <c r="E934" s="808"/>
      <c r="F934" s="808"/>
      <c r="G934" s="808"/>
      <c r="H934" s="808"/>
      <c r="I934" s="808"/>
      <c r="J934" s="808"/>
      <c r="K934" s="808"/>
      <c r="L934" s="808"/>
      <c r="M934" s="808"/>
      <c r="N934" s="808"/>
      <c r="O934" s="808"/>
      <c r="P934" s="808"/>
      <c r="Q934" s="808"/>
      <c r="R934" s="808"/>
      <c r="S934" s="808"/>
      <c r="T934" s="808"/>
      <c r="U934" s="808"/>
      <c r="V934" s="808"/>
      <c r="W934" s="808"/>
      <c r="X934" s="809"/>
    </row>
    <row r="935" spans="1:24" ht="28.75" customHeight="1">
      <c r="A935" s="96">
        <v>1</v>
      </c>
      <c r="B935" s="202" t="s">
        <v>2783</v>
      </c>
      <c r="C935" s="202" t="s">
        <v>2784</v>
      </c>
      <c r="D935" s="202" t="s">
        <v>2785</v>
      </c>
      <c r="E935" s="202" t="s">
        <v>450</v>
      </c>
      <c r="F935" s="202" t="s">
        <v>2786</v>
      </c>
      <c r="G935" s="130" t="s">
        <v>270</v>
      </c>
      <c r="H935" s="202" t="s">
        <v>2787</v>
      </c>
      <c r="I935" s="104" t="s">
        <v>2788</v>
      </c>
      <c r="J935" s="96" t="s">
        <v>2563</v>
      </c>
      <c r="K935" s="96" t="s">
        <v>99</v>
      </c>
      <c r="L935" s="94" t="s">
        <v>2789</v>
      </c>
      <c r="M935" s="94" t="s">
        <v>2790</v>
      </c>
      <c r="N935" s="94" t="s">
        <v>2791</v>
      </c>
      <c r="O935" s="94" t="s">
        <v>2791</v>
      </c>
      <c r="P935" s="94" t="s">
        <v>2792</v>
      </c>
      <c r="Q935" s="96" t="s">
        <v>2793</v>
      </c>
      <c r="R935" s="94" t="s">
        <v>2792</v>
      </c>
      <c r="S935" s="96" t="s">
        <v>2794</v>
      </c>
      <c r="T935" s="94">
        <v>44938</v>
      </c>
      <c r="U935" s="93">
        <v>6432725</v>
      </c>
      <c r="V935" s="93" t="s">
        <v>40</v>
      </c>
      <c r="W935" s="93" t="s">
        <v>40</v>
      </c>
      <c r="X935" s="94" t="s">
        <v>40</v>
      </c>
    </row>
    <row r="936" spans="1:24" ht="15" customHeight="1">
      <c r="A936" s="96">
        <v>2</v>
      </c>
      <c r="B936" s="202" t="s">
        <v>2795</v>
      </c>
      <c r="C936" s="202" t="s">
        <v>2796</v>
      </c>
      <c r="D936" s="202" t="s">
        <v>2797</v>
      </c>
      <c r="E936" s="202" t="s">
        <v>1966</v>
      </c>
      <c r="F936" s="202" t="s">
        <v>2798</v>
      </c>
      <c r="G936" s="96" t="s">
        <v>818</v>
      </c>
      <c r="H936" s="202" t="s">
        <v>2799</v>
      </c>
      <c r="I936" s="96" t="s">
        <v>40</v>
      </c>
      <c r="J936" s="96" t="s">
        <v>2800</v>
      </c>
      <c r="K936" s="96" t="s">
        <v>99</v>
      </c>
      <c r="L936" s="94" t="s">
        <v>40</v>
      </c>
      <c r="M936" s="94" t="s">
        <v>40</v>
      </c>
      <c r="N936" s="121" t="s">
        <v>40</v>
      </c>
      <c r="O936" s="121" t="s">
        <v>40</v>
      </c>
      <c r="P936" s="121" t="s">
        <v>40</v>
      </c>
      <c r="Q936" s="124" t="s">
        <v>2801</v>
      </c>
      <c r="R936" s="94" t="s">
        <v>2536</v>
      </c>
      <c r="S936" s="124" t="s">
        <v>2802</v>
      </c>
      <c r="T936" s="121">
        <v>44938</v>
      </c>
      <c r="U936" s="93">
        <v>290000</v>
      </c>
      <c r="V936" s="93" t="s">
        <v>40</v>
      </c>
      <c r="W936" s="93" t="s">
        <v>40</v>
      </c>
      <c r="X936" s="94" t="s">
        <v>40</v>
      </c>
    </row>
    <row r="937" spans="1:24" ht="15" customHeight="1">
      <c r="A937" s="850" t="s">
        <v>128</v>
      </c>
      <c r="B937" s="850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203"/>
    </row>
    <row r="938" spans="1:24" ht="15" customHeight="1">
      <c r="A938" s="96">
        <v>3</v>
      </c>
      <c r="B938" s="202" t="s">
        <v>2803</v>
      </c>
      <c r="C938" s="202" t="s">
        <v>2804</v>
      </c>
      <c r="D938" s="202" t="s">
        <v>2805</v>
      </c>
      <c r="E938" s="202" t="s">
        <v>2373</v>
      </c>
      <c r="F938" s="202" t="s">
        <v>2806</v>
      </c>
      <c r="G938" s="96" t="s">
        <v>270</v>
      </c>
      <c r="H938" s="202" t="s">
        <v>2807</v>
      </c>
      <c r="I938" s="104" t="s">
        <v>2808</v>
      </c>
      <c r="J938" s="96" t="s">
        <v>2809</v>
      </c>
      <c r="K938" s="96" t="s">
        <v>2810</v>
      </c>
      <c r="L938" s="94" t="s">
        <v>2494</v>
      </c>
      <c r="M938" s="94" t="s">
        <v>2811</v>
      </c>
      <c r="N938" s="793" t="s">
        <v>2812</v>
      </c>
      <c r="O938" s="793"/>
      <c r="P938" s="793"/>
      <c r="Q938" s="96" t="s">
        <v>2813</v>
      </c>
      <c r="R938" s="94" t="s">
        <v>2536</v>
      </c>
      <c r="S938" s="96" t="s">
        <v>2814</v>
      </c>
      <c r="T938" s="94">
        <v>44938</v>
      </c>
      <c r="U938" s="93">
        <v>271762</v>
      </c>
      <c r="V938" s="93" t="s">
        <v>40</v>
      </c>
      <c r="W938" s="93" t="s">
        <v>40</v>
      </c>
      <c r="X938" s="96" t="s">
        <v>40</v>
      </c>
    </row>
    <row r="939" spans="1:24" ht="15" customHeight="1">
      <c r="A939" s="822">
        <v>4</v>
      </c>
      <c r="B939" s="825" t="s">
        <v>2816</v>
      </c>
      <c r="C939" s="822" t="s">
        <v>2817</v>
      </c>
      <c r="D939" s="825" t="s">
        <v>1618</v>
      </c>
      <c r="E939" s="832" t="s">
        <v>122</v>
      </c>
      <c r="F939" s="204" t="s">
        <v>2818</v>
      </c>
      <c r="G939" s="831" t="s">
        <v>2819</v>
      </c>
      <c r="H939" s="822" t="s">
        <v>2820</v>
      </c>
      <c r="I939" s="883" t="s">
        <v>2821</v>
      </c>
      <c r="J939" s="822" t="s">
        <v>2822</v>
      </c>
      <c r="K939" s="822" t="s">
        <v>2427</v>
      </c>
      <c r="L939" s="822" t="s">
        <v>2823</v>
      </c>
      <c r="M939" s="829">
        <v>44938</v>
      </c>
      <c r="N939" s="829">
        <v>45028</v>
      </c>
      <c r="O939" s="207"/>
      <c r="P939" s="207"/>
      <c r="Q939" s="822" t="s">
        <v>2760</v>
      </c>
      <c r="R939" s="829" t="s">
        <v>2824</v>
      </c>
      <c r="S939" s="822" t="s">
        <v>2825</v>
      </c>
      <c r="T939" s="829">
        <v>45351</v>
      </c>
      <c r="U939" s="822">
        <v>4420000</v>
      </c>
      <c r="V939" s="822">
        <v>550000</v>
      </c>
      <c r="W939" s="822" t="s">
        <v>2158</v>
      </c>
      <c r="X939" s="829">
        <v>45295</v>
      </c>
    </row>
    <row r="940" spans="1:24" ht="15" customHeight="1">
      <c r="A940" s="822"/>
      <c r="B940" s="825"/>
      <c r="C940" s="822"/>
      <c r="D940" s="825"/>
      <c r="E940" s="832"/>
      <c r="F940" s="204" t="s">
        <v>2826</v>
      </c>
      <c r="G940" s="831"/>
      <c r="H940" s="822"/>
      <c r="I940" s="822"/>
      <c r="J940" s="822"/>
      <c r="K940" s="822"/>
      <c r="L940" s="822"/>
      <c r="M940" s="829"/>
      <c r="N940" s="829"/>
      <c r="O940" s="207"/>
      <c r="P940" s="207"/>
      <c r="Q940" s="822"/>
      <c r="R940" s="829"/>
      <c r="S940" s="822"/>
      <c r="T940" s="829"/>
      <c r="U940" s="822"/>
      <c r="V940" s="822"/>
      <c r="W940" s="822"/>
      <c r="X940" s="829"/>
    </row>
    <row r="941" spans="1:24" ht="15" customHeight="1">
      <c r="A941" s="822"/>
      <c r="B941" s="825"/>
      <c r="C941" s="822"/>
      <c r="D941" s="825"/>
      <c r="E941" s="832"/>
      <c r="F941" s="204" t="s">
        <v>2827</v>
      </c>
      <c r="G941" s="831"/>
      <c r="H941" s="822"/>
      <c r="I941" s="822"/>
      <c r="J941" s="822"/>
      <c r="K941" s="822"/>
      <c r="L941" s="822"/>
      <c r="M941" s="829"/>
      <c r="N941" s="829"/>
      <c r="O941" s="207"/>
      <c r="P941" s="207"/>
      <c r="Q941" s="822"/>
      <c r="R941" s="829"/>
      <c r="S941" s="822"/>
      <c r="T941" s="829"/>
      <c r="U941" s="822"/>
      <c r="V941" s="822"/>
      <c r="W941" s="822"/>
      <c r="X941" s="829"/>
    </row>
    <row r="942" spans="1:24" ht="15" customHeight="1">
      <c r="A942" s="822"/>
      <c r="B942" s="825"/>
      <c r="C942" s="822"/>
      <c r="D942" s="825"/>
      <c r="E942" s="832"/>
      <c r="F942" s="204" t="s">
        <v>2828</v>
      </c>
      <c r="G942" s="831"/>
      <c r="H942" s="822"/>
      <c r="I942" s="822"/>
      <c r="J942" s="822"/>
      <c r="K942" s="822"/>
      <c r="L942" s="822"/>
      <c r="M942" s="829"/>
      <c r="N942" s="829"/>
      <c r="O942" s="207"/>
      <c r="P942" s="207"/>
      <c r="Q942" s="822"/>
      <c r="R942" s="829"/>
      <c r="S942" s="822"/>
      <c r="T942" s="829"/>
      <c r="U942" s="822"/>
      <c r="V942" s="822"/>
      <c r="W942" s="822"/>
      <c r="X942" s="829"/>
    </row>
    <row r="943" spans="1:24" ht="15" customHeight="1">
      <c r="A943" s="822"/>
      <c r="B943" s="825"/>
      <c r="C943" s="822"/>
      <c r="D943" s="825"/>
      <c r="E943" s="832"/>
      <c r="F943" s="204" t="s">
        <v>2829</v>
      </c>
      <c r="G943" s="831"/>
      <c r="H943" s="822"/>
      <c r="I943" s="822"/>
      <c r="J943" s="822"/>
      <c r="K943" s="822"/>
      <c r="L943" s="822"/>
      <c r="M943" s="829"/>
      <c r="N943" s="829"/>
      <c r="O943" s="207"/>
      <c r="P943" s="207"/>
      <c r="Q943" s="822"/>
      <c r="R943" s="829"/>
      <c r="S943" s="822"/>
      <c r="T943" s="829"/>
      <c r="U943" s="822"/>
      <c r="V943" s="822"/>
      <c r="W943" s="822"/>
      <c r="X943" s="829"/>
    </row>
    <row r="944" spans="1:24" ht="15" customHeight="1">
      <c r="A944" s="822"/>
      <c r="B944" s="825"/>
      <c r="C944" s="822"/>
      <c r="D944" s="825"/>
      <c r="E944" s="832"/>
      <c r="F944" s="204" t="s">
        <v>2830</v>
      </c>
      <c r="G944" s="831"/>
      <c r="H944" s="822"/>
      <c r="I944" s="822"/>
      <c r="J944" s="822"/>
      <c r="K944" s="822"/>
      <c r="L944" s="822"/>
      <c r="M944" s="829"/>
      <c r="N944" s="829"/>
      <c r="O944" s="207"/>
      <c r="P944" s="207"/>
      <c r="Q944" s="822"/>
      <c r="R944" s="829"/>
      <c r="S944" s="822"/>
      <c r="T944" s="829"/>
      <c r="U944" s="822"/>
      <c r="V944" s="822"/>
      <c r="W944" s="822"/>
      <c r="X944" s="829"/>
    </row>
    <row r="945" spans="1:24" ht="15" customHeight="1">
      <c r="A945" s="822"/>
      <c r="B945" s="825"/>
      <c r="C945" s="822"/>
      <c r="D945" s="825"/>
      <c r="E945" s="832"/>
      <c r="F945" s="204" t="s">
        <v>2831</v>
      </c>
      <c r="G945" s="831"/>
      <c r="H945" s="822"/>
      <c r="I945" s="822"/>
      <c r="J945" s="822"/>
      <c r="K945" s="822"/>
      <c r="L945" s="822"/>
      <c r="M945" s="829"/>
      <c r="N945" s="829"/>
      <c r="O945" s="207"/>
      <c r="P945" s="207"/>
      <c r="Q945" s="822"/>
      <c r="R945" s="829"/>
      <c r="S945" s="822"/>
      <c r="T945" s="829"/>
      <c r="U945" s="822"/>
      <c r="V945" s="822"/>
      <c r="W945" s="822"/>
      <c r="X945" s="829"/>
    </row>
    <row r="946" spans="1:24" ht="15" customHeight="1">
      <c r="A946" s="822"/>
      <c r="B946" s="825"/>
      <c r="C946" s="822"/>
      <c r="D946" s="825"/>
      <c r="E946" s="832"/>
      <c r="F946" s="204" t="s">
        <v>2832</v>
      </c>
      <c r="G946" s="831"/>
      <c r="H946" s="822"/>
      <c r="I946" s="822"/>
      <c r="J946" s="822"/>
      <c r="K946" s="822"/>
      <c r="L946" s="822"/>
      <c r="M946" s="829"/>
      <c r="N946" s="829"/>
      <c r="O946" s="207"/>
      <c r="P946" s="207"/>
      <c r="Q946" s="822"/>
      <c r="R946" s="829"/>
      <c r="S946" s="822"/>
      <c r="T946" s="829"/>
      <c r="U946" s="822"/>
      <c r="V946" s="822"/>
      <c r="W946" s="822"/>
      <c r="X946" s="829"/>
    </row>
    <row r="947" spans="1:24" ht="15" customHeight="1">
      <c r="A947" s="822"/>
      <c r="B947" s="825"/>
      <c r="C947" s="822"/>
      <c r="D947" s="825"/>
      <c r="E947" s="832"/>
      <c r="F947" s="204" t="s">
        <v>2833</v>
      </c>
      <c r="G947" s="831"/>
      <c r="H947" s="822"/>
      <c r="I947" s="822"/>
      <c r="J947" s="822"/>
      <c r="K947" s="822"/>
      <c r="L947" s="822"/>
      <c r="M947" s="829"/>
      <c r="N947" s="829"/>
      <c r="O947" s="207"/>
      <c r="P947" s="207"/>
      <c r="Q947" s="822"/>
      <c r="R947" s="829"/>
      <c r="S947" s="822"/>
      <c r="T947" s="829"/>
      <c r="U947" s="822"/>
      <c r="V947" s="822"/>
      <c r="W947" s="822"/>
      <c r="X947" s="829"/>
    </row>
    <row r="948" spans="1:24" ht="15" customHeight="1">
      <c r="A948" s="822"/>
      <c r="B948" s="825"/>
      <c r="C948" s="822"/>
      <c r="D948" s="825"/>
      <c r="E948" s="832"/>
      <c r="F948" s="204" t="s">
        <v>2834</v>
      </c>
      <c r="G948" s="831"/>
      <c r="H948" s="822"/>
      <c r="I948" s="822"/>
      <c r="J948" s="822"/>
      <c r="K948" s="822"/>
      <c r="L948" s="822"/>
      <c r="M948" s="829"/>
      <c r="N948" s="829"/>
      <c r="O948" s="207"/>
      <c r="P948" s="207"/>
      <c r="Q948" s="822"/>
      <c r="R948" s="829"/>
      <c r="S948" s="822"/>
      <c r="T948" s="829"/>
      <c r="U948" s="822"/>
      <c r="V948" s="822"/>
      <c r="W948" s="822"/>
      <c r="X948" s="829"/>
    </row>
    <row r="949" spans="1:24" s="160" customFormat="1" ht="26.9" customHeight="1">
      <c r="A949" s="208">
        <v>5</v>
      </c>
      <c r="B949" s="209" t="s">
        <v>2816</v>
      </c>
      <c r="C949" s="208" t="s">
        <v>2835</v>
      </c>
      <c r="D949" s="209" t="s">
        <v>1618</v>
      </c>
      <c r="E949" s="208" t="s">
        <v>816</v>
      </c>
      <c r="F949" s="208" t="s">
        <v>2836</v>
      </c>
      <c r="G949" s="209" t="s">
        <v>71</v>
      </c>
      <c r="H949" s="208" t="s">
        <v>2837</v>
      </c>
      <c r="I949" s="210" t="s">
        <v>2838</v>
      </c>
      <c r="J949" s="208" t="s">
        <v>2839</v>
      </c>
      <c r="K949" s="208" t="s">
        <v>194</v>
      </c>
      <c r="L949" s="208" t="s">
        <v>2750</v>
      </c>
      <c r="M949" s="211">
        <v>44938</v>
      </c>
      <c r="N949" s="211">
        <v>45028</v>
      </c>
      <c r="O949" s="211">
        <v>45028</v>
      </c>
      <c r="P949" s="211">
        <v>45058</v>
      </c>
      <c r="Q949" s="208" t="s">
        <v>2840</v>
      </c>
      <c r="R949" s="211">
        <v>45278</v>
      </c>
      <c r="S949" s="208" t="s">
        <v>2841</v>
      </c>
      <c r="T949" s="211"/>
      <c r="U949" s="208">
        <v>973000</v>
      </c>
      <c r="V949" s="208">
        <v>100000</v>
      </c>
      <c r="W949" s="208" t="s">
        <v>2158</v>
      </c>
      <c r="X949" s="211">
        <v>45295</v>
      </c>
    </row>
    <row r="950" spans="1:24" ht="15" customHeight="1">
      <c r="A950" s="822">
        <v>6</v>
      </c>
      <c r="B950" s="825" t="s">
        <v>2816</v>
      </c>
      <c r="C950" s="822" t="s">
        <v>2842</v>
      </c>
      <c r="D950" s="825" t="s">
        <v>1618</v>
      </c>
      <c r="E950" s="832" t="s">
        <v>122</v>
      </c>
      <c r="F950" s="204" t="s">
        <v>2843</v>
      </c>
      <c r="G950" s="831" t="s">
        <v>2819</v>
      </c>
      <c r="H950" s="822" t="s">
        <v>2844</v>
      </c>
      <c r="I950" s="883" t="s">
        <v>2845</v>
      </c>
      <c r="J950" s="822" t="s">
        <v>2822</v>
      </c>
      <c r="K950" s="822" t="s">
        <v>2427</v>
      </c>
      <c r="L950" s="822" t="s">
        <v>2823</v>
      </c>
      <c r="M950" s="829">
        <v>44938</v>
      </c>
      <c r="N950" s="829">
        <v>45028</v>
      </c>
      <c r="O950" s="207"/>
      <c r="P950" s="207"/>
      <c r="Q950" s="822" t="s">
        <v>2760</v>
      </c>
      <c r="R950" s="829" t="s">
        <v>2824</v>
      </c>
      <c r="S950" s="822" t="s">
        <v>2846</v>
      </c>
      <c r="T950" s="829">
        <v>45351</v>
      </c>
      <c r="U950" s="822">
        <v>4930000</v>
      </c>
      <c r="V950" s="822">
        <v>550000</v>
      </c>
      <c r="W950" s="822" t="s">
        <v>2158</v>
      </c>
      <c r="X950" s="829">
        <v>45295</v>
      </c>
    </row>
    <row r="951" spans="1:24" ht="15" customHeight="1">
      <c r="A951" s="822"/>
      <c r="B951" s="825"/>
      <c r="C951" s="822"/>
      <c r="D951" s="825"/>
      <c r="E951" s="832"/>
      <c r="F951" s="204" t="s">
        <v>2847</v>
      </c>
      <c r="G951" s="831"/>
      <c r="H951" s="822"/>
      <c r="I951" s="822"/>
      <c r="J951" s="822"/>
      <c r="K951" s="822"/>
      <c r="L951" s="822"/>
      <c r="M951" s="829"/>
      <c r="N951" s="829"/>
      <c r="O951" s="207"/>
      <c r="P951" s="207"/>
      <c r="Q951" s="822"/>
      <c r="R951" s="829"/>
      <c r="S951" s="822"/>
      <c r="T951" s="829"/>
      <c r="U951" s="822"/>
      <c r="V951" s="822"/>
      <c r="W951" s="822"/>
      <c r="X951" s="829"/>
    </row>
    <row r="952" spans="1:24" ht="15" customHeight="1">
      <c r="A952" s="822"/>
      <c r="B952" s="825"/>
      <c r="C952" s="822"/>
      <c r="D952" s="825"/>
      <c r="E952" s="832"/>
      <c r="F952" s="204" t="s">
        <v>2848</v>
      </c>
      <c r="G952" s="831"/>
      <c r="H952" s="822"/>
      <c r="I952" s="822"/>
      <c r="J952" s="822"/>
      <c r="K952" s="822"/>
      <c r="L952" s="822"/>
      <c r="M952" s="829"/>
      <c r="N952" s="829"/>
      <c r="O952" s="207"/>
      <c r="P952" s="207"/>
      <c r="Q952" s="822"/>
      <c r="R952" s="829"/>
      <c r="S952" s="822"/>
      <c r="T952" s="829"/>
      <c r="U952" s="822"/>
      <c r="V952" s="822"/>
      <c r="W952" s="822"/>
      <c r="X952" s="829"/>
    </row>
    <row r="953" spans="1:24" ht="15" customHeight="1">
      <c r="A953" s="822"/>
      <c r="B953" s="825"/>
      <c r="C953" s="822"/>
      <c r="D953" s="825"/>
      <c r="E953" s="832"/>
      <c r="F953" s="204" t="s">
        <v>2849</v>
      </c>
      <c r="G953" s="831"/>
      <c r="H953" s="822"/>
      <c r="I953" s="822"/>
      <c r="J953" s="822"/>
      <c r="K953" s="822"/>
      <c r="L953" s="822"/>
      <c r="M953" s="829"/>
      <c r="N953" s="829"/>
      <c r="O953" s="207"/>
      <c r="P953" s="207"/>
      <c r="Q953" s="822"/>
      <c r="R953" s="829"/>
      <c r="S953" s="822"/>
      <c r="T953" s="829"/>
      <c r="U953" s="822"/>
      <c r="V953" s="822"/>
      <c r="W953" s="822"/>
      <c r="X953" s="829"/>
    </row>
    <row r="954" spans="1:24" ht="15" customHeight="1">
      <c r="A954" s="822"/>
      <c r="B954" s="825"/>
      <c r="C954" s="822"/>
      <c r="D954" s="825"/>
      <c r="E954" s="832"/>
      <c r="F954" s="204" t="s">
        <v>2850</v>
      </c>
      <c r="G954" s="831"/>
      <c r="H954" s="822"/>
      <c r="I954" s="822"/>
      <c r="J954" s="822"/>
      <c r="K954" s="822"/>
      <c r="L954" s="822"/>
      <c r="M954" s="829"/>
      <c r="N954" s="829"/>
      <c r="O954" s="207"/>
      <c r="P954" s="207"/>
      <c r="Q954" s="822"/>
      <c r="R954" s="829"/>
      <c r="S954" s="822"/>
      <c r="T954" s="829"/>
      <c r="U954" s="822"/>
      <c r="V954" s="822"/>
      <c r="W954" s="822"/>
      <c r="X954" s="829"/>
    </row>
    <row r="955" spans="1:24" ht="15" customHeight="1">
      <c r="A955" s="822"/>
      <c r="B955" s="825"/>
      <c r="C955" s="822"/>
      <c r="D955" s="825"/>
      <c r="E955" s="832"/>
      <c r="F955" s="204" t="s">
        <v>2851</v>
      </c>
      <c r="G955" s="831"/>
      <c r="H955" s="822"/>
      <c r="I955" s="822"/>
      <c r="J955" s="822"/>
      <c r="K955" s="822"/>
      <c r="L955" s="822"/>
      <c r="M955" s="829"/>
      <c r="N955" s="829"/>
      <c r="O955" s="207"/>
      <c r="P955" s="207"/>
      <c r="Q955" s="822"/>
      <c r="R955" s="829"/>
      <c r="S955" s="822"/>
      <c r="T955" s="829"/>
      <c r="U955" s="822"/>
      <c r="V955" s="822"/>
      <c r="W955" s="822"/>
      <c r="X955" s="829"/>
    </row>
    <row r="956" spans="1:24" ht="15" customHeight="1">
      <c r="A956" s="822"/>
      <c r="B956" s="825"/>
      <c r="C956" s="822"/>
      <c r="D956" s="825"/>
      <c r="E956" s="832"/>
      <c r="F956" s="204" t="s">
        <v>2852</v>
      </c>
      <c r="G956" s="831"/>
      <c r="H956" s="822"/>
      <c r="I956" s="822"/>
      <c r="J956" s="822"/>
      <c r="K956" s="822"/>
      <c r="L956" s="822"/>
      <c r="M956" s="829"/>
      <c r="N956" s="829"/>
      <c r="O956" s="207"/>
      <c r="P956" s="207"/>
      <c r="Q956" s="822"/>
      <c r="R956" s="829"/>
      <c r="S956" s="822"/>
      <c r="T956" s="829"/>
      <c r="U956" s="822"/>
      <c r="V956" s="822"/>
      <c r="W956" s="822"/>
      <c r="X956" s="829"/>
    </row>
    <row r="957" spans="1:24" ht="15" customHeight="1">
      <c r="A957" s="822"/>
      <c r="B957" s="825"/>
      <c r="C957" s="822"/>
      <c r="D957" s="825"/>
      <c r="E957" s="832"/>
      <c r="F957" s="204" t="s">
        <v>2853</v>
      </c>
      <c r="G957" s="831"/>
      <c r="H957" s="822"/>
      <c r="I957" s="822"/>
      <c r="J957" s="822"/>
      <c r="K957" s="822"/>
      <c r="L957" s="822"/>
      <c r="M957" s="829"/>
      <c r="N957" s="829"/>
      <c r="O957" s="207"/>
      <c r="P957" s="207"/>
      <c r="Q957" s="822"/>
      <c r="R957" s="829"/>
      <c r="S957" s="822"/>
      <c r="T957" s="829"/>
      <c r="U957" s="822"/>
      <c r="V957" s="822"/>
      <c r="W957" s="822"/>
      <c r="X957" s="829"/>
    </row>
    <row r="958" spans="1:24" ht="15" customHeight="1">
      <c r="A958" s="822"/>
      <c r="B958" s="825"/>
      <c r="C958" s="822"/>
      <c r="D958" s="825"/>
      <c r="E958" s="832"/>
      <c r="F958" s="204" t="s">
        <v>2854</v>
      </c>
      <c r="G958" s="831"/>
      <c r="H958" s="822"/>
      <c r="I958" s="822"/>
      <c r="J958" s="822"/>
      <c r="K958" s="822"/>
      <c r="L958" s="822"/>
      <c r="M958" s="829"/>
      <c r="N958" s="829"/>
      <c r="O958" s="207"/>
      <c r="P958" s="207"/>
      <c r="Q958" s="822"/>
      <c r="R958" s="829"/>
      <c r="S958" s="822"/>
      <c r="T958" s="829"/>
      <c r="U958" s="822"/>
      <c r="V958" s="822"/>
      <c r="W958" s="822"/>
      <c r="X958" s="829"/>
    </row>
    <row r="959" spans="1:24" ht="15" customHeight="1">
      <c r="A959" s="822"/>
      <c r="B959" s="825"/>
      <c r="C959" s="822"/>
      <c r="D959" s="825"/>
      <c r="E959" s="832"/>
      <c r="F959" s="204" t="s">
        <v>2855</v>
      </c>
      <c r="G959" s="831"/>
      <c r="H959" s="822"/>
      <c r="I959" s="822"/>
      <c r="J959" s="822"/>
      <c r="K959" s="822"/>
      <c r="L959" s="822"/>
      <c r="M959" s="829"/>
      <c r="N959" s="829"/>
      <c r="O959" s="207"/>
      <c r="P959" s="207"/>
      <c r="Q959" s="822"/>
      <c r="R959" s="829"/>
      <c r="S959" s="822"/>
      <c r="T959" s="829"/>
      <c r="U959" s="822"/>
      <c r="V959" s="822"/>
      <c r="W959" s="822"/>
      <c r="X959" s="829"/>
    </row>
    <row r="961" spans="1:25" ht="1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4"/>
      <c r="M961" s="24"/>
      <c r="N961" s="24"/>
      <c r="O961" s="24"/>
      <c r="P961" s="24"/>
      <c r="Q961" s="22"/>
      <c r="R961" s="22"/>
      <c r="S961" s="22"/>
      <c r="T961" s="36" t="s">
        <v>163</v>
      </c>
      <c r="U961" s="27">
        <f>SUM(U935:U938)</f>
        <v>6994487</v>
      </c>
      <c r="V961" s="27"/>
      <c r="W961" s="29"/>
      <c r="X961" s="22"/>
    </row>
    <row r="962" spans="1:25" ht="1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4"/>
      <c r="M962" s="24"/>
      <c r="N962" s="24"/>
      <c r="O962" s="24"/>
      <c r="P962" s="24"/>
      <c r="Q962" s="22"/>
      <c r="R962" s="22"/>
      <c r="S962" s="22"/>
      <c r="T962" s="36" t="s">
        <v>544</v>
      </c>
      <c r="U962" s="101">
        <v>105000000</v>
      </c>
      <c r="V962" s="102" t="s">
        <v>278</v>
      </c>
      <c r="W962" s="29"/>
      <c r="X962" s="22"/>
    </row>
    <row r="963" spans="1:25" ht="1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4"/>
      <c r="N963" s="24"/>
      <c r="O963" s="24"/>
      <c r="P963" s="24"/>
      <c r="Q963" s="22"/>
      <c r="R963" s="22"/>
      <c r="S963" s="22"/>
      <c r="T963" s="36"/>
      <c r="U963" s="27"/>
      <c r="V963" s="102"/>
      <c r="W963" s="29"/>
      <c r="X963" s="22"/>
    </row>
    <row r="964" spans="1:25" ht="1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151" t="s">
        <v>165</v>
      </c>
      <c r="U964" s="27">
        <f>U961*10/100</f>
        <v>699448.7</v>
      </c>
      <c r="V964" s="114"/>
      <c r="W964" s="22"/>
      <c r="X964" s="22"/>
    </row>
    <row r="966" spans="1:25" ht="36.65" customHeight="1">
      <c r="A966" s="798" t="s">
        <v>2815</v>
      </c>
      <c r="B966" s="799"/>
      <c r="C966" s="799"/>
      <c r="D966" s="799"/>
      <c r="E966" s="799"/>
      <c r="F966" s="799"/>
      <c r="G966" s="799"/>
      <c r="H966" s="799"/>
      <c r="I966" s="799"/>
      <c r="J966" s="799"/>
      <c r="K966" s="799"/>
      <c r="L966" s="799"/>
      <c r="M966" s="799"/>
      <c r="N966" s="799"/>
      <c r="O966" s="799"/>
      <c r="P966" s="799"/>
      <c r="Q966" s="799"/>
      <c r="R966" s="799"/>
      <c r="S966" s="799"/>
      <c r="T966" s="799"/>
      <c r="U966" s="799"/>
      <c r="V966" s="799"/>
      <c r="W966" s="799"/>
      <c r="X966" s="799"/>
    </row>
    <row r="967" spans="1:25" ht="29.15" customHeight="1">
      <c r="A967" s="115" t="s">
        <v>1</v>
      </c>
      <c r="B967" s="116" t="s">
        <v>2</v>
      </c>
      <c r="C967" s="117" t="s">
        <v>3</v>
      </c>
      <c r="D967" s="117" t="s">
        <v>4</v>
      </c>
      <c r="E967" s="117" t="s">
        <v>5</v>
      </c>
      <c r="F967" s="117" t="s">
        <v>6</v>
      </c>
      <c r="G967" s="117" t="s">
        <v>7</v>
      </c>
      <c r="H967" s="117" t="s">
        <v>2738</v>
      </c>
      <c r="I967" s="117" t="s">
        <v>9</v>
      </c>
      <c r="J967" s="117" t="s">
        <v>10</v>
      </c>
      <c r="K967" s="117" t="s">
        <v>11</v>
      </c>
      <c r="L967" s="117" t="s">
        <v>12</v>
      </c>
      <c r="M967" s="118" t="s">
        <v>13</v>
      </c>
      <c r="N967" s="117" t="s">
        <v>14</v>
      </c>
      <c r="O967" s="117" t="s">
        <v>15</v>
      </c>
      <c r="P967" s="117" t="s">
        <v>16</v>
      </c>
      <c r="Q967" s="119" t="s">
        <v>17</v>
      </c>
      <c r="R967" s="120" t="s">
        <v>18</v>
      </c>
      <c r="S967" s="120" t="s">
        <v>2739</v>
      </c>
      <c r="T967" s="120" t="s">
        <v>20</v>
      </c>
      <c r="U967" s="117" t="s">
        <v>21</v>
      </c>
      <c r="V967" s="117" t="s">
        <v>22</v>
      </c>
      <c r="W967" s="117" t="s">
        <v>23</v>
      </c>
      <c r="X967" s="117" t="s">
        <v>24</v>
      </c>
    </row>
    <row r="968" spans="1:25" ht="15" customHeight="1">
      <c r="A968" s="807" t="s">
        <v>25</v>
      </c>
      <c r="B968" s="808"/>
      <c r="C968" s="808"/>
      <c r="D968" s="808"/>
      <c r="E968" s="808"/>
      <c r="F968" s="808"/>
      <c r="G968" s="808"/>
      <c r="H968" s="808"/>
      <c r="I968" s="808"/>
      <c r="J968" s="808"/>
      <c r="K968" s="808"/>
      <c r="L968" s="808"/>
      <c r="M968" s="808"/>
      <c r="N968" s="808"/>
      <c r="O968" s="808"/>
      <c r="P968" s="808"/>
      <c r="Q968" s="808"/>
      <c r="R968" s="808"/>
      <c r="S968" s="808"/>
      <c r="T968" s="808"/>
      <c r="U968" s="808"/>
      <c r="V968" s="808"/>
      <c r="W968" s="808"/>
      <c r="X968" s="809"/>
    </row>
    <row r="969" spans="1:25" ht="32.9" customHeight="1">
      <c r="A969" s="204"/>
      <c r="B969" s="205" t="s">
        <v>2856</v>
      </c>
      <c r="C969" s="204" t="s">
        <v>2857</v>
      </c>
      <c r="D969" s="205" t="s">
        <v>1618</v>
      </c>
      <c r="E969" s="212" t="s">
        <v>2858</v>
      </c>
      <c r="F969" s="212" t="s">
        <v>2859</v>
      </c>
      <c r="G969" s="213" t="s">
        <v>270</v>
      </c>
      <c r="H969" s="212" t="s">
        <v>2860</v>
      </c>
      <c r="I969" s="206" t="s">
        <v>2861</v>
      </c>
      <c r="J969" s="204" t="s">
        <v>2862</v>
      </c>
      <c r="K969" s="204" t="s">
        <v>194</v>
      </c>
      <c r="L969" s="204" t="s">
        <v>2863</v>
      </c>
      <c r="M969" s="207" t="s">
        <v>2864</v>
      </c>
      <c r="N969" s="207" t="s">
        <v>2865</v>
      </c>
      <c r="O969" s="207">
        <v>45293</v>
      </c>
      <c r="P969" s="207">
        <v>45293</v>
      </c>
      <c r="Q969" s="204" t="s">
        <v>2866</v>
      </c>
      <c r="R969" s="207">
        <v>45301</v>
      </c>
      <c r="S969" s="204" t="s">
        <v>2867</v>
      </c>
      <c r="T969" s="207" t="s">
        <v>1515</v>
      </c>
      <c r="U969" s="204">
        <v>8830000</v>
      </c>
      <c r="V969" s="204" t="s">
        <v>40</v>
      </c>
      <c r="W969" s="204" t="s">
        <v>40</v>
      </c>
      <c r="X969" s="207" t="s">
        <v>40</v>
      </c>
    </row>
    <row r="970" spans="1:25" s="160" customFormat="1" ht="15.75" customHeight="1">
      <c r="A970" s="820"/>
      <c r="B970" s="827" t="s">
        <v>1977</v>
      </c>
      <c r="C970" s="820" t="s">
        <v>2868</v>
      </c>
      <c r="D970" s="827" t="s">
        <v>1588</v>
      </c>
      <c r="E970" s="820" t="s">
        <v>816</v>
      </c>
      <c r="F970" s="208" t="s">
        <v>2869</v>
      </c>
      <c r="G970" s="827" t="s">
        <v>63</v>
      </c>
      <c r="H970" s="820" t="s">
        <v>2870</v>
      </c>
      <c r="I970" s="836" t="s">
        <v>2871</v>
      </c>
      <c r="J970" s="820" t="s">
        <v>2839</v>
      </c>
      <c r="K970" s="820" t="s">
        <v>194</v>
      </c>
      <c r="L970" s="820" t="s">
        <v>2722</v>
      </c>
      <c r="M970" s="830">
        <v>45270</v>
      </c>
      <c r="N970" s="830"/>
      <c r="O970" s="830"/>
      <c r="P970" s="830"/>
      <c r="Q970" s="820" t="s">
        <v>2748</v>
      </c>
      <c r="R970" s="830">
        <v>45278</v>
      </c>
      <c r="S970" s="820" t="s">
        <v>2872</v>
      </c>
      <c r="T970" s="830"/>
      <c r="U970" s="820">
        <v>1425000</v>
      </c>
      <c r="V970" s="820">
        <v>250000</v>
      </c>
      <c r="W970" s="820" t="s">
        <v>2158</v>
      </c>
      <c r="X970" s="830">
        <v>45295</v>
      </c>
      <c r="Y970" s="165"/>
    </row>
    <row r="971" spans="1:25" s="160" customFormat="1" ht="15.75" customHeight="1">
      <c r="A971" s="820"/>
      <c r="B971" s="827"/>
      <c r="C971" s="820"/>
      <c r="D971" s="827"/>
      <c r="E971" s="821"/>
      <c r="F971" s="214" t="s">
        <v>2873</v>
      </c>
      <c r="G971" s="904"/>
      <c r="H971" s="821"/>
      <c r="I971" s="820"/>
      <c r="J971" s="820"/>
      <c r="K971" s="820"/>
      <c r="L971" s="820"/>
      <c r="M971" s="830"/>
      <c r="N971" s="830"/>
      <c r="O971" s="830"/>
      <c r="P971" s="830"/>
      <c r="Q971" s="820"/>
      <c r="R971" s="830"/>
      <c r="S971" s="820"/>
      <c r="T971" s="830"/>
      <c r="U971" s="820"/>
      <c r="V971" s="820"/>
      <c r="W971" s="820"/>
      <c r="X971" s="830"/>
      <c r="Y971" s="165"/>
    </row>
    <row r="972" spans="1:25" s="160" customFormat="1" ht="15" customHeight="1">
      <c r="A972" s="820"/>
      <c r="B972" s="827" t="s">
        <v>2816</v>
      </c>
      <c r="C972" s="820" t="s">
        <v>2874</v>
      </c>
      <c r="D972" s="827" t="s">
        <v>1618</v>
      </c>
      <c r="E972" s="909" t="s">
        <v>816</v>
      </c>
      <c r="F972" s="208" t="s">
        <v>2875</v>
      </c>
      <c r="G972" s="870" t="s">
        <v>921</v>
      </c>
      <c r="H972" s="820" t="s">
        <v>2876</v>
      </c>
      <c r="I972" s="836" t="s">
        <v>2877</v>
      </c>
      <c r="J972" s="820" t="s">
        <v>2822</v>
      </c>
      <c r="K972" s="820" t="s">
        <v>2427</v>
      </c>
      <c r="L972" s="820">
        <v>45271</v>
      </c>
      <c r="M972" s="830">
        <v>45181</v>
      </c>
      <c r="N972" s="830">
        <v>45280</v>
      </c>
      <c r="O972" s="211"/>
      <c r="P972" s="211"/>
      <c r="Q972" s="820" t="s">
        <v>2760</v>
      </c>
      <c r="R972" s="830">
        <v>45301</v>
      </c>
      <c r="S972" s="820" t="s">
        <v>2878</v>
      </c>
      <c r="T972" s="830"/>
      <c r="U972" s="820">
        <v>4198000</v>
      </c>
      <c r="V972" s="820">
        <v>450000</v>
      </c>
      <c r="W972" s="820" t="s">
        <v>2158</v>
      </c>
      <c r="X972" s="830">
        <v>44930</v>
      </c>
    </row>
    <row r="973" spans="1:25" s="160" customFormat="1" ht="15" customHeight="1">
      <c r="A973" s="820"/>
      <c r="B973" s="827"/>
      <c r="C973" s="820"/>
      <c r="D973" s="827"/>
      <c r="E973" s="909"/>
      <c r="F973" s="208" t="s">
        <v>2879</v>
      </c>
      <c r="G973" s="870"/>
      <c r="H973" s="820"/>
      <c r="I973" s="820"/>
      <c r="J973" s="820"/>
      <c r="K973" s="820"/>
      <c r="L973" s="820"/>
      <c r="M973" s="830"/>
      <c r="N973" s="830"/>
      <c r="O973" s="211"/>
      <c r="P973" s="211"/>
      <c r="Q973" s="820"/>
      <c r="R973" s="830"/>
      <c r="S973" s="820"/>
      <c r="T973" s="830"/>
      <c r="U973" s="820"/>
      <c r="V973" s="820"/>
      <c r="W973" s="820"/>
      <c r="X973" s="830"/>
    </row>
    <row r="974" spans="1:25" s="160" customFormat="1" ht="15" customHeight="1">
      <c r="A974" s="820"/>
      <c r="B974" s="827"/>
      <c r="C974" s="820"/>
      <c r="D974" s="827"/>
      <c r="E974" s="909"/>
      <c r="F974" s="208" t="s">
        <v>2880</v>
      </c>
      <c r="G974" s="870"/>
      <c r="H974" s="820"/>
      <c r="I974" s="820"/>
      <c r="J974" s="820"/>
      <c r="K974" s="820"/>
      <c r="L974" s="820"/>
      <c r="M974" s="830"/>
      <c r="N974" s="830"/>
      <c r="O974" s="211"/>
      <c r="P974" s="211"/>
      <c r="Q974" s="820"/>
      <c r="R974" s="830"/>
      <c r="S974" s="820"/>
      <c r="T974" s="830"/>
      <c r="U974" s="820"/>
      <c r="V974" s="820"/>
      <c r="W974" s="820"/>
      <c r="X974" s="830"/>
    </row>
    <row r="975" spans="1:25" s="160" customFormat="1" ht="15" customHeight="1">
      <c r="A975" s="820"/>
      <c r="B975" s="827"/>
      <c r="C975" s="820"/>
      <c r="D975" s="827"/>
      <c r="E975" s="909"/>
      <c r="F975" s="208" t="s">
        <v>2881</v>
      </c>
      <c r="G975" s="870"/>
      <c r="H975" s="820"/>
      <c r="I975" s="820"/>
      <c r="J975" s="820"/>
      <c r="K975" s="820"/>
      <c r="L975" s="820"/>
      <c r="M975" s="830"/>
      <c r="N975" s="830"/>
      <c r="O975" s="211"/>
      <c r="P975" s="211"/>
      <c r="Q975" s="820"/>
      <c r="R975" s="830"/>
      <c r="S975" s="820"/>
      <c r="T975" s="830"/>
      <c r="U975" s="820"/>
      <c r="V975" s="820"/>
      <c r="W975" s="820"/>
      <c r="X975" s="830"/>
    </row>
    <row r="976" spans="1:25" s="160" customFormat="1" ht="15" customHeight="1">
      <c r="A976" s="820"/>
      <c r="B976" s="827"/>
      <c r="C976" s="820"/>
      <c r="D976" s="827"/>
      <c r="E976" s="909"/>
      <c r="F976" s="208" t="s">
        <v>2882</v>
      </c>
      <c r="G976" s="870"/>
      <c r="H976" s="820"/>
      <c r="I976" s="820"/>
      <c r="J976" s="820"/>
      <c r="K976" s="820"/>
      <c r="L976" s="820"/>
      <c r="M976" s="830"/>
      <c r="N976" s="830"/>
      <c r="O976" s="211"/>
      <c r="P976" s="211"/>
      <c r="Q976" s="820"/>
      <c r="R976" s="830"/>
      <c r="S976" s="820"/>
      <c r="T976" s="830"/>
      <c r="U976" s="820"/>
      <c r="V976" s="820"/>
      <c r="W976" s="820"/>
      <c r="X976" s="830"/>
    </row>
    <row r="977" spans="1:24" s="160" customFormat="1" ht="15" customHeight="1">
      <c r="A977" s="820"/>
      <c r="B977" s="827"/>
      <c r="C977" s="820"/>
      <c r="D977" s="827"/>
      <c r="E977" s="909"/>
      <c r="F977" s="208" t="s">
        <v>2883</v>
      </c>
      <c r="G977" s="870"/>
      <c r="H977" s="820"/>
      <c r="I977" s="820"/>
      <c r="J977" s="820"/>
      <c r="K977" s="820"/>
      <c r="L977" s="820"/>
      <c r="M977" s="830"/>
      <c r="N977" s="830"/>
      <c r="O977" s="211"/>
      <c r="P977" s="211"/>
      <c r="Q977" s="820"/>
      <c r="R977" s="830"/>
      <c r="S977" s="820"/>
      <c r="T977" s="830"/>
      <c r="U977" s="820"/>
      <c r="V977" s="820"/>
      <c r="W977" s="820"/>
      <c r="X977" s="830"/>
    </row>
    <row r="978" spans="1:24" s="160" customFormat="1" ht="15" customHeight="1">
      <c r="A978" s="820"/>
      <c r="B978" s="827"/>
      <c r="C978" s="820"/>
      <c r="D978" s="827"/>
      <c r="E978" s="909"/>
      <c r="F978" s="208" t="s">
        <v>2884</v>
      </c>
      <c r="G978" s="870"/>
      <c r="H978" s="820"/>
      <c r="I978" s="820"/>
      <c r="J978" s="820"/>
      <c r="K978" s="820"/>
      <c r="L978" s="820"/>
      <c r="M978" s="830"/>
      <c r="N978" s="830"/>
      <c r="O978" s="211"/>
      <c r="P978" s="211"/>
      <c r="Q978" s="820"/>
      <c r="R978" s="830"/>
      <c r="S978" s="820"/>
      <c r="T978" s="830"/>
      <c r="U978" s="820"/>
      <c r="V978" s="820"/>
      <c r="W978" s="820"/>
      <c r="X978" s="830"/>
    </row>
    <row r="979" spans="1:24" s="160" customFormat="1" ht="15" customHeight="1">
      <c r="A979" s="820"/>
      <c r="B979" s="827"/>
      <c r="C979" s="820"/>
      <c r="D979" s="827"/>
      <c r="E979" s="909"/>
      <c r="F979" s="208" t="s">
        <v>2885</v>
      </c>
      <c r="G979" s="870"/>
      <c r="H979" s="820"/>
      <c r="I979" s="820"/>
      <c r="J979" s="820"/>
      <c r="K979" s="820"/>
      <c r="L979" s="820"/>
      <c r="M979" s="830"/>
      <c r="N979" s="830"/>
      <c r="O979" s="211"/>
      <c r="P979" s="211"/>
      <c r="Q979" s="820"/>
      <c r="R979" s="830"/>
      <c r="S979" s="820"/>
      <c r="T979" s="830"/>
      <c r="U979" s="820"/>
      <c r="V979" s="820"/>
      <c r="W979" s="820"/>
      <c r="X979" s="830"/>
    </row>
    <row r="980" spans="1:24" s="160" customFormat="1" ht="15" customHeight="1">
      <c r="A980" s="820"/>
      <c r="B980" s="827" t="s">
        <v>2816</v>
      </c>
      <c r="C980" s="820" t="s">
        <v>2886</v>
      </c>
      <c r="D980" s="874" t="s">
        <v>1618</v>
      </c>
      <c r="E980" s="820" t="s">
        <v>2887</v>
      </c>
      <c r="F980" s="208" t="s">
        <v>2888</v>
      </c>
      <c r="G980" s="827" t="s">
        <v>63</v>
      </c>
      <c r="H980" s="820" t="s">
        <v>2889</v>
      </c>
      <c r="I980" s="966" t="s">
        <v>2890</v>
      </c>
      <c r="J980" s="820" t="s">
        <v>2891</v>
      </c>
      <c r="K980" s="820" t="s">
        <v>2892</v>
      </c>
      <c r="L980" s="820" t="s">
        <v>2893</v>
      </c>
      <c r="M980" s="830" t="s">
        <v>2894</v>
      </c>
      <c r="N980" s="830">
        <v>45654</v>
      </c>
      <c r="O980" s="830" t="s">
        <v>40</v>
      </c>
      <c r="P980" s="830" t="s">
        <v>40</v>
      </c>
      <c r="Q980" s="820" t="s">
        <v>2578</v>
      </c>
      <c r="R980" s="830">
        <v>45654</v>
      </c>
      <c r="S980" s="820" t="s">
        <v>2895</v>
      </c>
      <c r="T980" s="830"/>
      <c r="U980" s="820">
        <v>4911078</v>
      </c>
      <c r="V980" s="820">
        <v>150000</v>
      </c>
      <c r="W980" s="820" t="s">
        <v>2158</v>
      </c>
      <c r="X980" s="830">
        <v>45295</v>
      </c>
    </row>
    <row r="981" spans="1:24" s="160" customFormat="1" ht="15" customHeight="1">
      <c r="A981" s="820"/>
      <c r="B981" s="827"/>
      <c r="C981" s="820"/>
      <c r="D981" s="874"/>
      <c r="E981" s="820"/>
      <c r="F981" s="208" t="s">
        <v>2896</v>
      </c>
      <c r="G981" s="827"/>
      <c r="H981" s="820"/>
      <c r="I981" s="967"/>
      <c r="J981" s="820"/>
      <c r="K981" s="820"/>
      <c r="L981" s="820"/>
      <c r="M981" s="830"/>
      <c r="N981" s="830"/>
      <c r="O981" s="830"/>
      <c r="P981" s="830"/>
      <c r="Q981" s="820"/>
      <c r="R981" s="830"/>
      <c r="S981" s="820"/>
      <c r="T981" s="830"/>
      <c r="U981" s="820"/>
      <c r="V981" s="820"/>
      <c r="W981" s="820"/>
      <c r="X981" s="830"/>
    </row>
    <row r="982" spans="1:24" ht="15" customHeight="1">
      <c r="A982" s="822"/>
      <c r="B982" s="825" t="s">
        <v>2816</v>
      </c>
      <c r="C982" s="822" t="s">
        <v>2897</v>
      </c>
      <c r="D982" s="825" t="s">
        <v>1618</v>
      </c>
      <c r="E982" s="832" t="s">
        <v>816</v>
      </c>
      <c r="F982" s="204" t="s">
        <v>2898</v>
      </c>
      <c r="G982" s="831" t="s">
        <v>2819</v>
      </c>
      <c r="H982" s="822" t="s">
        <v>2899</v>
      </c>
      <c r="I982" s="883" t="s">
        <v>125</v>
      </c>
      <c r="J982" s="822" t="s">
        <v>2822</v>
      </c>
      <c r="K982" s="822" t="s">
        <v>2427</v>
      </c>
      <c r="L982" s="822" t="s">
        <v>2900</v>
      </c>
      <c r="M982" s="829" t="s">
        <v>2901</v>
      </c>
      <c r="N982" s="829">
        <v>45297</v>
      </c>
      <c r="O982" s="207"/>
      <c r="P982" s="207"/>
      <c r="Q982" s="822" t="s">
        <v>2760</v>
      </c>
      <c r="R982" s="829">
        <v>45284</v>
      </c>
      <c r="S982" s="822" t="s">
        <v>2902</v>
      </c>
      <c r="T982" s="829">
        <v>45351</v>
      </c>
      <c r="U982" s="822">
        <v>16232000</v>
      </c>
      <c r="V982" s="822">
        <v>550000</v>
      </c>
      <c r="W982" s="822" t="s">
        <v>2158</v>
      </c>
      <c r="X982" s="829">
        <v>45295</v>
      </c>
    </row>
    <row r="983" spans="1:24" ht="15" customHeight="1">
      <c r="A983" s="822"/>
      <c r="B983" s="825"/>
      <c r="C983" s="822"/>
      <c r="D983" s="825"/>
      <c r="E983" s="832"/>
      <c r="F983" s="204" t="s">
        <v>2903</v>
      </c>
      <c r="G983" s="831"/>
      <c r="H983" s="822"/>
      <c r="I983" s="822"/>
      <c r="J983" s="822"/>
      <c r="K983" s="822"/>
      <c r="L983" s="822"/>
      <c r="M983" s="829"/>
      <c r="N983" s="829"/>
      <c r="O983" s="207"/>
      <c r="P983" s="207"/>
      <c r="Q983" s="822"/>
      <c r="R983" s="829"/>
      <c r="S983" s="822"/>
      <c r="T983" s="829"/>
      <c r="U983" s="822"/>
      <c r="V983" s="822"/>
      <c r="W983" s="822"/>
      <c r="X983" s="829"/>
    </row>
    <row r="984" spans="1:24" ht="15" customHeight="1">
      <c r="A984" s="822"/>
      <c r="B984" s="825"/>
      <c r="C984" s="822"/>
      <c r="D984" s="825"/>
      <c r="E984" s="832"/>
      <c r="F984" s="204" t="s">
        <v>2904</v>
      </c>
      <c r="G984" s="831"/>
      <c r="H984" s="822"/>
      <c r="I984" s="822"/>
      <c r="J984" s="822"/>
      <c r="K984" s="822"/>
      <c r="L984" s="822"/>
      <c r="M984" s="829"/>
      <c r="N984" s="829"/>
      <c r="O984" s="207"/>
      <c r="P984" s="207"/>
      <c r="Q984" s="822"/>
      <c r="R984" s="829"/>
      <c r="S984" s="822"/>
      <c r="T984" s="829"/>
      <c r="U984" s="822"/>
      <c r="V984" s="822"/>
      <c r="W984" s="822"/>
      <c r="X984" s="829"/>
    </row>
    <row r="985" spans="1:24" ht="15" customHeight="1">
      <c r="A985" s="822"/>
      <c r="B985" s="825"/>
      <c r="C985" s="822"/>
      <c r="D985" s="825"/>
      <c r="E985" s="832"/>
      <c r="F985" s="204" t="s">
        <v>2905</v>
      </c>
      <c r="G985" s="831"/>
      <c r="H985" s="822"/>
      <c r="I985" s="822"/>
      <c r="J985" s="822"/>
      <c r="K985" s="822"/>
      <c r="L985" s="822"/>
      <c r="M985" s="829"/>
      <c r="N985" s="829"/>
      <c r="O985" s="207"/>
      <c r="P985" s="207"/>
      <c r="Q985" s="822"/>
      <c r="R985" s="829"/>
      <c r="S985" s="822"/>
      <c r="T985" s="829"/>
      <c r="U985" s="822"/>
      <c r="V985" s="822"/>
      <c r="W985" s="822"/>
      <c r="X985" s="829"/>
    </row>
    <row r="986" spans="1:24" ht="15" customHeight="1">
      <c r="A986" s="822"/>
      <c r="B986" s="825"/>
      <c r="C986" s="822"/>
      <c r="D986" s="825"/>
      <c r="E986" s="832"/>
      <c r="F986" s="204" t="s">
        <v>2906</v>
      </c>
      <c r="G986" s="831"/>
      <c r="H986" s="822"/>
      <c r="I986" s="822"/>
      <c r="J986" s="822"/>
      <c r="K986" s="822"/>
      <c r="L986" s="822"/>
      <c r="M986" s="829"/>
      <c r="N986" s="829"/>
      <c r="O986" s="207"/>
      <c r="P986" s="207"/>
      <c r="Q986" s="822"/>
      <c r="R986" s="829"/>
      <c r="S986" s="822"/>
      <c r="T986" s="829"/>
      <c r="U986" s="822"/>
      <c r="V986" s="822"/>
      <c r="W986" s="822"/>
      <c r="X986" s="829"/>
    </row>
    <row r="987" spans="1:24" ht="15" customHeight="1">
      <c r="A987" s="822"/>
      <c r="B987" s="825"/>
      <c r="C987" s="822"/>
      <c r="D987" s="825"/>
      <c r="E987" s="832"/>
      <c r="F987" s="204" t="s">
        <v>2907</v>
      </c>
      <c r="G987" s="831"/>
      <c r="H987" s="822"/>
      <c r="I987" s="822"/>
      <c r="J987" s="822"/>
      <c r="K987" s="822"/>
      <c r="L987" s="822"/>
      <c r="M987" s="829"/>
      <c r="N987" s="829"/>
      <c r="O987" s="207"/>
      <c r="P987" s="207"/>
      <c r="Q987" s="822"/>
      <c r="R987" s="829"/>
      <c r="S987" s="822"/>
      <c r="T987" s="829"/>
      <c r="U987" s="822"/>
      <c r="V987" s="822"/>
      <c r="W987" s="822"/>
      <c r="X987" s="829"/>
    </row>
    <row r="988" spans="1:24" ht="15" customHeight="1">
      <c r="A988" s="822"/>
      <c r="B988" s="825"/>
      <c r="C988" s="822"/>
      <c r="D988" s="825"/>
      <c r="E988" s="832"/>
      <c r="F988" s="204" t="s">
        <v>2908</v>
      </c>
      <c r="G988" s="831"/>
      <c r="H988" s="822"/>
      <c r="I988" s="822"/>
      <c r="J988" s="822"/>
      <c r="K988" s="822"/>
      <c r="L988" s="822"/>
      <c r="M988" s="829"/>
      <c r="N988" s="829"/>
      <c r="O988" s="207"/>
      <c r="P988" s="207"/>
      <c r="Q988" s="822"/>
      <c r="R988" s="829"/>
      <c r="S988" s="822"/>
      <c r="T988" s="829"/>
      <c r="U988" s="822"/>
      <c r="V988" s="822"/>
      <c r="W988" s="822"/>
      <c r="X988" s="829"/>
    </row>
    <row r="989" spans="1:24" ht="15" customHeight="1">
      <c r="A989" s="822"/>
      <c r="B989" s="825"/>
      <c r="C989" s="822"/>
      <c r="D989" s="825"/>
      <c r="E989" s="832"/>
      <c r="F989" s="204" t="s">
        <v>2909</v>
      </c>
      <c r="G989" s="831"/>
      <c r="H989" s="822"/>
      <c r="I989" s="822"/>
      <c r="J989" s="822"/>
      <c r="K989" s="822"/>
      <c r="L989" s="822"/>
      <c r="M989" s="829"/>
      <c r="N989" s="829"/>
      <c r="O989" s="207"/>
      <c r="P989" s="207"/>
      <c r="Q989" s="822"/>
      <c r="R989" s="829"/>
      <c r="S989" s="822"/>
      <c r="T989" s="829"/>
      <c r="U989" s="822"/>
      <c r="V989" s="822"/>
      <c r="W989" s="822"/>
      <c r="X989" s="829"/>
    </row>
    <row r="990" spans="1:24" ht="15" customHeight="1">
      <c r="A990" s="822"/>
      <c r="B990" s="825"/>
      <c r="C990" s="822"/>
      <c r="D990" s="825"/>
      <c r="E990" s="832"/>
      <c r="F990" s="204" t="s">
        <v>2910</v>
      </c>
      <c r="G990" s="831"/>
      <c r="H990" s="822"/>
      <c r="I990" s="822"/>
      <c r="J990" s="822"/>
      <c r="K990" s="822"/>
      <c r="L990" s="822"/>
      <c r="M990" s="829"/>
      <c r="N990" s="829"/>
      <c r="O990" s="207"/>
      <c r="P990" s="207"/>
      <c r="Q990" s="822"/>
      <c r="R990" s="829"/>
      <c r="S990" s="822"/>
      <c r="T990" s="829"/>
      <c r="U990" s="822"/>
      <c r="V990" s="822"/>
      <c r="W990" s="822"/>
      <c r="X990" s="829"/>
    </row>
    <row r="991" spans="1:24" ht="15" customHeight="1">
      <c r="A991" s="822"/>
      <c r="B991" s="825"/>
      <c r="C991" s="822"/>
      <c r="D991" s="825"/>
      <c r="E991" s="832"/>
      <c r="F991" s="204" t="s">
        <v>2911</v>
      </c>
      <c r="G991" s="831"/>
      <c r="H991" s="822"/>
      <c r="I991" s="822"/>
      <c r="J991" s="822"/>
      <c r="K991" s="822"/>
      <c r="L991" s="822"/>
      <c r="M991" s="829"/>
      <c r="N991" s="829"/>
      <c r="O991" s="207"/>
      <c r="P991" s="207"/>
      <c r="Q991" s="822"/>
      <c r="R991" s="829"/>
      <c r="S991" s="822"/>
      <c r="T991" s="829"/>
      <c r="U991" s="822"/>
      <c r="V991" s="822"/>
      <c r="W991" s="822"/>
      <c r="X991" s="829"/>
    </row>
    <row r="992" spans="1:24" s="160" customFormat="1" ht="15" customHeight="1">
      <c r="A992" s="820"/>
      <c r="B992" s="827" t="s">
        <v>2816</v>
      </c>
      <c r="C992" s="820" t="s">
        <v>2912</v>
      </c>
      <c r="D992" s="827" t="s">
        <v>1618</v>
      </c>
      <c r="E992" s="909" t="s">
        <v>816</v>
      </c>
      <c r="F992" s="208" t="s">
        <v>2913</v>
      </c>
      <c r="G992" s="870" t="s">
        <v>800</v>
      </c>
      <c r="H992" s="820" t="s">
        <v>2914</v>
      </c>
      <c r="I992" s="836" t="s">
        <v>228</v>
      </c>
      <c r="J992" s="820" t="s">
        <v>2822</v>
      </c>
      <c r="K992" s="820" t="s">
        <v>2427</v>
      </c>
      <c r="L992" s="820" t="s">
        <v>2900</v>
      </c>
      <c r="M992" s="830" t="s">
        <v>2901</v>
      </c>
      <c r="N992" s="830">
        <v>45654</v>
      </c>
      <c r="O992" s="211"/>
      <c r="P992" s="211"/>
      <c r="Q992" s="820" t="s">
        <v>2760</v>
      </c>
      <c r="R992" s="830">
        <v>45650</v>
      </c>
      <c r="S992" s="820" t="s">
        <v>2915</v>
      </c>
      <c r="T992" s="830"/>
      <c r="U992" s="820">
        <v>10427000</v>
      </c>
      <c r="V992" s="820">
        <v>300000</v>
      </c>
      <c r="W992" s="820" t="s">
        <v>2158</v>
      </c>
      <c r="X992" s="830">
        <v>45295</v>
      </c>
    </row>
    <row r="993" spans="1:24" s="160" customFormat="1" ht="15" customHeight="1">
      <c r="A993" s="820"/>
      <c r="B993" s="827"/>
      <c r="C993" s="820"/>
      <c r="D993" s="827"/>
      <c r="E993" s="909"/>
      <c r="F993" s="208" t="s">
        <v>2916</v>
      </c>
      <c r="G993" s="870"/>
      <c r="H993" s="820"/>
      <c r="I993" s="820"/>
      <c r="J993" s="820"/>
      <c r="K993" s="820"/>
      <c r="L993" s="820"/>
      <c r="M993" s="830"/>
      <c r="N993" s="830"/>
      <c r="O993" s="211"/>
      <c r="P993" s="211"/>
      <c r="Q993" s="820"/>
      <c r="R993" s="830"/>
      <c r="S993" s="820"/>
      <c r="T993" s="830"/>
      <c r="U993" s="820"/>
      <c r="V993" s="820"/>
      <c r="W993" s="820"/>
      <c r="X993" s="830"/>
    </row>
    <row r="994" spans="1:24" s="160" customFormat="1" ht="15" customHeight="1">
      <c r="A994" s="820"/>
      <c r="B994" s="827"/>
      <c r="C994" s="820"/>
      <c r="D994" s="827"/>
      <c r="E994" s="909"/>
      <c r="F994" s="208" t="s">
        <v>2917</v>
      </c>
      <c r="G994" s="870"/>
      <c r="H994" s="820"/>
      <c r="I994" s="820"/>
      <c r="J994" s="820"/>
      <c r="K994" s="820"/>
      <c r="L994" s="820"/>
      <c r="M994" s="830"/>
      <c r="N994" s="830"/>
      <c r="O994" s="211"/>
      <c r="P994" s="211"/>
      <c r="Q994" s="820"/>
      <c r="R994" s="830"/>
      <c r="S994" s="820"/>
      <c r="T994" s="830"/>
      <c r="U994" s="820"/>
      <c r="V994" s="820"/>
      <c r="W994" s="820"/>
      <c r="X994" s="830"/>
    </row>
    <row r="995" spans="1:24" s="160" customFormat="1" ht="15" customHeight="1">
      <c r="A995" s="820"/>
      <c r="B995" s="827"/>
      <c r="C995" s="820"/>
      <c r="D995" s="827"/>
      <c r="E995" s="909"/>
      <c r="F995" s="208" t="s">
        <v>2918</v>
      </c>
      <c r="G995" s="870"/>
      <c r="H995" s="820"/>
      <c r="I995" s="820"/>
      <c r="J995" s="820"/>
      <c r="K995" s="820"/>
      <c r="L995" s="820"/>
      <c r="M995" s="830"/>
      <c r="N995" s="830"/>
      <c r="O995" s="211"/>
      <c r="P995" s="211"/>
      <c r="Q995" s="820"/>
      <c r="R995" s="830"/>
      <c r="S995" s="820"/>
      <c r="T995" s="830"/>
      <c r="U995" s="820"/>
      <c r="V995" s="820"/>
      <c r="W995" s="820"/>
      <c r="X995" s="830"/>
    </row>
    <row r="996" spans="1:24" s="160" customFormat="1" ht="15" customHeight="1">
      <c r="A996" s="820"/>
      <c r="B996" s="827"/>
      <c r="C996" s="820"/>
      <c r="D996" s="827"/>
      <c r="E996" s="909"/>
      <c r="F996" s="208" t="s">
        <v>2919</v>
      </c>
      <c r="G996" s="870"/>
      <c r="H996" s="820"/>
      <c r="I996" s="820"/>
      <c r="J996" s="820"/>
      <c r="K996" s="820"/>
      <c r="L996" s="820"/>
      <c r="M996" s="830"/>
      <c r="N996" s="830"/>
      <c r="O996" s="211"/>
      <c r="P996" s="211"/>
      <c r="Q996" s="820"/>
      <c r="R996" s="830"/>
      <c r="S996" s="820"/>
      <c r="T996" s="830"/>
      <c r="U996" s="820"/>
      <c r="V996" s="820"/>
      <c r="W996" s="820"/>
      <c r="X996" s="830"/>
    </row>
    <row r="997" spans="1:24" ht="15" customHeight="1">
      <c r="A997" s="828" t="s">
        <v>128</v>
      </c>
      <c r="B997" s="828"/>
      <c r="C997" s="215"/>
      <c r="D997" s="215"/>
      <c r="E997" s="215"/>
      <c r="F997" s="215"/>
      <c r="G997" s="215"/>
      <c r="H997" s="215"/>
      <c r="I997" s="215"/>
      <c r="J997" s="215"/>
      <c r="K997" s="215"/>
      <c r="L997" s="215"/>
      <c r="M997" s="216"/>
      <c r="N997" s="216"/>
      <c r="O997" s="216"/>
      <c r="P997" s="216"/>
      <c r="Q997" s="215"/>
      <c r="R997" s="216"/>
      <c r="S997" s="215"/>
      <c r="T997" s="216"/>
      <c r="U997" s="215"/>
      <c r="V997" s="215"/>
      <c r="W997" s="215"/>
      <c r="X997" s="217"/>
    </row>
    <row r="998" spans="1:24" ht="15" customHeight="1">
      <c r="A998" s="822"/>
      <c r="B998" s="822" t="s">
        <v>2920</v>
      </c>
      <c r="C998" s="822" t="s">
        <v>2921</v>
      </c>
      <c r="D998" s="822" t="s">
        <v>1270</v>
      </c>
      <c r="E998" s="822" t="s">
        <v>1572</v>
      </c>
      <c r="F998" s="204" t="s">
        <v>2922</v>
      </c>
      <c r="G998" s="822" t="s">
        <v>2923</v>
      </c>
      <c r="H998" s="822" t="s">
        <v>2924</v>
      </c>
      <c r="I998" s="822" t="s">
        <v>40</v>
      </c>
      <c r="J998" s="822" t="s">
        <v>2925</v>
      </c>
      <c r="K998" s="822" t="s">
        <v>2926</v>
      </c>
      <c r="L998" s="822" t="s">
        <v>2927</v>
      </c>
      <c r="M998" s="822" t="s">
        <v>2928</v>
      </c>
      <c r="N998" s="822" t="s">
        <v>2929</v>
      </c>
      <c r="O998" s="822"/>
      <c r="P998" s="822"/>
      <c r="Q998" s="822" t="s">
        <v>2491</v>
      </c>
      <c r="R998" s="829">
        <v>45265</v>
      </c>
      <c r="S998" s="822" t="s">
        <v>2930</v>
      </c>
      <c r="T998" s="829">
        <v>45266</v>
      </c>
      <c r="U998" s="822">
        <v>4620000</v>
      </c>
      <c r="V998" s="822" t="s">
        <v>40</v>
      </c>
      <c r="W998" s="822" t="s">
        <v>40</v>
      </c>
      <c r="X998" s="829" t="s">
        <v>40</v>
      </c>
    </row>
    <row r="999" spans="1:24" ht="15" customHeight="1">
      <c r="A999" s="822"/>
      <c r="B999" s="822"/>
      <c r="C999" s="822"/>
      <c r="D999" s="822"/>
      <c r="E999" s="822"/>
      <c r="F999" s="204" t="s">
        <v>2931</v>
      </c>
      <c r="G999" s="822"/>
      <c r="H999" s="822"/>
      <c r="I999" s="822"/>
      <c r="J999" s="822"/>
      <c r="K999" s="822"/>
      <c r="L999" s="822"/>
      <c r="M999" s="822"/>
      <c r="N999" s="822" t="s">
        <v>2932</v>
      </c>
      <c r="O999" s="822"/>
      <c r="P999" s="822"/>
      <c r="Q999" s="822"/>
      <c r="R999" s="829"/>
      <c r="S999" s="822"/>
      <c r="T999" s="829"/>
      <c r="U999" s="822"/>
      <c r="V999" s="822"/>
      <c r="W999" s="822"/>
      <c r="X999" s="829"/>
    </row>
    <row r="1000" spans="1:24" ht="15" customHeight="1">
      <c r="A1000" s="822"/>
      <c r="B1000" s="822"/>
      <c r="C1000" s="822"/>
      <c r="D1000" s="822"/>
      <c r="E1000" s="822"/>
      <c r="F1000" s="204" t="s">
        <v>2933</v>
      </c>
      <c r="G1000" s="822"/>
      <c r="H1000" s="822"/>
      <c r="I1000" s="822"/>
      <c r="J1000" s="822"/>
      <c r="K1000" s="822"/>
      <c r="L1000" s="822"/>
      <c r="M1000" s="822"/>
      <c r="N1000" s="822"/>
      <c r="O1000" s="822"/>
      <c r="P1000" s="822"/>
      <c r="Q1000" s="822"/>
      <c r="R1000" s="829"/>
      <c r="S1000" s="822"/>
      <c r="T1000" s="829"/>
      <c r="U1000" s="822"/>
      <c r="V1000" s="822"/>
      <c r="W1000" s="822"/>
      <c r="X1000" s="829"/>
    </row>
    <row r="1001" spans="1:24" ht="15" customHeight="1">
      <c r="A1001" s="204"/>
      <c r="B1001" s="218" t="s">
        <v>2803</v>
      </c>
      <c r="C1001" s="218" t="s">
        <v>2934</v>
      </c>
      <c r="D1001" s="218" t="s">
        <v>2805</v>
      </c>
      <c r="E1001" s="218" t="s">
        <v>2177</v>
      </c>
      <c r="F1001" s="218" t="s">
        <v>2935</v>
      </c>
      <c r="G1001" s="204" t="s">
        <v>270</v>
      </c>
      <c r="H1001" s="218" t="s">
        <v>2936</v>
      </c>
      <c r="I1001" s="206" t="s">
        <v>2937</v>
      </c>
      <c r="J1001" s="204" t="s">
        <v>2938</v>
      </c>
      <c r="K1001" s="204" t="s">
        <v>2939</v>
      </c>
      <c r="L1001" s="204" t="s">
        <v>2940</v>
      </c>
      <c r="M1001" s="204" t="s">
        <v>40</v>
      </c>
      <c r="N1001" s="822" t="s">
        <v>2941</v>
      </c>
      <c r="O1001" s="822"/>
      <c r="P1001" s="822"/>
      <c r="Q1001" s="204" t="s">
        <v>2942</v>
      </c>
      <c r="R1001" s="207">
        <v>45280</v>
      </c>
      <c r="S1001" s="204" t="s">
        <v>2943</v>
      </c>
      <c r="T1001" s="207">
        <v>45288</v>
      </c>
      <c r="U1001" s="204">
        <v>281552</v>
      </c>
      <c r="V1001" s="204" t="s">
        <v>40</v>
      </c>
      <c r="W1001" s="204" t="s">
        <v>40</v>
      </c>
      <c r="X1001" s="207" t="s">
        <v>40</v>
      </c>
    </row>
    <row r="1002" spans="1:24" s="160" customFormat="1" ht="15" customHeight="1">
      <c r="A1002" s="208"/>
      <c r="B1002" s="208" t="s">
        <v>2944</v>
      </c>
      <c r="C1002" s="208" t="s">
        <v>2945</v>
      </c>
      <c r="D1002" s="208" t="s">
        <v>2946</v>
      </c>
      <c r="E1002" s="208" t="s">
        <v>2947</v>
      </c>
      <c r="F1002" s="208" t="s">
        <v>2948</v>
      </c>
      <c r="G1002" s="208" t="s">
        <v>2418</v>
      </c>
      <c r="H1002" s="208" t="s">
        <v>2949</v>
      </c>
      <c r="I1002" s="210" t="s">
        <v>2950</v>
      </c>
      <c r="J1002" s="208" t="s">
        <v>2951</v>
      </c>
      <c r="K1002" s="208" t="s">
        <v>358</v>
      </c>
      <c r="L1002" s="208" t="s">
        <v>2940</v>
      </c>
      <c r="M1002" s="208" t="s">
        <v>2952</v>
      </c>
      <c r="N1002" s="820" t="s">
        <v>2953</v>
      </c>
      <c r="O1002" s="820"/>
      <c r="P1002" s="820"/>
      <c r="Q1002" s="208" t="s">
        <v>2954</v>
      </c>
      <c r="R1002" s="211">
        <v>45301</v>
      </c>
      <c r="S1002" s="208" t="s">
        <v>2955</v>
      </c>
      <c r="T1002" s="211"/>
      <c r="U1002" s="208">
        <v>18899865</v>
      </c>
      <c r="V1002" s="208">
        <v>300000</v>
      </c>
      <c r="W1002" s="208" t="s">
        <v>2956</v>
      </c>
      <c r="X1002" s="211">
        <v>45297</v>
      </c>
    </row>
    <row r="1003" spans="1:24" ht="15" customHeight="1">
      <c r="A1003" s="828" t="s">
        <v>1919</v>
      </c>
      <c r="B1003" s="828"/>
      <c r="C1003" s="215"/>
      <c r="D1003" s="215"/>
      <c r="E1003" s="215"/>
      <c r="F1003" s="215"/>
      <c r="G1003" s="215"/>
      <c r="H1003" s="215"/>
      <c r="I1003" s="215"/>
      <c r="J1003" s="215"/>
      <c r="K1003" s="215"/>
      <c r="L1003" s="215"/>
      <c r="M1003" s="215"/>
      <c r="N1003" s="215"/>
      <c r="O1003" s="215"/>
      <c r="P1003" s="215"/>
      <c r="Q1003" s="215"/>
      <c r="R1003" s="216"/>
      <c r="S1003" s="215"/>
      <c r="T1003" s="216"/>
      <c r="U1003" s="215"/>
      <c r="V1003" s="215"/>
      <c r="W1003" s="215"/>
      <c r="X1003" s="217"/>
    </row>
    <row r="1004" spans="1:24" ht="23.15" customHeight="1">
      <c r="A1004" s="219"/>
      <c r="B1004" s="219" t="s">
        <v>2957</v>
      </c>
      <c r="C1004" s="219" t="s">
        <v>2958</v>
      </c>
      <c r="D1004" s="220" t="s">
        <v>1270</v>
      </c>
      <c r="E1004" s="220" t="s">
        <v>2959</v>
      </c>
      <c r="F1004" s="220" t="s">
        <v>2960</v>
      </c>
      <c r="G1004" s="220" t="s">
        <v>2208</v>
      </c>
      <c r="H1004" s="220" t="s">
        <v>2961</v>
      </c>
      <c r="I1004" s="220" t="s">
        <v>40</v>
      </c>
      <c r="J1004" s="220" t="s">
        <v>2124</v>
      </c>
      <c r="K1004" s="220" t="s">
        <v>2962</v>
      </c>
      <c r="L1004" s="220" t="s">
        <v>2963</v>
      </c>
      <c r="M1004" s="220" t="s">
        <v>2964</v>
      </c>
      <c r="N1004" s="833" t="s">
        <v>2965</v>
      </c>
      <c r="O1004" s="834"/>
      <c r="P1004" s="835"/>
      <c r="Q1004" s="220" t="s">
        <v>2966</v>
      </c>
      <c r="R1004" s="221">
        <v>45289</v>
      </c>
      <c r="S1004" s="220" t="s">
        <v>2967</v>
      </c>
      <c r="T1004" s="221" t="s">
        <v>1515</v>
      </c>
      <c r="U1004" s="220">
        <v>250000</v>
      </c>
      <c r="V1004" s="220" t="s">
        <v>40</v>
      </c>
      <c r="W1004" s="220" t="s">
        <v>40</v>
      </c>
      <c r="X1004" s="221" t="s">
        <v>40</v>
      </c>
    </row>
    <row r="1005" spans="1:24" ht="15" customHeight="1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4"/>
      <c r="M1005" s="35"/>
      <c r="N1005" s="54"/>
      <c r="O1005" s="54"/>
      <c r="P1005" s="54"/>
      <c r="Q1005" s="53"/>
      <c r="R1005" s="53"/>
      <c r="S1005" s="53"/>
      <c r="T1005" s="36" t="s">
        <v>163</v>
      </c>
      <c r="U1005" s="27">
        <f>SUM(U939:U1004)</f>
        <v>193091430.69999999</v>
      </c>
      <c r="V1005" s="27"/>
      <c r="W1005" s="49"/>
      <c r="X1005" s="53"/>
    </row>
    <row r="1006" spans="1:24" ht="15" customHeight="1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4"/>
      <c r="M1006" s="35"/>
      <c r="N1006" s="54"/>
      <c r="O1006" s="54"/>
      <c r="P1006" s="54"/>
      <c r="Q1006" s="53"/>
      <c r="R1006" s="53"/>
      <c r="S1006" s="53"/>
      <c r="T1006" s="36" t="s">
        <v>544</v>
      </c>
      <c r="U1006" s="101">
        <v>105000000</v>
      </c>
      <c r="V1006" s="102" t="s">
        <v>278</v>
      </c>
      <c r="W1006" s="49"/>
      <c r="X1006" s="53"/>
    </row>
    <row r="1007" spans="1:24" ht="15" customHeight="1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35"/>
      <c r="N1007" s="35"/>
      <c r="O1007" s="35"/>
      <c r="P1007" s="35"/>
      <c r="Q1007" s="23"/>
      <c r="R1007" s="23"/>
      <c r="S1007" s="23"/>
      <c r="T1007" s="36"/>
      <c r="U1007" s="27"/>
      <c r="V1007" s="102"/>
      <c r="W1007" s="55"/>
      <c r="X1007" s="23"/>
    </row>
    <row r="1008" spans="1:24" ht="1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3"/>
      <c r="N1008" s="22"/>
      <c r="O1008" s="22"/>
      <c r="P1008" s="22"/>
      <c r="Q1008" s="22"/>
      <c r="R1008" s="22"/>
      <c r="S1008" s="22"/>
      <c r="T1008" s="151" t="s">
        <v>165</v>
      </c>
      <c r="U1008" s="27">
        <f>U1005*15/100</f>
        <v>28963714.605</v>
      </c>
      <c r="V1008" s="114"/>
      <c r="W1008" s="22"/>
      <c r="X1008" s="22"/>
    </row>
    <row r="1011" spans="1:25" ht="32.9" customHeight="1">
      <c r="A1011" s="798" t="s">
        <v>2968</v>
      </c>
      <c r="B1011" s="799"/>
      <c r="C1011" s="799"/>
      <c r="D1011" s="799"/>
      <c r="E1011" s="799"/>
      <c r="F1011" s="799"/>
      <c r="G1011" s="799"/>
      <c r="H1011" s="799"/>
      <c r="I1011" s="799"/>
      <c r="J1011" s="799"/>
      <c r="K1011" s="799"/>
      <c r="L1011" s="799"/>
      <c r="M1011" s="799"/>
      <c r="N1011" s="799"/>
      <c r="O1011" s="799"/>
      <c r="P1011" s="799"/>
      <c r="Q1011" s="799"/>
      <c r="R1011" s="799"/>
      <c r="S1011" s="799"/>
      <c r="T1011" s="799"/>
      <c r="U1011" s="799"/>
      <c r="V1011" s="799"/>
      <c r="W1011" s="799"/>
      <c r="X1011" s="799"/>
    </row>
    <row r="1012" spans="1:25" ht="22.15" customHeight="1">
      <c r="A1012" s="115" t="s">
        <v>1</v>
      </c>
      <c r="B1012" s="116" t="s">
        <v>2</v>
      </c>
      <c r="C1012" s="117" t="s">
        <v>3</v>
      </c>
      <c r="D1012" s="117" t="s">
        <v>4</v>
      </c>
      <c r="E1012" s="117" t="s">
        <v>5</v>
      </c>
      <c r="F1012" s="117" t="s">
        <v>6</v>
      </c>
      <c r="G1012" s="117" t="s">
        <v>7</v>
      </c>
      <c r="H1012" s="117" t="s">
        <v>2738</v>
      </c>
      <c r="I1012" s="117" t="s">
        <v>9</v>
      </c>
      <c r="J1012" s="117" t="s">
        <v>10</v>
      </c>
      <c r="K1012" s="117" t="s">
        <v>11</v>
      </c>
      <c r="L1012" s="117" t="s">
        <v>12</v>
      </c>
      <c r="M1012" s="118" t="s">
        <v>13</v>
      </c>
      <c r="N1012" s="117" t="s">
        <v>14</v>
      </c>
      <c r="O1012" s="117" t="s">
        <v>15</v>
      </c>
      <c r="P1012" s="117" t="s">
        <v>16</v>
      </c>
      <c r="Q1012" s="119" t="s">
        <v>17</v>
      </c>
      <c r="R1012" s="120" t="s">
        <v>18</v>
      </c>
      <c r="S1012" s="120" t="s">
        <v>2739</v>
      </c>
      <c r="T1012" s="120" t="s">
        <v>20</v>
      </c>
      <c r="U1012" s="117" t="s">
        <v>21</v>
      </c>
      <c r="V1012" s="117" t="s">
        <v>22</v>
      </c>
      <c r="W1012" s="117" t="s">
        <v>23</v>
      </c>
      <c r="X1012" s="117" t="s">
        <v>24</v>
      </c>
    </row>
    <row r="1013" spans="1:25" ht="15" customHeight="1">
      <c r="A1013" s="807" t="s">
        <v>25</v>
      </c>
      <c r="B1013" s="808"/>
      <c r="C1013" s="808"/>
      <c r="D1013" s="808"/>
      <c r="E1013" s="808"/>
      <c r="F1013" s="808"/>
      <c r="G1013" s="808"/>
      <c r="H1013" s="808"/>
      <c r="I1013" s="808"/>
      <c r="J1013" s="808"/>
      <c r="K1013" s="808"/>
      <c r="L1013" s="808"/>
      <c r="M1013" s="808"/>
      <c r="N1013" s="808"/>
      <c r="O1013" s="808"/>
      <c r="P1013" s="808"/>
      <c r="Q1013" s="808"/>
      <c r="R1013" s="808"/>
      <c r="S1013" s="808"/>
      <c r="T1013" s="808"/>
      <c r="U1013" s="808"/>
      <c r="V1013" s="808"/>
      <c r="W1013" s="808"/>
      <c r="X1013" s="809"/>
    </row>
    <row r="1014" spans="1:25" ht="22" customHeight="1">
      <c r="A1014" s="204">
        <v>1</v>
      </c>
      <c r="B1014" s="205" t="s">
        <v>2969</v>
      </c>
      <c r="C1014" s="204" t="s">
        <v>2970</v>
      </c>
      <c r="D1014" s="205" t="s">
        <v>2797</v>
      </c>
      <c r="E1014" s="204" t="s">
        <v>1562</v>
      </c>
      <c r="F1014" s="204" t="s">
        <v>40</v>
      </c>
      <c r="G1014" s="205" t="s">
        <v>2971</v>
      </c>
      <c r="H1014" s="204" t="s">
        <v>2972</v>
      </c>
      <c r="I1014" s="204" t="s">
        <v>40</v>
      </c>
      <c r="J1014" s="204" t="s">
        <v>2626</v>
      </c>
      <c r="K1014" s="204" t="s">
        <v>2973</v>
      </c>
      <c r="L1014" s="207"/>
      <c r="M1014" s="207" t="s">
        <v>40</v>
      </c>
      <c r="N1014" s="207" t="s">
        <v>40</v>
      </c>
      <c r="O1014" s="207" t="s">
        <v>40</v>
      </c>
      <c r="P1014" s="207" t="s">
        <v>40</v>
      </c>
      <c r="Q1014" s="204" t="s">
        <v>239</v>
      </c>
      <c r="R1014" s="207">
        <v>45296</v>
      </c>
      <c r="S1014" s="204" t="s">
        <v>2974</v>
      </c>
      <c r="T1014" s="207">
        <v>45310</v>
      </c>
      <c r="U1014" s="204">
        <v>440000</v>
      </c>
      <c r="V1014" s="204">
        <v>100000</v>
      </c>
      <c r="W1014" s="204" t="s">
        <v>2975</v>
      </c>
      <c r="X1014" s="207">
        <v>45310</v>
      </c>
    </row>
    <row r="1015" spans="1:25" s="160" customFormat="1" ht="13.9" customHeight="1">
      <c r="A1015" s="820">
        <v>2</v>
      </c>
      <c r="B1015" s="827" t="s">
        <v>2751</v>
      </c>
      <c r="C1015" s="820" t="s">
        <v>2976</v>
      </c>
      <c r="D1015" s="827" t="s">
        <v>1618</v>
      </c>
      <c r="E1015" s="909" t="s">
        <v>2336</v>
      </c>
      <c r="F1015" s="208" t="s">
        <v>2977</v>
      </c>
      <c r="G1015" s="870" t="s">
        <v>560</v>
      </c>
      <c r="H1015" s="820" t="s">
        <v>2978</v>
      </c>
      <c r="I1015" s="836" t="s">
        <v>2979</v>
      </c>
      <c r="J1015" s="820" t="s">
        <v>2980</v>
      </c>
      <c r="K1015" s="820" t="s">
        <v>40</v>
      </c>
      <c r="L1015" s="830" t="s">
        <v>40</v>
      </c>
      <c r="M1015" s="830">
        <v>45297</v>
      </c>
      <c r="N1015" s="830">
        <v>45301</v>
      </c>
      <c r="O1015" s="211"/>
      <c r="P1015" s="211"/>
      <c r="Q1015" s="820" t="s">
        <v>2981</v>
      </c>
      <c r="R1015" s="830">
        <v>45297</v>
      </c>
      <c r="S1015" s="820" t="s">
        <v>2982</v>
      </c>
      <c r="T1015" s="830"/>
      <c r="U1015" s="820">
        <v>3190000</v>
      </c>
      <c r="V1015" s="820">
        <v>250000</v>
      </c>
      <c r="W1015" s="820" t="s">
        <v>2158</v>
      </c>
      <c r="X1015" s="830">
        <v>45329</v>
      </c>
    </row>
    <row r="1016" spans="1:25" s="160" customFormat="1" ht="15" customHeight="1">
      <c r="A1016" s="820"/>
      <c r="B1016" s="827"/>
      <c r="C1016" s="820"/>
      <c r="D1016" s="827"/>
      <c r="E1016" s="909"/>
      <c r="F1016" s="208" t="s">
        <v>2983</v>
      </c>
      <c r="G1016" s="870"/>
      <c r="H1016" s="820"/>
      <c r="I1016" s="820"/>
      <c r="J1016" s="820"/>
      <c r="K1016" s="820"/>
      <c r="L1016" s="830"/>
      <c r="M1016" s="830"/>
      <c r="N1016" s="830"/>
      <c r="O1016" s="211"/>
      <c r="P1016" s="211"/>
      <c r="Q1016" s="820"/>
      <c r="R1016" s="830"/>
      <c r="S1016" s="820"/>
      <c r="T1016" s="830"/>
      <c r="U1016" s="820"/>
      <c r="V1016" s="820"/>
      <c r="W1016" s="820"/>
      <c r="X1016" s="830"/>
    </row>
    <row r="1017" spans="1:25" s="160" customFormat="1" ht="15" customHeight="1">
      <c r="A1017" s="820"/>
      <c r="B1017" s="827"/>
      <c r="C1017" s="820"/>
      <c r="D1017" s="827"/>
      <c r="E1017" s="909"/>
      <c r="F1017" s="208" t="s">
        <v>2984</v>
      </c>
      <c r="G1017" s="870"/>
      <c r="H1017" s="820"/>
      <c r="I1017" s="820"/>
      <c r="J1017" s="820"/>
      <c r="K1017" s="820"/>
      <c r="L1017" s="830"/>
      <c r="M1017" s="830"/>
      <c r="N1017" s="830"/>
      <c r="O1017" s="211"/>
      <c r="P1017" s="211"/>
      <c r="Q1017" s="820"/>
      <c r="R1017" s="830"/>
      <c r="S1017" s="820"/>
      <c r="T1017" s="830"/>
      <c r="U1017" s="820"/>
      <c r="V1017" s="820"/>
      <c r="W1017" s="820"/>
      <c r="X1017" s="830"/>
    </row>
    <row r="1018" spans="1:25" s="160" customFormat="1" ht="15" customHeight="1">
      <c r="A1018" s="820"/>
      <c r="B1018" s="827"/>
      <c r="C1018" s="820"/>
      <c r="D1018" s="827"/>
      <c r="E1018" s="909"/>
      <c r="F1018" s="208" t="s">
        <v>2985</v>
      </c>
      <c r="G1018" s="870"/>
      <c r="H1018" s="820"/>
      <c r="I1018" s="820"/>
      <c r="J1018" s="820"/>
      <c r="K1018" s="820"/>
      <c r="L1018" s="830"/>
      <c r="M1018" s="830"/>
      <c r="N1018" s="830"/>
      <c r="O1018" s="211"/>
      <c r="P1018" s="211"/>
      <c r="Q1018" s="820"/>
      <c r="R1018" s="830"/>
      <c r="S1018" s="820"/>
      <c r="T1018" s="830"/>
      <c r="U1018" s="820"/>
      <c r="V1018" s="820"/>
      <c r="W1018" s="820"/>
      <c r="X1018" s="830"/>
    </row>
    <row r="1019" spans="1:25" s="160" customFormat="1" ht="15.75" customHeight="1">
      <c r="A1019" s="820">
        <v>3</v>
      </c>
      <c r="B1019" s="827" t="s">
        <v>2751</v>
      </c>
      <c r="C1019" s="820" t="s">
        <v>2986</v>
      </c>
      <c r="D1019" s="827" t="s">
        <v>1618</v>
      </c>
      <c r="E1019" s="820" t="s">
        <v>2336</v>
      </c>
      <c r="F1019" s="208" t="s">
        <v>2987</v>
      </c>
      <c r="G1019" s="827" t="s">
        <v>63</v>
      </c>
      <c r="H1019" s="820" t="s">
        <v>2988</v>
      </c>
      <c r="I1019" s="836" t="s">
        <v>2989</v>
      </c>
      <c r="J1019" s="820" t="s">
        <v>2980</v>
      </c>
      <c r="K1019" s="820" t="s">
        <v>40</v>
      </c>
      <c r="L1019" s="820" t="s">
        <v>40</v>
      </c>
      <c r="M1019" s="830">
        <v>45297</v>
      </c>
      <c r="N1019" s="830">
        <v>45301</v>
      </c>
      <c r="O1019" s="830">
        <v>45301</v>
      </c>
      <c r="P1019" s="830">
        <v>45302</v>
      </c>
      <c r="Q1019" s="820" t="s">
        <v>2981</v>
      </c>
      <c r="R1019" s="830">
        <v>45297</v>
      </c>
      <c r="S1019" s="820" t="s">
        <v>2990</v>
      </c>
      <c r="T1019" s="830"/>
      <c r="U1019" s="820">
        <v>1560000</v>
      </c>
      <c r="V1019" s="820">
        <v>150000</v>
      </c>
      <c r="W1019" s="820" t="s">
        <v>2158</v>
      </c>
      <c r="X1019" s="830">
        <v>45329</v>
      </c>
      <c r="Y1019" s="165"/>
    </row>
    <row r="1020" spans="1:25" s="160" customFormat="1" ht="15.75" customHeight="1">
      <c r="A1020" s="820"/>
      <c r="B1020" s="827"/>
      <c r="C1020" s="820"/>
      <c r="D1020" s="827"/>
      <c r="E1020" s="821"/>
      <c r="F1020" s="214" t="s">
        <v>2991</v>
      </c>
      <c r="G1020" s="904"/>
      <c r="H1020" s="821"/>
      <c r="I1020" s="820"/>
      <c r="J1020" s="820"/>
      <c r="K1020" s="820"/>
      <c r="L1020" s="820"/>
      <c r="M1020" s="830"/>
      <c r="N1020" s="830"/>
      <c r="O1020" s="830"/>
      <c r="P1020" s="830"/>
      <c r="Q1020" s="820"/>
      <c r="R1020" s="830"/>
      <c r="S1020" s="820"/>
      <c r="T1020" s="830"/>
      <c r="U1020" s="820"/>
      <c r="V1020" s="820"/>
      <c r="W1020" s="820"/>
      <c r="X1020" s="830"/>
      <c r="Y1020" s="165"/>
    </row>
    <row r="1021" spans="1:25" s="222" customFormat="1" ht="26.9" customHeight="1">
      <c r="A1021" s="208">
        <v>4</v>
      </c>
      <c r="B1021" s="209" t="s">
        <v>2751</v>
      </c>
      <c r="C1021" s="208" t="s">
        <v>2992</v>
      </c>
      <c r="D1021" s="209" t="s">
        <v>1618</v>
      </c>
      <c r="E1021" s="208" t="s">
        <v>2336</v>
      </c>
      <c r="F1021" s="208" t="s">
        <v>2993</v>
      </c>
      <c r="G1021" s="209" t="s">
        <v>71</v>
      </c>
      <c r="H1021" s="208" t="s">
        <v>2994</v>
      </c>
      <c r="I1021" s="210" t="s">
        <v>2995</v>
      </c>
      <c r="J1021" s="208" t="s">
        <v>2980</v>
      </c>
      <c r="K1021" s="208" t="s">
        <v>40</v>
      </c>
      <c r="L1021" s="208" t="s">
        <v>40</v>
      </c>
      <c r="M1021" s="211">
        <v>45297</v>
      </c>
      <c r="N1021" s="211">
        <v>45301</v>
      </c>
      <c r="O1021" s="211"/>
      <c r="P1021" s="211"/>
      <c r="Q1021" s="208" t="s">
        <v>2981</v>
      </c>
      <c r="R1021" s="211">
        <v>45297</v>
      </c>
      <c r="S1021" s="208" t="s">
        <v>2996</v>
      </c>
      <c r="T1021" s="211"/>
      <c r="U1021" s="208">
        <v>910000</v>
      </c>
      <c r="V1021" s="208">
        <v>100000</v>
      </c>
      <c r="W1021" s="208" t="s">
        <v>2158</v>
      </c>
      <c r="X1021" s="211">
        <v>45329</v>
      </c>
      <c r="Y1021" s="160"/>
    </row>
    <row r="1022" spans="1:25" s="160" customFormat="1" ht="15" customHeight="1">
      <c r="A1022" s="820">
        <v>5</v>
      </c>
      <c r="B1022" s="827" t="s">
        <v>2751</v>
      </c>
      <c r="C1022" s="820" t="s">
        <v>2997</v>
      </c>
      <c r="D1022" s="827" t="s">
        <v>1618</v>
      </c>
      <c r="E1022" s="909" t="s">
        <v>2336</v>
      </c>
      <c r="F1022" s="208" t="s">
        <v>2998</v>
      </c>
      <c r="G1022" s="870" t="s">
        <v>800</v>
      </c>
      <c r="H1022" s="820" t="s">
        <v>2999</v>
      </c>
      <c r="I1022" s="836" t="s">
        <v>3000</v>
      </c>
      <c r="J1022" s="820" t="s">
        <v>2980</v>
      </c>
      <c r="K1022" s="820" t="s">
        <v>40</v>
      </c>
      <c r="L1022" s="820" t="s">
        <v>40</v>
      </c>
      <c r="M1022" s="830">
        <v>45303</v>
      </c>
      <c r="N1022" s="830">
        <v>45308</v>
      </c>
      <c r="O1022" s="211"/>
      <c r="P1022" s="211"/>
      <c r="Q1022" s="820" t="s">
        <v>3001</v>
      </c>
      <c r="R1022" s="830">
        <v>45308</v>
      </c>
      <c r="S1022" s="820" t="s">
        <v>3002</v>
      </c>
      <c r="T1022" s="830"/>
      <c r="U1022" s="820">
        <v>4259538</v>
      </c>
      <c r="V1022" s="820">
        <v>300000</v>
      </c>
      <c r="W1022" s="820" t="s">
        <v>2158</v>
      </c>
      <c r="X1022" s="830">
        <v>45329</v>
      </c>
    </row>
    <row r="1023" spans="1:25" s="160" customFormat="1" ht="15" customHeight="1">
      <c r="A1023" s="820"/>
      <c r="B1023" s="827"/>
      <c r="C1023" s="820"/>
      <c r="D1023" s="827"/>
      <c r="E1023" s="909"/>
      <c r="F1023" s="208" t="s">
        <v>3003</v>
      </c>
      <c r="G1023" s="870"/>
      <c r="H1023" s="820"/>
      <c r="I1023" s="820"/>
      <c r="J1023" s="820"/>
      <c r="K1023" s="820"/>
      <c r="L1023" s="820"/>
      <c r="M1023" s="830"/>
      <c r="N1023" s="830"/>
      <c r="O1023" s="211"/>
      <c r="P1023" s="211"/>
      <c r="Q1023" s="820"/>
      <c r="R1023" s="830"/>
      <c r="S1023" s="820"/>
      <c r="T1023" s="830"/>
      <c r="U1023" s="820"/>
      <c r="V1023" s="820"/>
      <c r="W1023" s="820"/>
      <c r="X1023" s="830"/>
    </row>
    <row r="1024" spans="1:25" s="160" customFormat="1" ht="15" customHeight="1">
      <c r="A1024" s="820"/>
      <c r="B1024" s="827"/>
      <c r="C1024" s="820"/>
      <c r="D1024" s="827"/>
      <c r="E1024" s="909"/>
      <c r="F1024" s="208" t="s">
        <v>3004</v>
      </c>
      <c r="G1024" s="870"/>
      <c r="H1024" s="820"/>
      <c r="I1024" s="820"/>
      <c r="J1024" s="820"/>
      <c r="K1024" s="820"/>
      <c r="L1024" s="820"/>
      <c r="M1024" s="830"/>
      <c r="N1024" s="830"/>
      <c r="O1024" s="211"/>
      <c r="P1024" s="211"/>
      <c r="Q1024" s="820"/>
      <c r="R1024" s="830"/>
      <c r="S1024" s="820"/>
      <c r="T1024" s="830"/>
      <c r="U1024" s="820"/>
      <c r="V1024" s="820"/>
      <c r="W1024" s="820"/>
      <c r="X1024" s="830"/>
    </row>
    <row r="1025" spans="1:24" s="160" customFormat="1" ht="15" customHeight="1">
      <c r="A1025" s="820"/>
      <c r="B1025" s="827"/>
      <c r="C1025" s="820"/>
      <c r="D1025" s="827"/>
      <c r="E1025" s="909"/>
      <c r="F1025" s="208" t="s">
        <v>3005</v>
      </c>
      <c r="G1025" s="870"/>
      <c r="H1025" s="820"/>
      <c r="I1025" s="820"/>
      <c r="J1025" s="820"/>
      <c r="K1025" s="820"/>
      <c r="L1025" s="820"/>
      <c r="M1025" s="830"/>
      <c r="N1025" s="830"/>
      <c r="O1025" s="211"/>
      <c r="P1025" s="211"/>
      <c r="Q1025" s="820"/>
      <c r="R1025" s="830"/>
      <c r="S1025" s="820"/>
      <c r="T1025" s="830"/>
      <c r="U1025" s="820"/>
      <c r="V1025" s="820"/>
      <c r="W1025" s="820"/>
      <c r="X1025" s="830"/>
    </row>
    <row r="1026" spans="1:24" s="160" customFormat="1" ht="15" customHeight="1">
      <c r="A1026" s="820"/>
      <c r="B1026" s="827"/>
      <c r="C1026" s="820"/>
      <c r="D1026" s="827"/>
      <c r="E1026" s="909"/>
      <c r="F1026" s="208" t="s">
        <v>3006</v>
      </c>
      <c r="G1026" s="870"/>
      <c r="H1026" s="820"/>
      <c r="I1026" s="820"/>
      <c r="J1026" s="820"/>
      <c r="K1026" s="820"/>
      <c r="L1026" s="820"/>
      <c r="M1026" s="830"/>
      <c r="N1026" s="830"/>
      <c r="O1026" s="211"/>
      <c r="P1026" s="211"/>
      <c r="Q1026" s="820"/>
      <c r="R1026" s="830"/>
      <c r="S1026" s="820"/>
      <c r="T1026" s="830"/>
      <c r="U1026" s="820"/>
      <c r="V1026" s="820"/>
      <c r="W1026" s="820"/>
      <c r="X1026" s="830"/>
    </row>
    <row r="1027" spans="1:24" s="160" customFormat="1" ht="13.9" customHeight="1">
      <c r="A1027" s="820">
        <v>6</v>
      </c>
      <c r="B1027" s="827" t="s">
        <v>2751</v>
      </c>
      <c r="C1027" s="820" t="s">
        <v>3007</v>
      </c>
      <c r="D1027" s="827" t="s">
        <v>1618</v>
      </c>
      <c r="E1027" s="909" t="s">
        <v>2336</v>
      </c>
      <c r="F1027" s="208" t="s">
        <v>3008</v>
      </c>
      <c r="G1027" s="870" t="s">
        <v>49</v>
      </c>
      <c r="H1027" s="820" t="s">
        <v>3009</v>
      </c>
      <c r="I1027" s="836" t="s">
        <v>3010</v>
      </c>
      <c r="J1027" s="820" t="s">
        <v>2980</v>
      </c>
      <c r="K1027" s="820" t="s">
        <v>40</v>
      </c>
      <c r="L1027" s="830" t="s">
        <v>40</v>
      </c>
      <c r="M1027" s="830">
        <v>45303</v>
      </c>
      <c r="N1027" s="830">
        <v>45307</v>
      </c>
      <c r="O1027" s="211"/>
      <c r="P1027" s="211"/>
      <c r="Q1027" s="820" t="s">
        <v>3001</v>
      </c>
      <c r="R1027" s="830">
        <v>45307</v>
      </c>
      <c r="S1027" s="820" t="s">
        <v>3011</v>
      </c>
      <c r="T1027" s="830"/>
      <c r="U1027" s="820">
        <v>2544926</v>
      </c>
      <c r="V1027" s="820">
        <v>200000</v>
      </c>
      <c r="W1027" s="820" t="s">
        <v>2158</v>
      </c>
      <c r="X1027" s="830">
        <v>45329</v>
      </c>
    </row>
    <row r="1028" spans="1:24" s="160" customFormat="1" ht="15" customHeight="1">
      <c r="A1028" s="820"/>
      <c r="B1028" s="827"/>
      <c r="C1028" s="820"/>
      <c r="D1028" s="827"/>
      <c r="E1028" s="909"/>
      <c r="F1028" s="208" t="s">
        <v>3012</v>
      </c>
      <c r="G1028" s="870"/>
      <c r="H1028" s="820"/>
      <c r="I1028" s="820"/>
      <c r="J1028" s="820"/>
      <c r="K1028" s="820"/>
      <c r="L1028" s="830"/>
      <c r="M1028" s="830"/>
      <c r="N1028" s="830"/>
      <c r="O1028" s="211"/>
      <c r="P1028" s="211"/>
      <c r="Q1028" s="820"/>
      <c r="R1028" s="830"/>
      <c r="S1028" s="820"/>
      <c r="T1028" s="830"/>
      <c r="U1028" s="820"/>
      <c r="V1028" s="820"/>
      <c r="W1028" s="820"/>
      <c r="X1028" s="830"/>
    </row>
    <row r="1029" spans="1:24" s="160" customFormat="1" ht="15" customHeight="1">
      <c r="A1029" s="820"/>
      <c r="B1029" s="827"/>
      <c r="C1029" s="820"/>
      <c r="D1029" s="827"/>
      <c r="E1029" s="909"/>
      <c r="F1029" s="208" t="s">
        <v>3013</v>
      </c>
      <c r="G1029" s="870"/>
      <c r="H1029" s="820"/>
      <c r="I1029" s="820"/>
      <c r="J1029" s="820"/>
      <c r="K1029" s="820"/>
      <c r="L1029" s="830"/>
      <c r="M1029" s="830"/>
      <c r="N1029" s="830"/>
      <c r="O1029" s="211"/>
      <c r="P1029" s="211"/>
      <c r="Q1029" s="820"/>
      <c r="R1029" s="830"/>
      <c r="S1029" s="820"/>
      <c r="T1029" s="830"/>
      <c r="U1029" s="820"/>
      <c r="V1029" s="820"/>
      <c r="W1029" s="820"/>
      <c r="X1029" s="830"/>
    </row>
    <row r="1030" spans="1:24" s="160" customFormat="1" ht="13.9" customHeight="1">
      <c r="A1030" s="820">
        <v>7</v>
      </c>
      <c r="B1030" s="827" t="s">
        <v>2751</v>
      </c>
      <c r="C1030" s="820" t="s">
        <v>3014</v>
      </c>
      <c r="D1030" s="827" t="s">
        <v>1618</v>
      </c>
      <c r="E1030" s="909" t="s">
        <v>2336</v>
      </c>
      <c r="F1030" s="208" t="s">
        <v>3015</v>
      </c>
      <c r="G1030" s="870" t="s">
        <v>49</v>
      </c>
      <c r="H1030" s="820" t="s">
        <v>3016</v>
      </c>
      <c r="I1030" s="836" t="s">
        <v>3017</v>
      </c>
      <c r="J1030" s="820" t="s">
        <v>2822</v>
      </c>
      <c r="K1030" s="820" t="s">
        <v>40</v>
      </c>
      <c r="L1030" s="830" t="s">
        <v>40</v>
      </c>
      <c r="M1030" s="830">
        <v>45306</v>
      </c>
      <c r="N1030" s="830">
        <v>45308</v>
      </c>
      <c r="O1030" s="211"/>
      <c r="P1030" s="211"/>
      <c r="Q1030" s="820" t="s">
        <v>2760</v>
      </c>
      <c r="R1030" s="830">
        <v>45308</v>
      </c>
      <c r="S1030" s="820" t="s">
        <v>3018</v>
      </c>
      <c r="T1030" s="830"/>
      <c r="U1030" s="820">
        <v>9105045</v>
      </c>
      <c r="V1030" s="820">
        <v>200000</v>
      </c>
      <c r="W1030" s="820" t="s">
        <v>2158</v>
      </c>
      <c r="X1030" s="830">
        <v>45329</v>
      </c>
    </row>
    <row r="1031" spans="1:24" s="160" customFormat="1" ht="15" customHeight="1">
      <c r="A1031" s="820"/>
      <c r="B1031" s="827"/>
      <c r="C1031" s="820"/>
      <c r="D1031" s="827"/>
      <c r="E1031" s="909"/>
      <c r="F1031" s="208" t="s">
        <v>3019</v>
      </c>
      <c r="G1031" s="870"/>
      <c r="H1031" s="820"/>
      <c r="I1031" s="820"/>
      <c r="J1031" s="820"/>
      <c r="K1031" s="820"/>
      <c r="L1031" s="830"/>
      <c r="M1031" s="830"/>
      <c r="N1031" s="830"/>
      <c r="O1031" s="211"/>
      <c r="P1031" s="211"/>
      <c r="Q1031" s="820"/>
      <c r="R1031" s="830"/>
      <c r="S1031" s="820"/>
      <c r="T1031" s="830"/>
      <c r="U1031" s="820"/>
      <c r="V1031" s="820"/>
      <c r="W1031" s="820"/>
      <c r="X1031" s="830"/>
    </row>
    <row r="1032" spans="1:24" s="160" customFormat="1" ht="15" customHeight="1">
      <c r="A1032" s="820"/>
      <c r="B1032" s="827"/>
      <c r="C1032" s="820"/>
      <c r="D1032" s="827"/>
      <c r="E1032" s="909"/>
      <c r="F1032" s="208" t="s">
        <v>3020</v>
      </c>
      <c r="G1032" s="870"/>
      <c r="H1032" s="820"/>
      <c r="I1032" s="820"/>
      <c r="J1032" s="820"/>
      <c r="K1032" s="820"/>
      <c r="L1032" s="830"/>
      <c r="M1032" s="830"/>
      <c r="N1032" s="830"/>
      <c r="O1032" s="211"/>
      <c r="P1032" s="211"/>
      <c r="Q1032" s="820"/>
      <c r="R1032" s="830"/>
      <c r="S1032" s="820"/>
      <c r="T1032" s="830"/>
      <c r="U1032" s="820"/>
      <c r="V1032" s="820"/>
      <c r="W1032" s="820"/>
      <c r="X1032" s="830"/>
    </row>
    <row r="1033" spans="1:24" ht="22" customHeight="1">
      <c r="A1033" s="204">
        <v>8</v>
      </c>
      <c r="B1033" s="205" t="s">
        <v>3021</v>
      </c>
      <c r="C1033" s="204" t="s">
        <v>3022</v>
      </c>
      <c r="D1033" s="205" t="s">
        <v>3023</v>
      </c>
      <c r="E1033" s="204" t="s">
        <v>2170</v>
      </c>
      <c r="F1033" s="204" t="s">
        <v>3024</v>
      </c>
      <c r="G1033" s="205" t="s">
        <v>818</v>
      </c>
      <c r="H1033" s="204" t="s">
        <v>3025</v>
      </c>
      <c r="I1033" s="206" t="s">
        <v>2544</v>
      </c>
      <c r="J1033" s="204" t="s">
        <v>3026</v>
      </c>
      <c r="K1033" s="204" t="s">
        <v>159</v>
      </c>
      <c r="L1033" s="207">
        <v>45296</v>
      </c>
      <c r="M1033" s="207">
        <v>45307</v>
      </c>
      <c r="N1033" s="207">
        <v>45314</v>
      </c>
      <c r="O1033" s="207">
        <v>45315</v>
      </c>
      <c r="P1033" s="207">
        <v>45316</v>
      </c>
      <c r="Q1033" s="204" t="s">
        <v>3027</v>
      </c>
      <c r="R1033" s="207">
        <v>45316</v>
      </c>
      <c r="S1033" s="204" t="s">
        <v>3028</v>
      </c>
      <c r="T1033" s="207">
        <v>45317</v>
      </c>
      <c r="U1033" s="204">
        <v>7337350</v>
      </c>
      <c r="V1033" s="204">
        <v>350000</v>
      </c>
      <c r="W1033" s="204" t="s">
        <v>3029</v>
      </c>
      <c r="X1033" s="207">
        <v>45322</v>
      </c>
    </row>
    <row r="1034" spans="1:24" ht="22" customHeight="1">
      <c r="A1034" s="204">
        <v>9</v>
      </c>
      <c r="B1034" s="205" t="s">
        <v>3030</v>
      </c>
      <c r="C1034" s="204" t="s">
        <v>3031</v>
      </c>
      <c r="D1034" s="205" t="s">
        <v>1733</v>
      </c>
      <c r="E1034" s="204" t="s">
        <v>3032</v>
      </c>
      <c r="F1034" s="204" t="s">
        <v>3033</v>
      </c>
      <c r="G1034" s="205" t="s">
        <v>818</v>
      </c>
      <c r="H1034" s="204" t="s">
        <v>3034</v>
      </c>
      <c r="I1034" s="206" t="s">
        <v>3035</v>
      </c>
      <c r="J1034" s="204" t="s">
        <v>2626</v>
      </c>
      <c r="K1034" s="204"/>
      <c r="L1034" s="207">
        <v>45312</v>
      </c>
      <c r="M1034" s="207">
        <v>45323</v>
      </c>
      <c r="N1034" s="207">
        <v>45337</v>
      </c>
      <c r="O1034" s="207">
        <v>45338</v>
      </c>
      <c r="P1034" s="207">
        <v>45339</v>
      </c>
      <c r="Q1034" s="204" t="s">
        <v>3036</v>
      </c>
      <c r="R1034" s="207">
        <v>45293</v>
      </c>
      <c r="S1034" s="204" t="s">
        <v>3037</v>
      </c>
      <c r="T1034" s="207"/>
      <c r="U1034" s="204">
        <v>5385000</v>
      </c>
      <c r="V1034" s="204">
        <v>4175000</v>
      </c>
      <c r="W1034" s="204" t="s">
        <v>3038</v>
      </c>
      <c r="X1034" s="207"/>
    </row>
    <row r="1035" spans="1:24" ht="15" customHeight="1">
      <c r="A1035" s="828" t="s">
        <v>128</v>
      </c>
      <c r="B1035" s="828"/>
      <c r="C1035" s="215"/>
      <c r="D1035" s="215"/>
      <c r="E1035" s="215"/>
      <c r="F1035" s="215"/>
      <c r="G1035" s="215"/>
      <c r="H1035" s="215"/>
      <c r="I1035" s="215"/>
      <c r="J1035" s="215"/>
      <c r="K1035" s="215"/>
      <c r="L1035" s="216"/>
      <c r="M1035" s="216"/>
      <c r="N1035" s="216"/>
      <c r="O1035" s="216"/>
      <c r="P1035" s="216"/>
      <c r="Q1035" s="215"/>
      <c r="R1035" s="215"/>
      <c r="S1035" s="215"/>
      <c r="T1035" s="215"/>
      <c r="U1035" s="215"/>
      <c r="V1035" s="215"/>
      <c r="W1035" s="215"/>
      <c r="X1035" s="223"/>
    </row>
    <row r="1036" spans="1:24" ht="22" customHeight="1">
      <c r="A1036" s="204">
        <v>10</v>
      </c>
      <c r="B1036" s="218" t="s">
        <v>2803</v>
      </c>
      <c r="C1036" s="224" t="s">
        <v>3039</v>
      </c>
      <c r="D1036" s="218" t="s">
        <v>2805</v>
      </c>
      <c r="E1036" s="218" t="s">
        <v>2336</v>
      </c>
      <c r="F1036" s="218" t="s">
        <v>3040</v>
      </c>
      <c r="G1036" s="204" t="s">
        <v>270</v>
      </c>
      <c r="H1036" s="218" t="s">
        <v>3041</v>
      </c>
      <c r="I1036" s="204" t="s">
        <v>40</v>
      </c>
      <c r="J1036" s="204" t="s">
        <v>3042</v>
      </c>
      <c r="K1036" s="204" t="s">
        <v>3043</v>
      </c>
      <c r="L1036" s="207">
        <v>45307</v>
      </c>
      <c r="M1036" s="204" t="s">
        <v>40</v>
      </c>
      <c r="N1036" s="822" t="s">
        <v>3044</v>
      </c>
      <c r="O1036" s="822"/>
      <c r="P1036" s="822"/>
      <c r="Q1036" s="204" t="s">
        <v>3045</v>
      </c>
      <c r="R1036" s="207">
        <v>45302</v>
      </c>
      <c r="S1036" s="204" t="s">
        <v>3046</v>
      </c>
      <c r="T1036" s="207">
        <v>45317</v>
      </c>
      <c r="U1036" s="204">
        <v>42551</v>
      </c>
      <c r="V1036" s="204" t="s">
        <v>40</v>
      </c>
      <c r="W1036" s="204" t="s">
        <v>40</v>
      </c>
      <c r="X1036" s="207" t="s">
        <v>40</v>
      </c>
    </row>
    <row r="1037" spans="1:24" s="160" customFormat="1" ht="22" customHeight="1">
      <c r="A1037" s="208">
        <v>11</v>
      </c>
      <c r="B1037" s="225" t="s">
        <v>3047</v>
      </c>
      <c r="C1037" s="225" t="s">
        <v>3048</v>
      </c>
      <c r="D1037" s="225" t="s">
        <v>2797</v>
      </c>
      <c r="E1037" s="225" t="s">
        <v>2373</v>
      </c>
      <c r="F1037" s="225" t="s">
        <v>3049</v>
      </c>
      <c r="G1037" s="208" t="s">
        <v>270</v>
      </c>
      <c r="H1037" s="225" t="s">
        <v>3050</v>
      </c>
      <c r="I1037" s="208" t="s">
        <v>40</v>
      </c>
      <c r="J1037" s="208" t="s">
        <v>3051</v>
      </c>
      <c r="K1037" s="208" t="s">
        <v>3052</v>
      </c>
      <c r="L1037" s="211">
        <v>45313</v>
      </c>
      <c r="M1037" s="208" t="s">
        <v>40</v>
      </c>
      <c r="N1037" s="820" t="s">
        <v>3053</v>
      </c>
      <c r="O1037" s="820"/>
      <c r="P1037" s="820"/>
      <c r="Q1037" s="208" t="s">
        <v>3054</v>
      </c>
      <c r="R1037" s="211">
        <v>45314</v>
      </c>
      <c r="S1037" s="208" t="s">
        <v>3055</v>
      </c>
      <c r="T1037" s="211"/>
      <c r="U1037" s="208">
        <v>950000</v>
      </c>
      <c r="V1037" s="208" t="s">
        <v>40</v>
      </c>
      <c r="W1037" s="208" t="s">
        <v>40</v>
      </c>
      <c r="X1037" s="211" t="s">
        <v>40</v>
      </c>
    </row>
    <row r="1038" spans="1:24" s="160" customFormat="1" ht="22" customHeight="1">
      <c r="A1038" s="208">
        <v>12</v>
      </c>
      <c r="B1038" s="225" t="s">
        <v>3047</v>
      </c>
      <c r="C1038" s="225" t="s">
        <v>3056</v>
      </c>
      <c r="D1038" s="225" t="s">
        <v>2805</v>
      </c>
      <c r="E1038" s="225" t="s">
        <v>2373</v>
      </c>
      <c r="F1038" s="225" t="s">
        <v>3057</v>
      </c>
      <c r="G1038" s="208" t="s">
        <v>270</v>
      </c>
      <c r="H1038" s="225" t="s">
        <v>3058</v>
      </c>
      <c r="I1038" s="210" t="s">
        <v>753</v>
      </c>
      <c r="J1038" s="208" t="s">
        <v>3051</v>
      </c>
      <c r="K1038" s="208" t="s">
        <v>3052</v>
      </c>
      <c r="L1038" s="211">
        <v>45316</v>
      </c>
      <c r="M1038" s="208" t="s">
        <v>40</v>
      </c>
      <c r="N1038" s="820" t="s">
        <v>3059</v>
      </c>
      <c r="O1038" s="820"/>
      <c r="P1038" s="820"/>
      <c r="Q1038" s="208" t="s">
        <v>3054</v>
      </c>
      <c r="R1038" s="211">
        <v>45316</v>
      </c>
      <c r="S1038" s="208" t="s">
        <v>3060</v>
      </c>
      <c r="T1038" s="211"/>
      <c r="U1038" s="208">
        <v>1396000</v>
      </c>
      <c r="V1038" s="208" t="s">
        <v>40</v>
      </c>
      <c r="W1038" s="208" t="s">
        <v>40</v>
      </c>
      <c r="X1038" s="211" t="s">
        <v>40</v>
      </c>
    </row>
    <row r="1039" spans="1:24" ht="15" customHeight="1">
      <c r="A1039" s="828" t="s">
        <v>1919</v>
      </c>
      <c r="B1039" s="828"/>
      <c r="C1039" s="215"/>
      <c r="D1039" s="215"/>
      <c r="E1039" s="215"/>
      <c r="F1039" s="215"/>
      <c r="G1039" s="215"/>
      <c r="H1039" s="215"/>
      <c r="I1039" s="215"/>
      <c r="J1039" s="215"/>
      <c r="K1039" s="215"/>
      <c r="L1039" s="216"/>
      <c r="M1039" s="216"/>
      <c r="N1039" s="216"/>
      <c r="O1039" s="216"/>
      <c r="P1039" s="216"/>
      <c r="Q1039" s="215"/>
      <c r="R1039" s="215"/>
      <c r="S1039" s="215"/>
      <c r="T1039" s="215"/>
      <c r="U1039" s="215"/>
      <c r="V1039" s="215"/>
      <c r="W1039" s="215"/>
      <c r="X1039" s="223"/>
    </row>
    <row r="1040" spans="1:24" s="160" customFormat="1" ht="23.15" customHeight="1">
      <c r="A1040" s="226">
        <v>13</v>
      </c>
      <c r="B1040" s="226" t="s">
        <v>2957</v>
      </c>
      <c r="C1040" s="226" t="s">
        <v>3061</v>
      </c>
      <c r="D1040" s="227" t="s">
        <v>1270</v>
      </c>
      <c r="E1040" s="227" t="s">
        <v>2959</v>
      </c>
      <c r="F1040" s="227" t="s">
        <v>3062</v>
      </c>
      <c r="G1040" s="227" t="s">
        <v>2208</v>
      </c>
      <c r="H1040" s="227" t="s">
        <v>3063</v>
      </c>
      <c r="I1040" s="227" t="s">
        <v>40</v>
      </c>
      <c r="J1040" s="227" t="s">
        <v>2124</v>
      </c>
      <c r="K1040" s="227" t="s">
        <v>3064</v>
      </c>
      <c r="L1040" s="228">
        <v>45316</v>
      </c>
      <c r="M1040" s="227">
        <v>45317</v>
      </c>
      <c r="N1040" s="901" t="s">
        <v>3065</v>
      </c>
      <c r="O1040" s="902"/>
      <c r="P1040" s="903"/>
      <c r="Q1040" s="227" t="s">
        <v>3066</v>
      </c>
      <c r="R1040" s="228">
        <v>45316</v>
      </c>
      <c r="S1040" s="227" t="s">
        <v>3067</v>
      </c>
      <c r="T1040" s="228"/>
      <c r="U1040" s="227">
        <v>200000</v>
      </c>
      <c r="V1040" s="227" t="s">
        <v>40</v>
      </c>
      <c r="W1040" s="227" t="s">
        <v>40</v>
      </c>
      <c r="X1040" s="228" t="s">
        <v>40</v>
      </c>
    </row>
    <row r="1041" spans="1:24" ht="15" customHeight="1">
      <c r="A1041" s="53"/>
      <c r="B1041" s="53"/>
      <c r="C1041" s="53"/>
      <c r="D1041" s="53"/>
      <c r="E1041" s="53"/>
      <c r="F1041" s="53"/>
      <c r="G1041" s="53"/>
      <c r="H1041" s="53"/>
      <c r="I1041" s="53"/>
      <c r="J1041" s="53"/>
      <c r="K1041" s="53"/>
      <c r="L1041" s="54"/>
      <c r="M1041" s="35"/>
      <c r="N1041" s="54"/>
      <c r="O1041" s="54"/>
      <c r="P1041" s="54"/>
      <c r="Q1041" s="53"/>
      <c r="R1041" s="53"/>
      <c r="S1041" s="53"/>
      <c r="T1041" s="36" t="s">
        <v>163</v>
      </c>
      <c r="U1041" s="27">
        <f>SUM(U1014:U1040)</f>
        <v>37320410</v>
      </c>
      <c r="V1041" s="27"/>
      <c r="W1041" s="49"/>
      <c r="X1041" s="53"/>
    </row>
    <row r="1042" spans="1:24" ht="15" customHeight="1">
      <c r="A1042" s="53"/>
      <c r="B1042" s="53"/>
      <c r="C1042" s="53"/>
      <c r="D1042" s="53"/>
      <c r="E1042" s="53"/>
      <c r="F1042" s="53"/>
      <c r="G1042" s="53"/>
      <c r="H1042" s="53"/>
      <c r="I1042" s="53"/>
      <c r="J1042" s="53"/>
      <c r="K1042" s="53"/>
      <c r="L1042" s="54"/>
      <c r="M1042" s="35"/>
      <c r="N1042" s="54"/>
      <c r="O1042" s="54"/>
      <c r="P1042" s="54"/>
      <c r="Q1042" s="53"/>
      <c r="R1042" s="53"/>
      <c r="S1042" s="53"/>
      <c r="T1042" s="36" t="s">
        <v>544</v>
      </c>
      <c r="U1042" s="101">
        <v>105000000</v>
      </c>
      <c r="V1042" s="102" t="s">
        <v>278</v>
      </c>
      <c r="W1042" s="49"/>
      <c r="X1042" s="53"/>
    </row>
    <row r="1043" spans="1:24" ht="15" customHeight="1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35"/>
      <c r="N1043" s="35"/>
      <c r="O1043" s="35"/>
      <c r="P1043" s="35"/>
      <c r="Q1043" s="23"/>
      <c r="R1043" s="23"/>
      <c r="S1043" s="23"/>
      <c r="T1043" s="36"/>
      <c r="U1043" s="27"/>
      <c r="V1043" s="102"/>
      <c r="W1043" s="55"/>
      <c r="X1043" s="23"/>
    </row>
    <row r="1044" spans="1:24" ht="15" customHeight="1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3"/>
      <c r="N1044" s="22"/>
      <c r="O1044" s="22"/>
      <c r="P1044" s="22"/>
      <c r="Q1044" s="22"/>
      <c r="R1044" s="22"/>
      <c r="S1044" s="22"/>
      <c r="T1044" s="151" t="s">
        <v>165</v>
      </c>
      <c r="U1044" s="27">
        <f>U1041*15/100</f>
        <v>5598061.5</v>
      </c>
      <c r="V1044" s="114"/>
      <c r="W1044" s="22"/>
      <c r="X1044" s="22"/>
    </row>
    <row r="1046" spans="1:24" ht="43.15" customHeight="1">
      <c r="A1046" s="798" t="s">
        <v>3068</v>
      </c>
      <c r="B1046" s="799"/>
      <c r="C1046" s="799"/>
      <c r="D1046" s="799"/>
      <c r="E1046" s="799"/>
      <c r="F1046" s="799"/>
      <c r="G1046" s="799"/>
      <c r="H1046" s="799"/>
      <c r="I1046" s="799"/>
      <c r="J1046" s="799"/>
      <c r="K1046" s="799"/>
      <c r="L1046" s="799"/>
      <c r="M1046" s="799"/>
      <c r="N1046" s="799"/>
      <c r="O1046" s="799"/>
      <c r="P1046" s="799"/>
      <c r="Q1046" s="799"/>
      <c r="R1046" s="799"/>
      <c r="S1046" s="799"/>
      <c r="T1046" s="799"/>
      <c r="U1046" s="799"/>
      <c r="V1046" s="799"/>
      <c r="W1046" s="799"/>
      <c r="X1046" s="799"/>
    </row>
    <row r="1047" spans="1:24" ht="15" customHeight="1">
      <c r="A1047" s="115" t="s">
        <v>1</v>
      </c>
      <c r="B1047" s="116" t="s">
        <v>2</v>
      </c>
      <c r="C1047" s="117" t="s">
        <v>3</v>
      </c>
      <c r="D1047" s="117" t="s">
        <v>4</v>
      </c>
      <c r="E1047" s="117" t="s">
        <v>5</v>
      </c>
      <c r="F1047" s="117" t="s">
        <v>6</v>
      </c>
      <c r="G1047" s="117" t="s">
        <v>7</v>
      </c>
      <c r="H1047" s="117" t="s">
        <v>2738</v>
      </c>
      <c r="I1047" s="117" t="s">
        <v>9</v>
      </c>
      <c r="J1047" s="117" t="s">
        <v>10</v>
      </c>
      <c r="K1047" s="117" t="s">
        <v>11</v>
      </c>
      <c r="L1047" s="117" t="s">
        <v>12</v>
      </c>
      <c r="M1047" s="118" t="s">
        <v>13</v>
      </c>
      <c r="N1047" s="117" t="s">
        <v>14</v>
      </c>
      <c r="O1047" s="117" t="s">
        <v>15</v>
      </c>
      <c r="P1047" s="117" t="s">
        <v>16</v>
      </c>
      <c r="Q1047" s="119" t="s">
        <v>17</v>
      </c>
      <c r="R1047" s="120" t="s">
        <v>18</v>
      </c>
      <c r="S1047" s="120" t="s">
        <v>2739</v>
      </c>
      <c r="T1047" s="120" t="s">
        <v>20</v>
      </c>
      <c r="U1047" s="117" t="s">
        <v>21</v>
      </c>
      <c r="V1047" s="117" t="s">
        <v>22</v>
      </c>
      <c r="W1047" s="117" t="s">
        <v>23</v>
      </c>
      <c r="X1047" s="117" t="s">
        <v>24</v>
      </c>
    </row>
    <row r="1048" spans="1:24" ht="15" customHeight="1">
      <c r="A1048" s="807" t="s">
        <v>25</v>
      </c>
      <c r="B1048" s="808"/>
      <c r="C1048" s="808"/>
      <c r="D1048" s="808"/>
      <c r="E1048" s="808"/>
      <c r="F1048" s="808"/>
      <c r="G1048" s="808"/>
      <c r="H1048" s="808"/>
      <c r="I1048" s="808"/>
      <c r="J1048" s="808"/>
      <c r="K1048" s="808"/>
      <c r="L1048" s="808"/>
      <c r="M1048" s="808"/>
      <c r="N1048" s="808"/>
      <c r="O1048" s="808"/>
      <c r="P1048" s="808"/>
      <c r="Q1048" s="808"/>
      <c r="R1048" s="808"/>
      <c r="S1048" s="808"/>
      <c r="T1048" s="808"/>
      <c r="U1048" s="808"/>
      <c r="V1048" s="808"/>
      <c r="W1048" s="808"/>
      <c r="X1048" s="809"/>
    </row>
    <row r="1049" spans="1:24" s="160" customFormat="1" ht="30.4" customHeight="1">
      <c r="A1049" s="208"/>
      <c r="B1049" s="209" t="s">
        <v>2751</v>
      </c>
      <c r="C1049" s="208" t="s">
        <v>3069</v>
      </c>
      <c r="D1049" s="209" t="s">
        <v>2753</v>
      </c>
      <c r="E1049" s="208" t="s">
        <v>3070</v>
      </c>
      <c r="F1049" s="208" t="s">
        <v>3071</v>
      </c>
      <c r="G1049" s="208" t="s">
        <v>3072</v>
      </c>
      <c r="H1049" s="208" t="s">
        <v>3073</v>
      </c>
      <c r="I1049" s="210" t="s">
        <v>3074</v>
      </c>
      <c r="J1049" s="208" t="s">
        <v>3075</v>
      </c>
      <c r="K1049" s="208" t="s">
        <v>1765</v>
      </c>
      <c r="L1049" s="211">
        <v>45325</v>
      </c>
      <c r="M1049" s="211">
        <v>45325</v>
      </c>
      <c r="N1049" s="211">
        <v>45327</v>
      </c>
      <c r="O1049" s="211">
        <v>45327</v>
      </c>
      <c r="P1049" s="211">
        <v>45327</v>
      </c>
      <c r="Q1049" s="208" t="s">
        <v>239</v>
      </c>
      <c r="R1049" s="211">
        <v>45327</v>
      </c>
      <c r="S1049" s="208" t="s">
        <v>3076</v>
      </c>
      <c r="T1049" s="211"/>
      <c r="U1049" s="208">
        <v>4309500</v>
      </c>
      <c r="V1049" s="208">
        <v>100000</v>
      </c>
      <c r="W1049" s="208" t="s">
        <v>2158</v>
      </c>
      <c r="X1049" s="211"/>
    </row>
    <row r="1050" spans="1:24" ht="15" customHeight="1">
      <c r="A1050" s="822"/>
      <c r="B1050" s="825" t="s">
        <v>2751</v>
      </c>
      <c r="C1050" s="822" t="s">
        <v>3077</v>
      </c>
      <c r="D1050" s="825" t="s">
        <v>2753</v>
      </c>
      <c r="E1050" s="832" t="s">
        <v>3078</v>
      </c>
      <c r="F1050" s="204" t="s">
        <v>3079</v>
      </c>
      <c r="G1050" s="831" t="s">
        <v>49</v>
      </c>
      <c r="H1050" s="822" t="s">
        <v>3080</v>
      </c>
      <c r="I1050" s="883" t="s">
        <v>3081</v>
      </c>
      <c r="J1050" s="822" t="s">
        <v>3082</v>
      </c>
      <c r="K1050" s="822" t="s">
        <v>159</v>
      </c>
      <c r="L1050" s="829" t="s">
        <v>40</v>
      </c>
      <c r="M1050" s="829">
        <v>45325</v>
      </c>
      <c r="N1050" s="829">
        <v>45328</v>
      </c>
      <c r="O1050" s="830"/>
      <c r="P1050" s="830"/>
      <c r="Q1050" s="822" t="s">
        <v>3001</v>
      </c>
      <c r="R1050" s="829">
        <v>45328</v>
      </c>
      <c r="S1050" s="822" t="s">
        <v>3083</v>
      </c>
      <c r="T1050" s="829"/>
      <c r="U1050" s="822">
        <v>3430702</v>
      </c>
      <c r="V1050" s="822">
        <v>200000</v>
      </c>
      <c r="W1050" s="822" t="s">
        <v>2158</v>
      </c>
      <c r="X1050" s="829"/>
    </row>
    <row r="1051" spans="1:24" ht="15" customHeight="1">
      <c r="A1051" s="822"/>
      <c r="B1051" s="825"/>
      <c r="C1051" s="822"/>
      <c r="D1051" s="825"/>
      <c r="E1051" s="832"/>
      <c r="F1051" s="204" t="s">
        <v>3084</v>
      </c>
      <c r="G1051" s="831"/>
      <c r="H1051" s="822"/>
      <c r="I1051" s="822"/>
      <c r="J1051" s="822"/>
      <c r="K1051" s="822"/>
      <c r="L1051" s="829"/>
      <c r="M1051" s="829"/>
      <c r="N1051" s="829"/>
      <c r="O1051" s="830"/>
      <c r="P1051" s="830"/>
      <c r="Q1051" s="822"/>
      <c r="R1051" s="829"/>
      <c r="S1051" s="822"/>
      <c r="T1051" s="829"/>
      <c r="U1051" s="822"/>
      <c r="V1051" s="822"/>
      <c r="W1051" s="822"/>
      <c r="X1051" s="829"/>
    </row>
    <row r="1052" spans="1:24" ht="15" customHeight="1">
      <c r="A1052" s="822"/>
      <c r="B1052" s="825"/>
      <c r="C1052" s="822"/>
      <c r="D1052" s="825"/>
      <c r="E1052" s="832"/>
      <c r="F1052" s="204" t="s">
        <v>3085</v>
      </c>
      <c r="G1052" s="831"/>
      <c r="H1052" s="822"/>
      <c r="I1052" s="822"/>
      <c r="J1052" s="822"/>
      <c r="K1052" s="822"/>
      <c r="L1052" s="829"/>
      <c r="M1052" s="829"/>
      <c r="N1052" s="829"/>
      <c r="O1052" s="830"/>
      <c r="P1052" s="830"/>
      <c r="Q1052" s="822"/>
      <c r="R1052" s="829"/>
      <c r="S1052" s="822"/>
      <c r="T1052" s="829"/>
      <c r="U1052" s="822"/>
      <c r="V1052" s="822"/>
      <c r="W1052" s="822"/>
      <c r="X1052" s="829"/>
    </row>
    <row r="1053" spans="1:24" ht="15" customHeight="1">
      <c r="A1053" s="822"/>
      <c r="B1053" s="825" t="s">
        <v>2751</v>
      </c>
      <c r="C1053" s="822" t="s">
        <v>3086</v>
      </c>
      <c r="D1053" s="825" t="s">
        <v>2753</v>
      </c>
      <c r="E1053" s="822" t="s">
        <v>3078</v>
      </c>
      <c r="F1053" s="204" t="s">
        <v>3087</v>
      </c>
      <c r="G1053" s="825" t="s">
        <v>63</v>
      </c>
      <c r="H1053" s="822" t="s">
        <v>3088</v>
      </c>
      <c r="I1053" s="820"/>
      <c r="J1053" s="822" t="s">
        <v>3089</v>
      </c>
      <c r="K1053" s="822" t="s">
        <v>3090</v>
      </c>
      <c r="L1053" s="822" t="s">
        <v>40</v>
      </c>
      <c r="M1053" s="829">
        <v>45357</v>
      </c>
      <c r="N1053" s="830"/>
      <c r="O1053" s="830"/>
      <c r="P1053" s="830"/>
      <c r="Q1053" s="822" t="s">
        <v>2760</v>
      </c>
      <c r="R1053" s="829"/>
      <c r="S1053" s="822"/>
      <c r="T1053" s="829"/>
      <c r="U1053" s="822">
        <v>1636000</v>
      </c>
      <c r="V1053" s="822">
        <v>150000</v>
      </c>
      <c r="W1053" s="822" t="s">
        <v>2158</v>
      </c>
      <c r="X1053" s="829"/>
    </row>
    <row r="1054" spans="1:24" ht="15" customHeight="1">
      <c r="A1054" s="822"/>
      <c r="B1054" s="825"/>
      <c r="C1054" s="822"/>
      <c r="D1054" s="825"/>
      <c r="E1054" s="924"/>
      <c r="F1054" s="229" t="s">
        <v>3091</v>
      </c>
      <c r="G1054" s="884"/>
      <c r="H1054" s="924"/>
      <c r="I1054" s="820"/>
      <c r="J1054" s="822"/>
      <c r="K1054" s="822"/>
      <c r="L1054" s="822"/>
      <c r="M1054" s="829"/>
      <c r="N1054" s="830"/>
      <c r="O1054" s="830"/>
      <c r="P1054" s="830"/>
      <c r="Q1054" s="822"/>
      <c r="R1054" s="829"/>
      <c r="S1054" s="822"/>
      <c r="T1054" s="829"/>
      <c r="U1054" s="822"/>
      <c r="V1054" s="822"/>
      <c r="W1054" s="822"/>
      <c r="X1054" s="829"/>
    </row>
    <row r="1055" spans="1:24" ht="15" customHeight="1">
      <c r="A1055" s="204"/>
      <c r="B1055" s="205" t="s">
        <v>2751</v>
      </c>
      <c r="C1055" s="204" t="s">
        <v>3092</v>
      </c>
      <c r="D1055" s="205" t="s">
        <v>2753</v>
      </c>
      <c r="E1055" s="204" t="s">
        <v>3078</v>
      </c>
      <c r="F1055" s="204" t="s">
        <v>3093</v>
      </c>
      <c r="G1055" s="205" t="s">
        <v>2280</v>
      </c>
      <c r="H1055" s="204" t="s">
        <v>3094</v>
      </c>
      <c r="I1055" s="206" t="s">
        <v>3095</v>
      </c>
      <c r="J1055" s="204" t="s">
        <v>3082</v>
      </c>
      <c r="K1055" s="204" t="s">
        <v>159</v>
      </c>
      <c r="L1055" s="204" t="s">
        <v>40</v>
      </c>
      <c r="M1055" s="207">
        <v>45337</v>
      </c>
      <c r="N1055" s="207">
        <v>45338</v>
      </c>
      <c r="O1055" s="830"/>
      <c r="P1055" s="830"/>
      <c r="Q1055" s="204" t="s">
        <v>3001</v>
      </c>
      <c r="R1055" s="207">
        <v>45338</v>
      </c>
      <c r="S1055" s="204" t="s">
        <v>3096</v>
      </c>
      <c r="T1055" s="207"/>
      <c r="U1055" s="204">
        <v>996588</v>
      </c>
      <c r="V1055" s="204">
        <v>100000</v>
      </c>
      <c r="W1055" s="204" t="s">
        <v>2158</v>
      </c>
      <c r="X1055" s="207"/>
    </row>
    <row r="1056" spans="1:24" ht="15" customHeight="1">
      <c r="A1056" s="822"/>
      <c r="B1056" s="825" t="s">
        <v>2751</v>
      </c>
      <c r="C1056" s="822" t="s">
        <v>3097</v>
      </c>
      <c r="D1056" s="825" t="s">
        <v>2753</v>
      </c>
      <c r="E1056" s="832" t="s">
        <v>3078</v>
      </c>
      <c r="F1056" s="204" t="s">
        <v>3098</v>
      </c>
      <c r="G1056" s="831" t="s">
        <v>63</v>
      </c>
      <c r="H1056" s="822" t="s">
        <v>3099</v>
      </c>
      <c r="I1056" s="883" t="s">
        <v>3100</v>
      </c>
      <c r="J1056" s="822" t="s">
        <v>3082</v>
      </c>
      <c r="K1056" s="822" t="s">
        <v>159</v>
      </c>
      <c r="L1056" s="822" t="s">
        <v>40</v>
      </c>
      <c r="M1056" s="829">
        <v>45332</v>
      </c>
      <c r="N1056" s="829">
        <v>45335</v>
      </c>
      <c r="O1056" s="830"/>
      <c r="P1056" s="830"/>
      <c r="Q1056" s="822" t="s">
        <v>3101</v>
      </c>
      <c r="R1056" s="829">
        <v>45335</v>
      </c>
      <c r="S1056" s="822" t="s">
        <v>3102</v>
      </c>
      <c r="T1056" s="829"/>
      <c r="U1056" s="822">
        <v>1634016</v>
      </c>
      <c r="V1056" s="822">
        <v>150000</v>
      </c>
      <c r="W1056" s="822" t="s">
        <v>2158</v>
      </c>
      <c r="X1056" s="829"/>
    </row>
    <row r="1057" spans="1:24" ht="15" customHeight="1">
      <c r="A1057" s="822"/>
      <c r="B1057" s="825"/>
      <c r="C1057" s="822"/>
      <c r="D1057" s="825"/>
      <c r="E1057" s="832"/>
      <c r="F1057" s="204" t="s">
        <v>3103</v>
      </c>
      <c r="G1057" s="831"/>
      <c r="H1057" s="822"/>
      <c r="I1057" s="822"/>
      <c r="J1057" s="822"/>
      <c r="K1057" s="822"/>
      <c r="L1057" s="822"/>
      <c r="M1057" s="829"/>
      <c r="N1057" s="829"/>
      <c r="O1057" s="830"/>
      <c r="P1057" s="830"/>
      <c r="Q1057" s="822"/>
      <c r="R1057" s="829"/>
      <c r="S1057" s="822"/>
      <c r="T1057" s="829"/>
      <c r="U1057" s="822"/>
      <c r="V1057" s="822"/>
      <c r="W1057" s="822"/>
      <c r="X1057" s="829"/>
    </row>
    <row r="1058" spans="1:24" ht="15" customHeight="1">
      <c r="A1058" s="822"/>
      <c r="B1058" s="825" t="s">
        <v>2751</v>
      </c>
      <c r="C1058" s="822" t="s">
        <v>3104</v>
      </c>
      <c r="D1058" s="825" t="s">
        <v>2753</v>
      </c>
      <c r="E1058" s="832" t="s">
        <v>3078</v>
      </c>
      <c r="F1058" s="204" t="s">
        <v>3105</v>
      </c>
      <c r="G1058" s="831" t="s">
        <v>560</v>
      </c>
      <c r="H1058" s="822" t="s">
        <v>3106</v>
      </c>
      <c r="I1058" s="883" t="s">
        <v>83</v>
      </c>
      <c r="J1058" s="822" t="s">
        <v>3082</v>
      </c>
      <c r="K1058" s="822" t="s">
        <v>159</v>
      </c>
      <c r="L1058" s="829" t="s">
        <v>40</v>
      </c>
      <c r="M1058" s="829">
        <v>45332</v>
      </c>
      <c r="N1058" s="829">
        <v>45336</v>
      </c>
      <c r="O1058" s="830"/>
      <c r="P1058" s="830"/>
      <c r="Q1058" s="822" t="s">
        <v>3001</v>
      </c>
      <c r="R1058" s="829">
        <v>45335</v>
      </c>
      <c r="S1058" s="822" t="s">
        <v>3107</v>
      </c>
      <c r="T1058" s="829"/>
      <c r="U1058" s="822">
        <v>3685584</v>
      </c>
      <c r="V1058" s="822">
        <v>250000</v>
      </c>
      <c r="W1058" s="822" t="s">
        <v>2158</v>
      </c>
      <c r="X1058" s="829"/>
    </row>
    <row r="1059" spans="1:24" ht="15" customHeight="1">
      <c r="A1059" s="822"/>
      <c r="B1059" s="825"/>
      <c r="C1059" s="822"/>
      <c r="D1059" s="825"/>
      <c r="E1059" s="832"/>
      <c r="F1059" s="204" t="s">
        <v>3108</v>
      </c>
      <c r="G1059" s="831"/>
      <c r="H1059" s="822"/>
      <c r="I1059" s="822"/>
      <c r="J1059" s="822"/>
      <c r="K1059" s="822"/>
      <c r="L1059" s="829"/>
      <c r="M1059" s="829"/>
      <c r="N1059" s="829"/>
      <c r="O1059" s="830"/>
      <c r="P1059" s="830"/>
      <c r="Q1059" s="822"/>
      <c r="R1059" s="829"/>
      <c r="S1059" s="822"/>
      <c r="T1059" s="829"/>
      <c r="U1059" s="822"/>
      <c r="V1059" s="822"/>
      <c r="W1059" s="822"/>
      <c r="X1059" s="829"/>
    </row>
    <row r="1060" spans="1:24" ht="15" customHeight="1">
      <c r="A1060" s="822"/>
      <c r="B1060" s="825"/>
      <c r="C1060" s="822"/>
      <c r="D1060" s="825"/>
      <c r="E1060" s="832"/>
      <c r="F1060" s="204" t="s">
        <v>3109</v>
      </c>
      <c r="G1060" s="831"/>
      <c r="H1060" s="822"/>
      <c r="I1060" s="822"/>
      <c r="J1060" s="822"/>
      <c r="K1060" s="822"/>
      <c r="L1060" s="829"/>
      <c r="M1060" s="829"/>
      <c r="N1060" s="829"/>
      <c r="O1060" s="830"/>
      <c r="P1060" s="830"/>
      <c r="Q1060" s="822"/>
      <c r="R1060" s="829"/>
      <c r="S1060" s="822"/>
      <c r="T1060" s="829"/>
      <c r="U1060" s="822"/>
      <c r="V1060" s="822"/>
      <c r="W1060" s="822"/>
      <c r="X1060" s="829"/>
    </row>
    <row r="1061" spans="1:24" ht="15" customHeight="1">
      <c r="A1061" s="822"/>
      <c r="B1061" s="825"/>
      <c r="C1061" s="822"/>
      <c r="D1061" s="825"/>
      <c r="E1061" s="832"/>
      <c r="F1061" s="204" t="s">
        <v>3110</v>
      </c>
      <c r="G1061" s="831"/>
      <c r="H1061" s="822"/>
      <c r="I1061" s="822"/>
      <c r="J1061" s="822"/>
      <c r="K1061" s="822"/>
      <c r="L1061" s="829"/>
      <c r="M1061" s="829"/>
      <c r="N1061" s="829"/>
      <c r="O1061" s="830"/>
      <c r="P1061" s="830"/>
      <c r="Q1061" s="822"/>
      <c r="R1061" s="829"/>
      <c r="S1061" s="822"/>
      <c r="T1061" s="829"/>
      <c r="U1061" s="822"/>
      <c r="V1061" s="822"/>
      <c r="W1061" s="822"/>
      <c r="X1061" s="829"/>
    </row>
    <row r="1062" spans="1:24" ht="15" customHeight="1">
      <c r="A1062" s="204"/>
      <c r="B1062" s="205" t="s">
        <v>3111</v>
      </c>
      <c r="C1062" s="204" t="s">
        <v>3112</v>
      </c>
      <c r="D1062" s="205" t="s">
        <v>2797</v>
      </c>
      <c r="E1062" s="204" t="s">
        <v>3113</v>
      </c>
      <c r="F1062" s="204" t="s">
        <v>3114</v>
      </c>
      <c r="G1062" s="205" t="s">
        <v>2110</v>
      </c>
      <c r="H1062" s="204" t="s">
        <v>3115</v>
      </c>
      <c r="I1062" s="204" t="s">
        <v>40</v>
      </c>
      <c r="J1062" s="204" t="s">
        <v>3116</v>
      </c>
      <c r="K1062" s="204" t="s">
        <v>40</v>
      </c>
      <c r="L1062" s="207" t="s">
        <v>40</v>
      </c>
      <c r="M1062" s="207" t="s">
        <v>40</v>
      </c>
      <c r="N1062" s="207" t="s">
        <v>40</v>
      </c>
      <c r="O1062" s="207">
        <v>45338</v>
      </c>
      <c r="P1062" s="207">
        <v>45339</v>
      </c>
      <c r="Q1062" s="204" t="s">
        <v>3117</v>
      </c>
      <c r="R1062" s="207">
        <v>45338</v>
      </c>
      <c r="S1062" s="204" t="s">
        <v>3118</v>
      </c>
      <c r="T1062" s="207">
        <v>45339</v>
      </c>
      <c r="U1062" s="204">
        <v>1040000</v>
      </c>
      <c r="V1062" s="204" t="s">
        <v>40</v>
      </c>
      <c r="W1062" s="204" t="s">
        <v>40</v>
      </c>
      <c r="X1062" s="207" t="s">
        <v>40</v>
      </c>
    </row>
    <row r="1063" spans="1:24" ht="15" customHeight="1">
      <c r="A1063" s="229"/>
      <c r="B1063" s="230" t="s">
        <v>3119</v>
      </c>
      <c r="C1063" s="229" t="s">
        <v>3120</v>
      </c>
      <c r="D1063" s="230" t="s">
        <v>3121</v>
      </c>
      <c r="E1063" s="229" t="s">
        <v>3122</v>
      </c>
      <c r="F1063" s="229" t="s">
        <v>3123</v>
      </c>
      <c r="G1063" s="230" t="s">
        <v>3124</v>
      </c>
      <c r="H1063" s="229" t="s">
        <v>3125</v>
      </c>
      <c r="I1063" s="229" t="s">
        <v>40</v>
      </c>
      <c r="J1063" s="229" t="s">
        <v>3126</v>
      </c>
      <c r="K1063" s="229" t="s">
        <v>201</v>
      </c>
      <c r="L1063" s="231" t="s">
        <v>40</v>
      </c>
      <c r="M1063" s="231">
        <v>45344</v>
      </c>
      <c r="N1063" s="231" t="s">
        <v>40</v>
      </c>
      <c r="O1063" s="231">
        <v>45344</v>
      </c>
      <c r="P1063" s="231">
        <v>45344</v>
      </c>
      <c r="Q1063" s="229" t="s">
        <v>3127</v>
      </c>
      <c r="R1063" s="231">
        <v>45344</v>
      </c>
      <c r="S1063" s="229" t="s">
        <v>3128</v>
      </c>
      <c r="T1063" s="231">
        <v>45345</v>
      </c>
      <c r="U1063" s="229">
        <v>600000</v>
      </c>
      <c r="V1063" s="229" t="s">
        <v>40</v>
      </c>
      <c r="W1063" s="229" t="s">
        <v>40</v>
      </c>
      <c r="X1063" s="231" t="s">
        <v>40</v>
      </c>
    </row>
    <row r="1064" spans="1:24" ht="15" customHeight="1">
      <c r="A1064" s="822"/>
      <c r="B1064" s="826" t="s">
        <v>3119</v>
      </c>
      <c r="C1064" s="822" t="s">
        <v>3129</v>
      </c>
      <c r="D1064" s="825" t="s">
        <v>3121</v>
      </c>
      <c r="E1064" s="822" t="s">
        <v>3122</v>
      </c>
      <c r="F1064" s="204" t="s">
        <v>3130</v>
      </c>
      <c r="G1064" s="825" t="s">
        <v>3131</v>
      </c>
      <c r="H1064" s="822" t="s">
        <v>3132</v>
      </c>
      <c r="I1064" s="822" t="s">
        <v>40</v>
      </c>
      <c r="J1064" s="822" t="s">
        <v>3126</v>
      </c>
      <c r="K1064" s="822" t="s">
        <v>201</v>
      </c>
      <c r="L1064" s="829" t="s">
        <v>40</v>
      </c>
      <c r="M1064" s="829">
        <v>45344</v>
      </c>
      <c r="N1064" s="829" t="s">
        <v>40</v>
      </c>
      <c r="O1064" s="829">
        <v>45344</v>
      </c>
      <c r="P1064" s="829">
        <v>45344</v>
      </c>
      <c r="Q1064" s="822" t="s">
        <v>3127</v>
      </c>
      <c r="R1064" s="829">
        <v>45344</v>
      </c>
      <c r="S1064" s="822" t="s">
        <v>3133</v>
      </c>
      <c r="T1064" s="829">
        <v>45345</v>
      </c>
      <c r="U1064" s="822">
        <v>1201600</v>
      </c>
      <c r="V1064" s="822" t="s">
        <v>40</v>
      </c>
      <c r="W1064" s="822" t="s">
        <v>40</v>
      </c>
      <c r="X1064" s="822" t="s">
        <v>40</v>
      </c>
    </row>
    <row r="1065" spans="1:24" ht="15" customHeight="1">
      <c r="A1065" s="822"/>
      <c r="B1065" s="826"/>
      <c r="C1065" s="822"/>
      <c r="D1065" s="825"/>
      <c r="E1065" s="822"/>
      <c r="F1065" s="204" t="s">
        <v>3134</v>
      </c>
      <c r="G1065" s="825"/>
      <c r="H1065" s="822"/>
      <c r="I1065" s="822"/>
      <c r="J1065" s="822"/>
      <c r="K1065" s="822"/>
      <c r="L1065" s="829"/>
      <c r="M1065" s="829"/>
      <c r="N1065" s="829"/>
      <c r="O1065" s="829"/>
      <c r="P1065" s="829"/>
      <c r="Q1065" s="822"/>
      <c r="R1065" s="829"/>
      <c r="S1065" s="822"/>
      <c r="T1065" s="829"/>
      <c r="U1065" s="822"/>
      <c r="V1065" s="822"/>
      <c r="W1065" s="822"/>
      <c r="X1065" s="822"/>
    </row>
    <row r="1066" spans="1:24" ht="15" customHeight="1">
      <c r="A1066" s="822"/>
      <c r="B1066" s="825" t="s">
        <v>2751</v>
      </c>
      <c r="C1066" s="822" t="s">
        <v>3135</v>
      </c>
      <c r="D1066" s="825" t="s">
        <v>2753</v>
      </c>
      <c r="E1066" s="832" t="s">
        <v>3078</v>
      </c>
      <c r="F1066" s="204" t="s">
        <v>3136</v>
      </c>
      <c r="G1066" s="831" t="s">
        <v>63</v>
      </c>
      <c r="H1066" s="822" t="s">
        <v>3137</v>
      </c>
      <c r="I1066" s="883" t="s">
        <v>424</v>
      </c>
      <c r="J1066" s="822" t="s">
        <v>3082</v>
      </c>
      <c r="K1066" s="822" t="s">
        <v>159</v>
      </c>
      <c r="L1066" s="829" t="s">
        <v>40</v>
      </c>
      <c r="M1066" s="829">
        <v>45351</v>
      </c>
      <c r="N1066" s="830"/>
      <c r="O1066" s="207"/>
      <c r="P1066" s="207"/>
      <c r="Q1066" s="822" t="s">
        <v>3001</v>
      </c>
      <c r="R1066" s="829"/>
      <c r="S1066" s="822"/>
      <c r="T1066" s="829"/>
      <c r="U1066" s="822">
        <v>1686000</v>
      </c>
      <c r="V1066" s="822">
        <v>150000</v>
      </c>
      <c r="W1066" s="822" t="s">
        <v>2158</v>
      </c>
      <c r="X1066" s="829"/>
    </row>
    <row r="1067" spans="1:24" ht="15" customHeight="1">
      <c r="A1067" s="822"/>
      <c r="B1067" s="825"/>
      <c r="C1067" s="822"/>
      <c r="D1067" s="825"/>
      <c r="E1067" s="832"/>
      <c r="F1067" s="204" t="s">
        <v>3138</v>
      </c>
      <c r="G1067" s="831"/>
      <c r="H1067" s="822"/>
      <c r="I1067" s="822"/>
      <c r="J1067" s="822"/>
      <c r="K1067" s="822"/>
      <c r="L1067" s="829"/>
      <c r="M1067" s="829"/>
      <c r="N1067" s="830"/>
      <c r="O1067" s="207"/>
      <c r="P1067" s="207"/>
      <c r="Q1067" s="822"/>
      <c r="R1067" s="829"/>
      <c r="S1067" s="822"/>
      <c r="T1067" s="829"/>
      <c r="U1067" s="822"/>
      <c r="V1067" s="822"/>
      <c r="W1067" s="822"/>
      <c r="X1067" s="829"/>
    </row>
    <row r="1068" spans="1:24" ht="15" customHeight="1">
      <c r="A1068" s="822"/>
      <c r="B1068" s="825" t="s">
        <v>2751</v>
      </c>
      <c r="C1068" s="822" t="s">
        <v>3139</v>
      </c>
      <c r="D1068" s="825" t="s">
        <v>2753</v>
      </c>
      <c r="E1068" s="832" t="s">
        <v>3078</v>
      </c>
      <c r="F1068" s="204" t="s">
        <v>3140</v>
      </c>
      <c r="G1068" s="831" t="s">
        <v>49</v>
      </c>
      <c r="H1068" s="822" t="s">
        <v>3141</v>
      </c>
      <c r="I1068" s="883" t="s">
        <v>364</v>
      </c>
      <c r="J1068" s="822" t="s">
        <v>3082</v>
      </c>
      <c r="K1068" s="822" t="s">
        <v>159</v>
      </c>
      <c r="L1068" s="829" t="s">
        <v>40</v>
      </c>
      <c r="M1068" s="829">
        <v>45351</v>
      </c>
      <c r="N1068" s="830"/>
      <c r="O1068" s="207"/>
      <c r="P1068" s="207"/>
      <c r="Q1068" s="822" t="s">
        <v>3001</v>
      </c>
      <c r="R1068" s="829"/>
      <c r="S1068" s="822"/>
      <c r="T1068" s="829"/>
      <c r="U1068" s="822">
        <v>2386000</v>
      </c>
      <c r="V1068" s="822">
        <v>200000</v>
      </c>
      <c r="W1068" s="822" t="s">
        <v>2158</v>
      </c>
      <c r="X1068" s="829"/>
    </row>
    <row r="1069" spans="1:24" ht="15" customHeight="1">
      <c r="A1069" s="822"/>
      <c r="B1069" s="825"/>
      <c r="C1069" s="822"/>
      <c r="D1069" s="825"/>
      <c r="E1069" s="832"/>
      <c r="F1069" s="204" t="s">
        <v>3142</v>
      </c>
      <c r="G1069" s="831"/>
      <c r="H1069" s="822"/>
      <c r="I1069" s="822"/>
      <c r="J1069" s="822"/>
      <c r="K1069" s="822"/>
      <c r="L1069" s="829"/>
      <c r="M1069" s="829"/>
      <c r="N1069" s="830"/>
      <c r="O1069" s="207"/>
      <c r="P1069" s="207"/>
      <c r="Q1069" s="822"/>
      <c r="R1069" s="829"/>
      <c r="S1069" s="822"/>
      <c r="T1069" s="829"/>
      <c r="U1069" s="822"/>
      <c r="V1069" s="822"/>
      <c r="W1069" s="822"/>
      <c r="X1069" s="829"/>
    </row>
    <row r="1070" spans="1:24" ht="15" customHeight="1">
      <c r="A1070" s="822"/>
      <c r="B1070" s="825"/>
      <c r="C1070" s="822"/>
      <c r="D1070" s="825"/>
      <c r="E1070" s="832"/>
      <c r="F1070" s="204" t="s">
        <v>3143</v>
      </c>
      <c r="G1070" s="831"/>
      <c r="H1070" s="822"/>
      <c r="I1070" s="822"/>
      <c r="J1070" s="822"/>
      <c r="K1070" s="822"/>
      <c r="L1070" s="829"/>
      <c r="M1070" s="829"/>
      <c r="N1070" s="830"/>
      <c r="O1070" s="207"/>
      <c r="P1070" s="207"/>
      <c r="Q1070" s="822"/>
      <c r="R1070" s="829"/>
      <c r="S1070" s="822"/>
      <c r="T1070" s="829"/>
      <c r="U1070" s="822"/>
      <c r="V1070" s="822"/>
      <c r="W1070" s="822"/>
      <c r="X1070" s="829"/>
    </row>
    <row r="1071" spans="1:24" ht="15" customHeight="1">
      <c r="A1071" s="828" t="s">
        <v>128</v>
      </c>
      <c r="B1071" s="828"/>
      <c r="C1071" s="215"/>
      <c r="D1071" s="215"/>
      <c r="E1071" s="215"/>
      <c r="F1071" s="215"/>
      <c r="G1071" s="215"/>
      <c r="H1071" s="215"/>
      <c r="I1071" s="215"/>
      <c r="J1071" s="215"/>
      <c r="K1071" s="215"/>
      <c r="L1071" s="216"/>
      <c r="M1071" s="216"/>
      <c r="N1071" s="216"/>
      <c r="O1071" s="216"/>
      <c r="P1071" s="216"/>
      <c r="Q1071" s="215"/>
      <c r="R1071" s="215"/>
      <c r="S1071" s="215"/>
      <c r="T1071" s="215"/>
      <c r="U1071" s="215"/>
      <c r="V1071" s="215"/>
      <c r="W1071" s="215"/>
      <c r="X1071" s="223"/>
    </row>
    <row r="1072" spans="1:24" ht="15" customHeight="1">
      <c r="A1072" s="214"/>
      <c r="B1072" s="232" t="s">
        <v>3144</v>
      </c>
      <c r="C1072" s="232" t="s">
        <v>3145</v>
      </c>
      <c r="D1072" s="232" t="s">
        <v>3146</v>
      </c>
      <c r="E1072" s="232" t="s">
        <v>2693</v>
      </c>
      <c r="F1072" s="232" t="s">
        <v>3147</v>
      </c>
      <c r="G1072" s="214" t="s">
        <v>270</v>
      </c>
      <c r="H1072" s="232" t="s">
        <v>3148</v>
      </c>
      <c r="I1072" s="214" t="s">
        <v>40</v>
      </c>
      <c r="J1072" s="214" t="s">
        <v>3149</v>
      </c>
      <c r="K1072" s="214" t="s">
        <v>3150</v>
      </c>
      <c r="L1072" s="233">
        <v>45333</v>
      </c>
      <c r="M1072" s="214" t="s">
        <v>40</v>
      </c>
      <c r="N1072" s="821" t="s">
        <v>3151</v>
      </c>
      <c r="O1072" s="821"/>
      <c r="P1072" s="821"/>
      <c r="Q1072" s="214" t="s">
        <v>3152</v>
      </c>
      <c r="R1072" s="233">
        <v>45328</v>
      </c>
      <c r="S1072" s="214" t="s">
        <v>3153</v>
      </c>
      <c r="T1072" s="233"/>
      <c r="U1072" s="214">
        <v>150000</v>
      </c>
      <c r="V1072" s="214" t="s">
        <v>40</v>
      </c>
      <c r="W1072" s="214" t="s">
        <v>40</v>
      </c>
      <c r="X1072" s="233" t="s">
        <v>40</v>
      </c>
    </row>
    <row r="1073" spans="1:24" ht="19.399999999999999" customHeight="1">
      <c r="A1073" s="820"/>
      <c r="B1073" s="823" t="s">
        <v>3144</v>
      </c>
      <c r="C1073" s="823" t="s">
        <v>3154</v>
      </c>
      <c r="D1073" s="823" t="s">
        <v>3146</v>
      </c>
      <c r="E1073" s="823" t="s">
        <v>1508</v>
      </c>
      <c r="F1073" s="225" t="s">
        <v>3155</v>
      </c>
      <c r="G1073" s="820" t="s">
        <v>1521</v>
      </c>
      <c r="H1073" s="823" t="s">
        <v>3156</v>
      </c>
      <c r="I1073" s="820" t="s">
        <v>40</v>
      </c>
      <c r="J1073" s="820" t="s">
        <v>3149</v>
      </c>
      <c r="K1073" s="820" t="s">
        <v>3150</v>
      </c>
      <c r="L1073" s="830">
        <v>45333</v>
      </c>
      <c r="M1073" s="820" t="s">
        <v>40</v>
      </c>
      <c r="N1073" s="820" t="s">
        <v>3151</v>
      </c>
      <c r="O1073" s="820"/>
      <c r="P1073" s="820"/>
      <c r="Q1073" s="820" t="s">
        <v>3152</v>
      </c>
      <c r="R1073" s="830">
        <v>45328</v>
      </c>
      <c r="S1073" s="820" t="s">
        <v>3157</v>
      </c>
      <c r="T1073" s="830"/>
      <c r="U1073" s="820">
        <v>450000</v>
      </c>
      <c r="V1073" s="820" t="s">
        <v>40</v>
      </c>
      <c r="W1073" s="820" t="s">
        <v>40</v>
      </c>
      <c r="X1073" s="830" t="s">
        <v>40</v>
      </c>
    </row>
    <row r="1074" spans="1:24" ht="19.399999999999999" customHeight="1">
      <c r="A1074" s="820"/>
      <c r="B1074" s="823"/>
      <c r="C1074" s="823"/>
      <c r="D1074" s="823"/>
      <c r="E1074" s="823"/>
      <c r="F1074" s="225" t="s">
        <v>3158</v>
      </c>
      <c r="G1074" s="820"/>
      <c r="H1074" s="823"/>
      <c r="I1074" s="820"/>
      <c r="J1074" s="820"/>
      <c r="K1074" s="820"/>
      <c r="L1074" s="830"/>
      <c r="M1074" s="820"/>
      <c r="N1074" s="820"/>
      <c r="O1074" s="820"/>
      <c r="P1074" s="820"/>
      <c r="Q1074" s="820"/>
      <c r="R1074" s="830"/>
      <c r="S1074" s="820"/>
      <c r="T1074" s="830"/>
      <c r="U1074" s="820"/>
      <c r="V1074" s="820"/>
      <c r="W1074" s="820"/>
      <c r="X1074" s="830"/>
    </row>
    <row r="1075" spans="1:24" ht="19.399999999999999" customHeight="1">
      <c r="A1075" s="821"/>
      <c r="B1075" s="824"/>
      <c r="C1075" s="824"/>
      <c r="D1075" s="824"/>
      <c r="E1075" s="824"/>
      <c r="F1075" s="232" t="s">
        <v>3159</v>
      </c>
      <c r="G1075" s="821"/>
      <c r="H1075" s="824"/>
      <c r="I1075" s="821"/>
      <c r="J1075" s="821"/>
      <c r="K1075" s="821"/>
      <c r="L1075" s="875"/>
      <c r="M1075" s="821"/>
      <c r="N1075" s="821"/>
      <c r="O1075" s="821"/>
      <c r="P1075" s="821"/>
      <c r="Q1075" s="821"/>
      <c r="R1075" s="875"/>
      <c r="S1075" s="821"/>
      <c r="T1075" s="875"/>
      <c r="U1075" s="821"/>
      <c r="V1075" s="821"/>
      <c r="W1075" s="821"/>
      <c r="X1075" s="875"/>
    </row>
    <row r="1076" spans="1:24" s="160" customFormat="1" ht="21.65" customHeight="1">
      <c r="A1076" s="155"/>
      <c r="B1076" s="234" t="s">
        <v>2803</v>
      </c>
      <c r="C1076" s="234" t="s">
        <v>3160</v>
      </c>
      <c r="D1076" s="234" t="s">
        <v>2805</v>
      </c>
      <c r="E1076" s="234" t="s">
        <v>1572</v>
      </c>
      <c r="F1076" s="234" t="s">
        <v>3161</v>
      </c>
      <c r="G1076" s="155" t="s">
        <v>270</v>
      </c>
      <c r="H1076" s="234" t="s">
        <v>3162</v>
      </c>
      <c r="I1076" s="155" t="s">
        <v>40</v>
      </c>
      <c r="J1076" s="155" t="s">
        <v>3163</v>
      </c>
      <c r="K1076" s="155" t="s">
        <v>3164</v>
      </c>
      <c r="L1076" s="156">
        <v>45352</v>
      </c>
      <c r="M1076" s="156" t="s">
        <v>40</v>
      </c>
      <c r="N1076" s="838" t="s">
        <v>3165</v>
      </c>
      <c r="O1076" s="838"/>
      <c r="P1076" s="838"/>
      <c r="Q1076" s="155" t="s">
        <v>3045</v>
      </c>
      <c r="R1076" s="156">
        <v>45352</v>
      </c>
      <c r="S1076" s="155" t="s">
        <v>3166</v>
      </c>
      <c r="T1076" s="156"/>
      <c r="U1076" s="157">
        <v>373742</v>
      </c>
      <c r="V1076" s="157" t="s">
        <v>40</v>
      </c>
      <c r="W1076" s="157" t="s">
        <v>40</v>
      </c>
      <c r="X1076" s="155" t="s">
        <v>40</v>
      </c>
    </row>
    <row r="1077" spans="1:24" ht="30.4" customHeight="1">
      <c r="A1077" s="208"/>
      <c r="B1077" s="225" t="s">
        <v>3167</v>
      </c>
      <c r="C1077" s="225" t="s">
        <v>3168</v>
      </c>
      <c r="D1077" s="225" t="s">
        <v>3169</v>
      </c>
      <c r="E1077" s="225" t="s">
        <v>3170</v>
      </c>
      <c r="F1077" s="225" t="s">
        <v>3171</v>
      </c>
      <c r="G1077" s="208" t="s">
        <v>3172</v>
      </c>
      <c r="H1077" s="225" t="s">
        <v>3173</v>
      </c>
      <c r="I1077" s="208" t="s">
        <v>40</v>
      </c>
      <c r="J1077" s="208" t="s">
        <v>3174</v>
      </c>
      <c r="K1077" s="208" t="s">
        <v>3175</v>
      </c>
      <c r="L1077" s="211">
        <v>45350</v>
      </c>
      <c r="M1077" s="211">
        <v>45352</v>
      </c>
      <c r="N1077" s="820" t="s">
        <v>3176</v>
      </c>
      <c r="O1077" s="820"/>
      <c r="P1077" s="820"/>
      <c r="Q1077" s="208">
        <f ca="1">-Q1077</f>
        <v>0</v>
      </c>
      <c r="R1077" s="211">
        <v>45344</v>
      </c>
      <c r="S1077" s="208" t="s">
        <v>3177</v>
      </c>
      <c r="T1077" s="211"/>
      <c r="U1077" s="208">
        <v>2834880</v>
      </c>
      <c r="V1077" s="208">
        <v>986000</v>
      </c>
      <c r="W1077" s="208" t="s">
        <v>276</v>
      </c>
      <c r="X1077" s="211"/>
    </row>
    <row r="1078" spans="1:24" ht="15" customHeight="1">
      <c r="A1078" s="828" t="s">
        <v>1919</v>
      </c>
      <c r="B1078" s="828"/>
      <c r="C1078" s="215"/>
      <c r="D1078" s="215"/>
      <c r="E1078" s="215"/>
      <c r="F1078" s="215"/>
      <c r="G1078" s="215"/>
      <c r="H1078" s="215"/>
      <c r="I1078" s="215"/>
      <c r="J1078" s="215"/>
      <c r="K1078" s="215"/>
      <c r="L1078" s="216"/>
      <c r="M1078" s="216"/>
      <c r="N1078" s="216"/>
      <c r="O1078" s="216"/>
      <c r="P1078" s="216"/>
      <c r="Q1078" s="215"/>
      <c r="R1078" s="215"/>
      <c r="S1078" s="215"/>
      <c r="T1078" s="215"/>
      <c r="U1078" s="215"/>
      <c r="V1078" s="215"/>
      <c r="W1078" s="215"/>
      <c r="X1078" s="223"/>
    </row>
    <row r="1079" spans="1:24" ht="15" customHeight="1">
      <c r="A1079" s="226"/>
      <c r="B1079" s="226" t="s">
        <v>3144</v>
      </c>
      <c r="C1079" s="226" t="s">
        <v>3178</v>
      </c>
      <c r="D1079" s="227" t="s">
        <v>3179</v>
      </c>
      <c r="E1079" s="227" t="s">
        <v>2959</v>
      </c>
      <c r="F1079" s="227" t="s">
        <v>3180</v>
      </c>
      <c r="G1079" s="227" t="s">
        <v>270</v>
      </c>
      <c r="H1079" s="227" t="s">
        <v>3181</v>
      </c>
      <c r="I1079" s="227" t="s">
        <v>40</v>
      </c>
      <c r="J1079" s="227" t="s">
        <v>2124</v>
      </c>
      <c r="K1079" s="227" t="s">
        <v>2962</v>
      </c>
      <c r="L1079" s="228">
        <v>45330</v>
      </c>
      <c r="M1079" s="227" t="s">
        <v>40</v>
      </c>
      <c r="N1079" s="901" t="s">
        <v>3182</v>
      </c>
      <c r="O1079" s="902"/>
      <c r="P1079" s="903"/>
      <c r="Q1079" s="227" t="s">
        <v>3183</v>
      </c>
      <c r="R1079" s="228">
        <v>45324</v>
      </c>
      <c r="S1079" s="227" t="s">
        <v>3184</v>
      </c>
      <c r="T1079" s="228"/>
      <c r="U1079" s="227">
        <v>150000</v>
      </c>
      <c r="V1079" s="214" t="s">
        <v>40</v>
      </c>
      <c r="W1079" s="214" t="s">
        <v>40</v>
      </c>
      <c r="X1079" s="233" t="s">
        <v>40</v>
      </c>
    </row>
    <row r="1080" spans="1:24" ht="29.9" customHeight="1">
      <c r="A1080" s="226"/>
      <c r="B1080" s="226" t="s">
        <v>3185</v>
      </c>
      <c r="C1080" s="226" t="s">
        <v>40</v>
      </c>
      <c r="D1080" s="227" t="s">
        <v>3179</v>
      </c>
      <c r="E1080" s="227" t="s">
        <v>40</v>
      </c>
      <c r="F1080" s="227" t="s">
        <v>3186</v>
      </c>
      <c r="G1080" s="227" t="s">
        <v>2110</v>
      </c>
      <c r="H1080" s="227" t="s">
        <v>3187</v>
      </c>
      <c r="I1080" s="227" t="s">
        <v>40</v>
      </c>
      <c r="J1080" s="227" t="s">
        <v>3188</v>
      </c>
      <c r="K1080" s="227" t="s">
        <v>40</v>
      </c>
      <c r="L1080" s="228">
        <v>45330</v>
      </c>
      <c r="M1080" s="227" t="s">
        <v>40</v>
      </c>
      <c r="N1080" s="901" t="s">
        <v>3189</v>
      </c>
      <c r="O1080" s="902"/>
      <c r="P1080" s="903"/>
      <c r="Q1080" s="227" t="s">
        <v>3190</v>
      </c>
      <c r="R1080" s="228">
        <v>45328</v>
      </c>
      <c r="S1080" s="227" t="s">
        <v>3191</v>
      </c>
      <c r="T1080" s="228"/>
      <c r="U1080" s="227">
        <v>590000</v>
      </c>
      <c r="V1080" s="214" t="s">
        <v>40</v>
      </c>
      <c r="W1080" s="214" t="s">
        <v>40</v>
      </c>
      <c r="X1080" s="233" t="s">
        <v>40</v>
      </c>
    </row>
    <row r="1081" spans="1:24" ht="15" customHeight="1">
      <c r="A1081" s="53"/>
      <c r="B1081" s="53"/>
      <c r="C1081" s="53"/>
      <c r="D1081" s="53"/>
      <c r="E1081" s="53"/>
      <c r="F1081" s="53"/>
      <c r="G1081" s="53"/>
      <c r="H1081" s="53"/>
      <c r="I1081" s="53"/>
      <c r="J1081" s="53"/>
      <c r="K1081" s="53"/>
      <c r="L1081" s="54"/>
      <c r="M1081" s="35"/>
      <c r="N1081" s="54"/>
      <c r="O1081" s="54"/>
      <c r="P1081" s="54"/>
      <c r="Q1081" s="53"/>
      <c r="R1081" s="53"/>
      <c r="S1081" s="53"/>
      <c r="T1081" s="36" t="s">
        <v>163</v>
      </c>
      <c r="U1081" s="27">
        <f>SUM(U1049:U1080)</f>
        <v>27154612</v>
      </c>
      <c r="V1081" s="27"/>
      <c r="W1081" s="49"/>
      <c r="X1081" s="53"/>
    </row>
    <row r="1082" spans="1:24" ht="15" customHeight="1">
      <c r="A1082" s="53"/>
      <c r="B1082" s="53"/>
      <c r="C1082" s="53"/>
      <c r="D1082" s="53"/>
      <c r="E1082" s="53"/>
      <c r="F1082" s="53"/>
      <c r="G1082" s="53"/>
      <c r="H1082" s="53"/>
      <c r="I1082" s="53"/>
      <c r="J1082" s="53"/>
      <c r="K1082" s="53"/>
      <c r="L1082" s="54"/>
      <c r="M1082" s="35"/>
      <c r="N1082" s="54"/>
      <c r="O1082" s="54"/>
      <c r="P1082" s="54"/>
      <c r="Q1082" s="53"/>
      <c r="R1082" s="53"/>
      <c r="S1082" s="53"/>
      <c r="T1082" s="36" t="s">
        <v>544</v>
      </c>
      <c r="U1082" s="101">
        <v>105000000</v>
      </c>
      <c r="V1082" s="102" t="s">
        <v>278</v>
      </c>
      <c r="W1082" s="49"/>
      <c r="X1082" s="53"/>
    </row>
    <row r="1083" spans="1:24" ht="15" customHeight="1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35"/>
      <c r="N1083" s="35"/>
      <c r="O1083" s="35"/>
      <c r="P1083" s="35"/>
      <c r="Q1083" s="23"/>
      <c r="R1083" s="23"/>
      <c r="S1083" s="23"/>
      <c r="T1083" s="36"/>
      <c r="U1083" s="27"/>
      <c r="V1083" s="102"/>
      <c r="W1083" s="55"/>
      <c r="X1083" s="23"/>
    </row>
    <row r="1084" spans="1:24" ht="15" customHeight="1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3"/>
      <c r="N1084" s="22"/>
      <c r="O1084" s="22"/>
      <c r="P1084" s="22"/>
      <c r="Q1084" s="22"/>
      <c r="R1084" s="22"/>
      <c r="S1084" s="22"/>
      <c r="T1084" s="151" t="s">
        <v>165</v>
      </c>
      <c r="U1084" s="27">
        <f>U1081*15/100</f>
        <v>4073191.8</v>
      </c>
      <c r="V1084" s="114"/>
      <c r="W1084" s="22"/>
      <c r="X1084" s="22"/>
    </row>
    <row r="1086" spans="1:24" ht="26.9" customHeight="1">
      <c r="A1086" s="798" t="s">
        <v>3192</v>
      </c>
      <c r="B1086" s="799"/>
      <c r="C1086" s="799"/>
      <c r="D1086" s="799"/>
      <c r="E1086" s="799"/>
      <c r="F1086" s="799"/>
      <c r="G1086" s="799"/>
      <c r="H1086" s="799"/>
      <c r="I1086" s="799"/>
      <c r="J1086" s="799"/>
      <c r="K1086" s="799"/>
      <c r="L1086" s="799"/>
      <c r="M1086" s="799"/>
      <c r="N1086" s="799"/>
      <c r="O1086" s="799"/>
      <c r="P1086" s="799"/>
      <c r="Q1086" s="799"/>
      <c r="R1086" s="799"/>
      <c r="S1086" s="799"/>
      <c r="T1086" s="799"/>
      <c r="U1086" s="799"/>
      <c r="V1086" s="799"/>
      <c r="W1086" s="799"/>
      <c r="X1086" s="799"/>
    </row>
    <row r="1087" spans="1:24" ht="15" customHeight="1">
      <c r="A1087" s="115" t="s">
        <v>1</v>
      </c>
      <c r="B1087" s="116" t="s">
        <v>2</v>
      </c>
      <c r="C1087" s="117" t="s">
        <v>3</v>
      </c>
      <c r="D1087" s="117" t="s">
        <v>4</v>
      </c>
      <c r="E1087" s="117" t="s">
        <v>5</v>
      </c>
      <c r="F1087" s="117" t="s">
        <v>6</v>
      </c>
      <c r="G1087" s="117" t="s">
        <v>7</v>
      </c>
      <c r="H1087" s="117" t="s">
        <v>2738</v>
      </c>
      <c r="I1087" s="117" t="s">
        <v>9</v>
      </c>
      <c r="J1087" s="117" t="s">
        <v>10</v>
      </c>
      <c r="K1087" s="117" t="s">
        <v>11</v>
      </c>
      <c r="L1087" s="117" t="s">
        <v>12</v>
      </c>
      <c r="M1087" s="118" t="s">
        <v>13</v>
      </c>
      <c r="N1087" s="117" t="s">
        <v>14</v>
      </c>
      <c r="O1087" s="117" t="s">
        <v>15</v>
      </c>
      <c r="P1087" s="117" t="s">
        <v>16</v>
      </c>
      <c r="Q1087" s="119" t="s">
        <v>17</v>
      </c>
      <c r="R1087" s="120" t="s">
        <v>18</v>
      </c>
      <c r="S1087" s="120" t="s">
        <v>2739</v>
      </c>
      <c r="T1087" s="120" t="s">
        <v>20</v>
      </c>
      <c r="U1087" s="117" t="s">
        <v>21</v>
      </c>
      <c r="V1087" s="117" t="s">
        <v>22</v>
      </c>
      <c r="W1087" s="117" t="s">
        <v>23</v>
      </c>
      <c r="X1087" s="117" t="s">
        <v>24</v>
      </c>
    </row>
    <row r="1088" spans="1:24" ht="15" customHeight="1">
      <c r="A1088" s="807" t="s">
        <v>25</v>
      </c>
      <c r="B1088" s="808"/>
      <c r="C1088" s="808"/>
      <c r="D1088" s="808"/>
      <c r="E1088" s="808"/>
      <c r="F1088" s="808"/>
      <c r="G1088" s="808"/>
      <c r="H1088" s="808"/>
      <c r="I1088" s="808"/>
      <c r="J1088" s="808"/>
      <c r="K1088" s="808"/>
      <c r="L1088" s="808"/>
      <c r="M1088" s="808"/>
      <c r="N1088" s="808"/>
      <c r="O1088" s="808"/>
      <c r="P1088" s="808"/>
      <c r="Q1088" s="808"/>
      <c r="R1088" s="808"/>
      <c r="S1088" s="808"/>
      <c r="T1088" s="808"/>
      <c r="U1088" s="808"/>
      <c r="V1088" s="808"/>
      <c r="W1088" s="808"/>
      <c r="X1088" s="809"/>
    </row>
    <row r="1089" spans="1:24" ht="15" customHeight="1">
      <c r="A1089" s="208"/>
      <c r="B1089" s="209" t="s">
        <v>2740</v>
      </c>
      <c r="C1089" s="208"/>
      <c r="D1089" s="209"/>
      <c r="E1089" s="208"/>
      <c r="F1089" s="208"/>
      <c r="G1089" s="208"/>
      <c r="H1089" s="208"/>
      <c r="I1089" s="208"/>
      <c r="J1089" s="208"/>
      <c r="K1089" s="208"/>
      <c r="L1089" s="211"/>
      <c r="M1089" s="211"/>
      <c r="N1089" s="211"/>
      <c r="O1089" s="211"/>
      <c r="P1089" s="211"/>
      <c r="Q1089" s="208"/>
      <c r="R1089" s="211"/>
      <c r="S1089" s="208"/>
      <c r="T1089" s="211"/>
      <c r="U1089" s="208"/>
      <c r="V1089" s="208"/>
      <c r="W1089" s="208"/>
      <c r="X1089" s="211"/>
    </row>
    <row r="1090" spans="1:24" ht="15" customHeight="1">
      <c r="A1090" s="822"/>
      <c r="B1090" s="825"/>
      <c r="C1090" s="822"/>
      <c r="D1090" s="825"/>
      <c r="E1090" s="832"/>
      <c r="F1090" s="204"/>
      <c r="G1090" s="831"/>
      <c r="H1090" s="822"/>
      <c r="I1090" s="822"/>
      <c r="J1090" s="822"/>
      <c r="K1090" s="822"/>
      <c r="L1090" s="829"/>
      <c r="M1090" s="829"/>
      <c r="N1090" s="829"/>
      <c r="O1090" s="207"/>
      <c r="P1090" s="207"/>
      <c r="Q1090" s="822"/>
      <c r="R1090" s="829"/>
      <c r="S1090" s="822"/>
      <c r="T1090" s="829"/>
      <c r="U1090" s="822"/>
      <c r="V1090" s="822"/>
      <c r="W1090" s="822"/>
      <c r="X1090" s="829"/>
    </row>
    <row r="1091" spans="1:24" ht="15" customHeight="1">
      <c r="A1091" s="822"/>
      <c r="B1091" s="825"/>
      <c r="C1091" s="822"/>
      <c r="D1091" s="825"/>
      <c r="E1091" s="832"/>
      <c r="F1091" s="204"/>
      <c r="G1091" s="831"/>
      <c r="H1091" s="822"/>
      <c r="I1091" s="822"/>
      <c r="J1091" s="822"/>
      <c r="K1091" s="822"/>
      <c r="L1091" s="829"/>
      <c r="M1091" s="829"/>
      <c r="N1091" s="829"/>
      <c r="O1091" s="207"/>
      <c r="P1091" s="207"/>
      <c r="Q1091" s="822"/>
      <c r="R1091" s="829"/>
      <c r="S1091" s="822"/>
      <c r="T1091" s="829"/>
      <c r="U1091" s="822"/>
      <c r="V1091" s="822"/>
      <c r="W1091" s="822"/>
      <c r="X1091" s="829"/>
    </row>
    <row r="1092" spans="1:24" ht="15" customHeight="1">
      <c r="A1092" s="822"/>
      <c r="B1092" s="825"/>
      <c r="C1092" s="822"/>
      <c r="D1092" s="825"/>
      <c r="E1092" s="832"/>
      <c r="F1092" s="204"/>
      <c r="G1092" s="831"/>
      <c r="H1092" s="822"/>
      <c r="I1092" s="822"/>
      <c r="J1092" s="822"/>
      <c r="K1092" s="822"/>
      <c r="L1092" s="829"/>
      <c r="M1092" s="829"/>
      <c r="N1092" s="829"/>
      <c r="O1092" s="207"/>
      <c r="P1092" s="207"/>
      <c r="Q1092" s="822"/>
      <c r="R1092" s="829"/>
      <c r="S1092" s="822"/>
      <c r="T1092" s="829"/>
      <c r="U1092" s="822"/>
      <c r="V1092" s="822"/>
      <c r="W1092" s="822"/>
      <c r="X1092" s="829"/>
    </row>
    <row r="1093" spans="1:24" ht="15" customHeight="1">
      <c r="A1093" s="822"/>
      <c r="B1093" s="825"/>
      <c r="C1093" s="822"/>
      <c r="D1093" s="825"/>
      <c r="E1093" s="832"/>
      <c r="F1093" s="204"/>
      <c r="G1093" s="831"/>
      <c r="H1093" s="822"/>
      <c r="I1093" s="822"/>
      <c r="J1093" s="822"/>
      <c r="K1093" s="822"/>
      <c r="L1093" s="829"/>
      <c r="M1093" s="829"/>
      <c r="N1093" s="829"/>
      <c r="O1093" s="207"/>
      <c r="P1093" s="207"/>
      <c r="Q1093" s="822"/>
      <c r="R1093" s="829"/>
      <c r="S1093" s="822"/>
      <c r="T1093" s="829"/>
      <c r="U1093" s="822"/>
      <c r="V1093" s="822"/>
      <c r="W1093" s="822"/>
      <c r="X1093" s="829"/>
    </row>
    <row r="1094" spans="1:24" ht="15" customHeight="1">
      <c r="A1094" s="822"/>
      <c r="B1094" s="825"/>
      <c r="C1094" s="822"/>
      <c r="D1094" s="825"/>
      <c r="E1094" s="822"/>
      <c r="F1094" s="204"/>
      <c r="G1094" s="825"/>
      <c r="H1094" s="822"/>
      <c r="I1094" s="822"/>
      <c r="J1094" s="822"/>
      <c r="K1094" s="822"/>
      <c r="L1094" s="822"/>
      <c r="M1094" s="829"/>
      <c r="N1094" s="829"/>
      <c r="O1094" s="829"/>
      <c r="P1094" s="829"/>
      <c r="Q1094" s="822"/>
      <c r="R1094" s="829"/>
      <c r="S1094" s="822"/>
      <c r="T1094" s="829"/>
      <c r="U1094" s="822"/>
      <c r="V1094" s="822"/>
      <c r="W1094" s="822"/>
      <c r="X1094" s="829"/>
    </row>
    <row r="1095" spans="1:24" ht="15" customHeight="1">
      <c r="A1095" s="822"/>
      <c r="B1095" s="825"/>
      <c r="C1095" s="822"/>
      <c r="D1095" s="825"/>
      <c r="E1095" s="924"/>
      <c r="F1095" s="229"/>
      <c r="G1095" s="884"/>
      <c r="H1095" s="924"/>
      <c r="I1095" s="822"/>
      <c r="J1095" s="822"/>
      <c r="K1095" s="822"/>
      <c r="L1095" s="822"/>
      <c r="M1095" s="829"/>
      <c r="N1095" s="829"/>
      <c r="O1095" s="829"/>
      <c r="P1095" s="829"/>
      <c r="Q1095" s="822"/>
      <c r="R1095" s="829"/>
      <c r="S1095" s="822"/>
      <c r="T1095" s="829"/>
      <c r="U1095" s="822"/>
      <c r="V1095" s="822"/>
      <c r="W1095" s="822"/>
      <c r="X1095" s="829"/>
    </row>
    <row r="1096" spans="1:24" ht="15" customHeight="1">
      <c r="A1096" s="204"/>
      <c r="B1096" s="205"/>
      <c r="C1096" s="204"/>
      <c r="D1096" s="205"/>
      <c r="E1096" s="204"/>
      <c r="F1096" s="204"/>
      <c r="G1096" s="205"/>
      <c r="H1096" s="204"/>
      <c r="I1096" s="204"/>
      <c r="J1096" s="204"/>
      <c r="K1096" s="204"/>
      <c r="L1096" s="204"/>
      <c r="M1096" s="207"/>
      <c r="N1096" s="207"/>
      <c r="O1096" s="207"/>
      <c r="P1096" s="207"/>
      <c r="Q1096" s="204"/>
      <c r="R1096" s="207"/>
      <c r="S1096" s="204"/>
      <c r="T1096" s="207"/>
      <c r="U1096" s="204"/>
      <c r="V1096" s="204"/>
      <c r="W1096" s="204"/>
      <c r="X1096" s="207"/>
    </row>
    <row r="1097" spans="1:24" ht="15" customHeight="1">
      <c r="A1097" s="822"/>
      <c r="B1097" s="825"/>
      <c r="C1097" s="822"/>
      <c r="D1097" s="825"/>
      <c r="E1097" s="832"/>
      <c r="F1097" s="204"/>
      <c r="G1097" s="831"/>
      <c r="H1097" s="822"/>
      <c r="I1097" s="822"/>
      <c r="J1097" s="822"/>
      <c r="K1097" s="822"/>
      <c r="L1097" s="822"/>
      <c r="M1097" s="829"/>
      <c r="N1097" s="829"/>
      <c r="O1097" s="207"/>
      <c r="P1097" s="207"/>
      <c r="Q1097" s="822"/>
      <c r="R1097" s="829"/>
      <c r="S1097" s="822"/>
      <c r="T1097" s="829"/>
      <c r="U1097" s="822"/>
      <c r="V1097" s="822"/>
      <c r="W1097" s="822"/>
      <c r="X1097" s="829"/>
    </row>
    <row r="1098" spans="1:24" ht="15" customHeight="1">
      <c r="A1098" s="822"/>
      <c r="B1098" s="825"/>
      <c r="C1098" s="822"/>
      <c r="D1098" s="825"/>
      <c r="E1098" s="832"/>
      <c r="F1098" s="204"/>
      <c r="G1098" s="831"/>
      <c r="H1098" s="822"/>
      <c r="I1098" s="822"/>
      <c r="J1098" s="822"/>
      <c r="K1098" s="822"/>
      <c r="L1098" s="822"/>
      <c r="M1098" s="829"/>
      <c r="N1098" s="829"/>
      <c r="O1098" s="207"/>
      <c r="P1098" s="207"/>
      <c r="Q1098" s="822"/>
      <c r="R1098" s="829"/>
      <c r="S1098" s="822"/>
      <c r="T1098" s="829"/>
      <c r="U1098" s="822"/>
      <c r="V1098" s="822"/>
      <c r="W1098" s="822"/>
      <c r="X1098" s="829"/>
    </row>
    <row r="1099" spans="1:24" ht="15" customHeight="1">
      <c r="A1099" s="822"/>
      <c r="B1099" s="825"/>
      <c r="C1099" s="822"/>
      <c r="D1099" s="825"/>
      <c r="E1099" s="832"/>
      <c r="F1099" s="204"/>
      <c r="G1099" s="831"/>
      <c r="H1099" s="822"/>
      <c r="I1099" s="822"/>
      <c r="J1099" s="822"/>
      <c r="K1099" s="822"/>
      <c r="L1099" s="822"/>
      <c r="M1099" s="829"/>
      <c r="N1099" s="829"/>
      <c r="O1099" s="207"/>
      <c r="P1099" s="207"/>
      <c r="Q1099" s="822"/>
      <c r="R1099" s="829"/>
      <c r="S1099" s="822"/>
      <c r="T1099" s="829"/>
      <c r="U1099" s="822"/>
      <c r="V1099" s="822"/>
      <c r="W1099" s="822"/>
      <c r="X1099" s="829"/>
    </row>
    <row r="1100" spans="1:24" ht="15" customHeight="1">
      <c r="A1100" s="822"/>
      <c r="B1100" s="825"/>
      <c r="C1100" s="822"/>
      <c r="D1100" s="825"/>
      <c r="E1100" s="832"/>
      <c r="F1100" s="204"/>
      <c r="G1100" s="831"/>
      <c r="H1100" s="822"/>
      <c r="I1100" s="822"/>
      <c r="J1100" s="822"/>
      <c r="K1100" s="822"/>
      <c r="L1100" s="822"/>
      <c r="M1100" s="829"/>
      <c r="N1100" s="829"/>
      <c r="O1100" s="207"/>
      <c r="P1100" s="207"/>
      <c r="Q1100" s="822"/>
      <c r="R1100" s="829"/>
      <c r="S1100" s="822"/>
      <c r="T1100" s="829"/>
      <c r="U1100" s="822"/>
      <c r="V1100" s="822"/>
      <c r="W1100" s="822"/>
      <c r="X1100" s="829"/>
    </row>
    <row r="1101" spans="1:24" ht="15" customHeight="1">
      <c r="A1101" s="822"/>
      <c r="B1101" s="825"/>
      <c r="C1101" s="822"/>
      <c r="D1101" s="825"/>
      <c r="E1101" s="832"/>
      <c r="F1101" s="204"/>
      <c r="G1101" s="831"/>
      <c r="H1101" s="822"/>
      <c r="I1101" s="822"/>
      <c r="J1101" s="822"/>
      <c r="K1101" s="822"/>
      <c r="L1101" s="822"/>
      <c r="M1101" s="829"/>
      <c r="N1101" s="829"/>
      <c r="O1101" s="207"/>
      <c r="P1101" s="207"/>
      <c r="Q1101" s="822"/>
      <c r="R1101" s="829"/>
      <c r="S1101" s="822"/>
      <c r="T1101" s="829"/>
      <c r="U1101" s="822"/>
      <c r="V1101" s="822"/>
      <c r="W1101" s="822"/>
      <c r="X1101" s="829"/>
    </row>
    <row r="1102" spans="1:24" ht="15" customHeight="1">
      <c r="A1102" s="822"/>
      <c r="B1102" s="825"/>
      <c r="C1102" s="822"/>
      <c r="D1102" s="825"/>
      <c r="E1102" s="832"/>
      <c r="F1102" s="204"/>
      <c r="G1102" s="831"/>
      <c r="H1102" s="822"/>
      <c r="I1102" s="822"/>
      <c r="J1102" s="822"/>
      <c r="K1102" s="822"/>
      <c r="L1102" s="829"/>
      <c r="M1102" s="829"/>
      <c r="N1102" s="829"/>
      <c r="O1102" s="207"/>
      <c r="P1102" s="207"/>
      <c r="Q1102" s="822"/>
      <c r="R1102" s="829"/>
      <c r="S1102" s="822"/>
      <c r="T1102" s="829"/>
      <c r="U1102" s="822"/>
      <c r="V1102" s="822"/>
      <c r="W1102" s="822"/>
      <c r="X1102" s="829"/>
    </row>
    <row r="1103" spans="1:24" ht="15" customHeight="1">
      <c r="A1103" s="822"/>
      <c r="B1103" s="825"/>
      <c r="C1103" s="822"/>
      <c r="D1103" s="825"/>
      <c r="E1103" s="832"/>
      <c r="F1103" s="204"/>
      <c r="G1103" s="831"/>
      <c r="H1103" s="822"/>
      <c r="I1103" s="822"/>
      <c r="J1103" s="822"/>
      <c r="K1103" s="822"/>
      <c r="L1103" s="829"/>
      <c r="M1103" s="829"/>
      <c r="N1103" s="829"/>
      <c r="O1103" s="207"/>
      <c r="P1103" s="207"/>
      <c r="Q1103" s="822"/>
      <c r="R1103" s="829"/>
      <c r="S1103" s="822"/>
      <c r="T1103" s="829"/>
      <c r="U1103" s="822"/>
      <c r="V1103" s="822"/>
      <c r="W1103" s="822"/>
      <c r="X1103" s="829"/>
    </row>
    <row r="1104" spans="1:24" ht="15" customHeight="1">
      <c r="A1104" s="822"/>
      <c r="B1104" s="825"/>
      <c r="C1104" s="822"/>
      <c r="D1104" s="825"/>
      <c r="E1104" s="832"/>
      <c r="F1104" s="204"/>
      <c r="G1104" s="831"/>
      <c r="H1104" s="822"/>
      <c r="I1104" s="822"/>
      <c r="J1104" s="822"/>
      <c r="K1104" s="822"/>
      <c r="L1104" s="829"/>
      <c r="M1104" s="829"/>
      <c r="N1104" s="829"/>
      <c r="O1104" s="207"/>
      <c r="P1104" s="207"/>
      <c r="Q1104" s="822"/>
      <c r="R1104" s="829"/>
      <c r="S1104" s="822"/>
      <c r="T1104" s="829"/>
      <c r="U1104" s="822"/>
      <c r="V1104" s="822"/>
      <c r="W1104" s="822"/>
      <c r="X1104" s="829"/>
    </row>
    <row r="1105" spans="1:24" ht="15" customHeight="1">
      <c r="A1105" s="822"/>
      <c r="B1105" s="825"/>
      <c r="C1105" s="822"/>
      <c r="D1105" s="825"/>
      <c r="E1105" s="832"/>
      <c r="F1105" s="204"/>
      <c r="G1105" s="831"/>
      <c r="H1105" s="822"/>
      <c r="I1105" s="822"/>
      <c r="J1105" s="822"/>
      <c r="K1105" s="822"/>
      <c r="L1105" s="829"/>
      <c r="M1105" s="829"/>
      <c r="N1105" s="829"/>
      <c r="O1105" s="207"/>
      <c r="P1105" s="207"/>
      <c r="Q1105" s="822"/>
      <c r="R1105" s="829"/>
      <c r="S1105" s="822"/>
      <c r="T1105" s="829"/>
      <c r="U1105" s="822"/>
      <c r="V1105" s="822"/>
      <c r="W1105" s="822"/>
      <c r="X1105" s="829"/>
    </row>
    <row r="1106" spans="1:24" ht="15" customHeight="1">
      <c r="A1106" s="822"/>
      <c r="B1106" s="825"/>
      <c r="C1106" s="822"/>
      <c r="D1106" s="825"/>
      <c r="E1106" s="832"/>
      <c r="F1106" s="204"/>
      <c r="G1106" s="831"/>
      <c r="H1106" s="822"/>
      <c r="I1106" s="822"/>
      <c r="J1106" s="822"/>
      <c r="K1106" s="822"/>
      <c r="L1106" s="829"/>
      <c r="M1106" s="829"/>
      <c r="N1106" s="829"/>
      <c r="O1106" s="207"/>
      <c r="P1106" s="207"/>
      <c r="Q1106" s="822"/>
      <c r="R1106" s="829"/>
      <c r="S1106" s="822"/>
      <c r="T1106" s="829"/>
      <c r="U1106" s="822"/>
      <c r="V1106" s="822"/>
      <c r="W1106" s="822"/>
      <c r="X1106" s="829"/>
    </row>
    <row r="1107" spans="1:24" ht="15" customHeight="1">
      <c r="A1107" s="822"/>
      <c r="B1107" s="825"/>
      <c r="C1107" s="822"/>
      <c r="D1107" s="825"/>
      <c r="E1107" s="832"/>
      <c r="F1107" s="204"/>
      <c r="G1107" s="831"/>
      <c r="H1107" s="822"/>
      <c r="I1107" s="822"/>
      <c r="J1107" s="822"/>
      <c r="K1107" s="822"/>
      <c r="L1107" s="829"/>
      <c r="M1107" s="829"/>
      <c r="N1107" s="829"/>
      <c r="O1107" s="207"/>
      <c r="P1107" s="207"/>
      <c r="Q1107" s="822"/>
      <c r="R1107" s="829"/>
      <c r="S1107" s="822"/>
      <c r="T1107" s="829"/>
      <c r="U1107" s="822"/>
      <c r="V1107" s="822"/>
      <c r="W1107" s="822"/>
      <c r="X1107" s="829"/>
    </row>
    <row r="1108" spans="1:24" ht="15" customHeight="1">
      <c r="A1108" s="204"/>
      <c r="B1108" s="205"/>
      <c r="C1108" s="204"/>
      <c r="D1108" s="205"/>
      <c r="E1108" s="204"/>
      <c r="F1108" s="204"/>
      <c r="G1108" s="205"/>
      <c r="H1108" s="204"/>
      <c r="I1108" s="204"/>
      <c r="J1108" s="204"/>
      <c r="K1108" s="204"/>
      <c r="L1108" s="207"/>
      <c r="M1108" s="207"/>
      <c r="N1108" s="207"/>
      <c r="O1108" s="207"/>
      <c r="P1108" s="207"/>
      <c r="Q1108" s="204"/>
      <c r="R1108" s="207"/>
      <c r="S1108" s="204"/>
      <c r="T1108" s="207"/>
      <c r="U1108" s="204"/>
      <c r="V1108" s="204"/>
      <c r="W1108" s="204"/>
      <c r="X1108" s="207"/>
    </row>
    <row r="1109" spans="1:24" ht="15" customHeight="1">
      <c r="A1109" s="229"/>
      <c r="B1109" s="230"/>
      <c r="C1109" s="229"/>
      <c r="D1109" s="230"/>
      <c r="E1109" s="229"/>
      <c r="F1109" s="229"/>
      <c r="G1109" s="230"/>
      <c r="H1109" s="229"/>
      <c r="I1109" s="229"/>
      <c r="J1109" s="229"/>
      <c r="K1109" s="229"/>
      <c r="L1109" s="231"/>
      <c r="M1109" s="231"/>
      <c r="N1109" s="231"/>
      <c r="O1109" s="231"/>
      <c r="P1109" s="231"/>
      <c r="Q1109" s="229"/>
      <c r="R1109" s="231"/>
      <c r="S1109" s="229"/>
      <c r="T1109" s="231"/>
      <c r="U1109" s="229"/>
      <c r="V1109" s="229"/>
      <c r="W1109" s="229"/>
      <c r="X1109" s="231"/>
    </row>
    <row r="1110" spans="1:24" ht="15" customHeight="1">
      <c r="A1110" s="822"/>
      <c r="B1110" s="826"/>
      <c r="C1110" s="822"/>
      <c r="D1110" s="825"/>
      <c r="E1110" s="822"/>
      <c r="F1110" s="204"/>
      <c r="G1110" s="825"/>
      <c r="H1110" s="822"/>
      <c r="I1110" s="822"/>
      <c r="J1110" s="822"/>
      <c r="K1110" s="822"/>
      <c r="L1110" s="829"/>
      <c r="M1110" s="829"/>
      <c r="N1110" s="829"/>
      <c r="O1110" s="829"/>
      <c r="P1110" s="829"/>
      <c r="Q1110" s="822"/>
      <c r="R1110" s="829"/>
      <c r="S1110" s="822"/>
      <c r="T1110" s="829"/>
      <c r="U1110" s="822"/>
      <c r="V1110" s="822"/>
      <c r="W1110" s="822"/>
      <c r="X1110" s="822"/>
    </row>
    <row r="1111" spans="1:24" ht="15" customHeight="1">
      <c r="A1111" s="822"/>
      <c r="B1111" s="826"/>
      <c r="C1111" s="822"/>
      <c r="D1111" s="825"/>
      <c r="E1111" s="822"/>
      <c r="F1111" s="204"/>
      <c r="G1111" s="825"/>
      <c r="H1111" s="822"/>
      <c r="I1111" s="822"/>
      <c r="J1111" s="822"/>
      <c r="K1111" s="822"/>
      <c r="L1111" s="829"/>
      <c r="M1111" s="829"/>
      <c r="N1111" s="829"/>
      <c r="O1111" s="829"/>
      <c r="P1111" s="829"/>
      <c r="Q1111" s="822"/>
      <c r="R1111" s="829"/>
      <c r="S1111" s="822"/>
      <c r="T1111" s="829"/>
      <c r="U1111" s="822"/>
      <c r="V1111" s="822"/>
      <c r="W1111" s="822"/>
      <c r="X1111" s="822"/>
    </row>
    <row r="1112" spans="1:24" ht="15" customHeight="1">
      <c r="A1112" s="828" t="s">
        <v>128</v>
      </c>
      <c r="B1112" s="828"/>
      <c r="C1112" s="215"/>
      <c r="D1112" s="215"/>
      <c r="E1112" s="215"/>
      <c r="F1112" s="215"/>
      <c r="G1112" s="215"/>
      <c r="H1112" s="215"/>
      <c r="I1112" s="215"/>
      <c r="J1112" s="215"/>
      <c r="K1112" s="215"/>
      <c r="L1112" s="216"/>
      <c r="M1112" s="216"/>
      <c r="N1112" s="216"/>
      <c r="O1112" s="216"/>
      <c r="P1112" s="216"/>
      <c r="Q1112" s="215"/>
      <c r="R1112" s="215"/>
      <c r="S1112" s="215"/>
      <c r="T1112" s="215"/>
      <c r="U1112" s="215"/>
      <c r="V1112" s="215"/>
      <c r="W1112" s="215"/>
      <c r="X1112" s="223"/>
    </row>
    <row r="1113" spans="1:24" ht="15" customHeight="1">
      <c r="A1113" s="214"/>
      <c r="B1113" s="232"/>
      <c r="C1113" s="232"/>
      <c r="D1113" s="232"/>
      <c r="E1113" s="232"/>
      <c r="F1113" s="232"/>
      <c r="G1113" s="214"/>
      <c r="H1113" s="232"/>
      <c r="I1113" s="214"/>
      <c r="J1113" s="214"/>
      <c r="K1113" s="214"/>
      <c r="L1113" s="233"/>
      <c r="M1113" s="214"/>
      <c r="N1113" s="821"/>
      <c r="O1113" s="821"/>
      <c r="P1113" s="821"/>
      <c r="Q1113" s="214"/>
      <c r="R1113" s="233"/>
      <c r="S1113" s="214"/>
      <c r="T1113" s="233"/>
      <c r="U1113" s="214"/>
      <c r="V1113" s="214"/>
      <c r="W1113" s="214"/>
      <c r="X1113" s="233"/>
    </row>
    <row r="1114" spans="1:24" ht="15" customHeight="1">
      <c r="A1114" s="820"/>
      <c r="B1114" s="823" t="s">
        <v>3144</v>
      </c>
      <c r="C1114" s="823" t="s">
        <v>3193</v>
      </c>
      <c r="D1114" s="823" t="s">
        <v>3146</v>
      </c>
      <c r="E1114" s="823" t="s">
        <v>3194</v>
      </c>
      <c r="F1114" s="225" t="s">
        <v>3195</v>
      </c>
      <c r="G1114" s="820" t="s">
        <v>156</v>
      </c>
      <c r="H1114" s="823" t="s">
        <v>3196</v>
      </c>
      <c r="I1114" s="820" t="s">
        <v>40</v>
      </c>
      <c r="J1114" s="820" t="s">
        <v>3197</v>
      </c>
      <c r="K1114" s="820" t="s">
        <v>3198</v>
      </c>
      <c r="L1114" s="830">
        <v>45356</v>
      </c>
      <c r="M1114" s="820" t="s">
        <v>40</v>
      </c>
      <c r="N1114" s="820" t="s">
        <v>3199</v>
      </c>
      <c r="O1114" s="820"/>
      <c r="P1114" s="820"/>
      <c r="Q1114" s="820" t="s">
        <v>3200</v>
      </c>
      <c r="R1114" s="830">
        <v>45356</v>
      </c>
      <c r="S1114" s="820" t="s">
        <v>3201</v>
      </c>
      <c r="T1114" s="830"/>
      <c r="U1114" s="820">
        <v>400000</v>
      </c>
      <c r="V1114" s="820" t="s">
        <v>40</v>
      </c>
      <c r="W1114" s="820" t="s">
        <v>40</v>
      </c>
      <c r="X1114" s="830" t="s">
        <v>40</v>
      </c>
    </row>
    <row r="1115" spans="1:24" ht="15" customHeight="1">
      <c r="A1115" s="821"/>
      <c r="B1115" s="824"/>
      <c r="C1115" s="824"/>
      <c r="D1115" s="824"/>
      <c r="E1115" s="824"/>
      <c r="F1115" s="232" t="s">
        <v>3202</v>
      </c>
      <c r="G1115" s="821"/>
      <c r="H1115" s="824"/>
      <c r="I1115" s="821"/>
      <c r="J1115" s="821"/>
      <c r="K1115" s="821"/>
      <c r="L1115" s="875"/>
      <c r="M1115" s="821"/>
      <c r="N1115" s="821"/>
      <c r="O1115" s="821"/>
      <c r="P1115" s="821"/>
      <c r="Q1115" s="821"/>
      <c r="R1115" s="875"/>
      <c r="S1115" s="821"/>
      <c r="T1115" s="875"/>
      <c r="U1115" s="821"/>
      <c r="V1115" s="821"/>
      <c r="W1115" s="821"/>
      <c r="X1115" s="875"/>
    </row>
    <row r="1116" spans="1:24" ht="15" customHeight="1">
      <c r="A1116" s="208"/>
      <c r="B1116" s="225"/>
      <c r="C1116" s="225"/>
      <c r="D1116" s="225"/>
      <c r="E1116" s="225"/>
      <c r="F1116" s="225"/>
      <c r="G1116" s="208"/>
      <c r="H1116" s="225"/>
      <c r="I1116" s="208"/>
      <c r="J1116" s="208"/>
      <c r="K1116" s="208"/>
      <c r="L1116" s="211"/>
      <c r="M1116" s="211"/>
      <c r="N1116" s="820"/>
      <c r="O1116" s="820"/>
      <c r="P1116" s="820"/>
      <c r="Q1116" s="208"/>
      <c r="R1116" s="211"/>
      <c r="S1116" s="208"/>
      <c r="T1116" s="211"/>
      <c r="U1116" s="208"/>
      <c r="V1116" s="208"/>
      <c r="W1116" s="208"/>
      <c r="X1116" s="211"/>
    </row>
    <row r="1117" spans="1:24" ht="15" customHeight="1">
      <c r="A1117" s="828" t="s">
        <v>1919</v>
      </c>
      <c r="B1117" s="828"/>
      <c r="C1117" s="215"/>
      <c r="D1117" s="215"/>
      <c r="E1117" s="215"/>
      <c r="F1117" s="215"/>
      <c r="G1117" s="215"/>
      <c r="H1117" s="215"/>
      <c r="I1117" s="215"/>
      <c r="J1117" s="215"/>
      <c r="K1117" s="215"/>
      <c r="L1117" s="216"/>
      <c r="M1117" s="216"/>
      <c r="N1117" s="216"/>
      <c r="O1117" s="216"/>
      <c r="P1117" s="216"/>
      <c r="Q1117" s="215"/>
      <c r="R1117" s="215"/>
      <c r="S1117" s="215"/>
      <c r="T1117" s="215"/>
      <c r="U1117" s="215"/>
      <c r="V1117" s="215"/>
      <c r="W1117" s="215"/>
      <c r="X1117" s="223"/>
    </row>
    <row r="1118" spans="1:24" ht="32.15" customHeight="1">
      <c r="A1118" s="226"/>
      <c r="B1118" s="226" t="s">
        <v>3144</v>
      </c>
      <c r="C1118" s="226" t="s">
        <v>3203</v>
      </c>
      <c r="D1118" s="227" t="s">
        <v>3204</v>
      </c>
      <c r="E1118" s="227" t="s">
        <v>1562</v>
      </c>
      <c r="F1118" s="227" t="s">
        <v>40</v>
      </c>
      <c r="G1118" s="227" t="s">
        <v>3205</v>
      </c>
      <c r="H1118" s="227" t="s">
        <v>3196</v>
      </c>
      <c r="I1118" s="227" t="s">
        <v>40</v>
      </c>
      <c r="J1118" s="227" t="s">
        <v>3206</v>
      </c>
      <c r="K1118" s="227" t="s">
        <v>3150</v>
      </c>
      <c r="L1118" s="228">
        <v>45355</v>
      </c>
      <c r="M1118" s="227" t="s">
        <v>40</v>
      </c>
      <c r="N1118" s="901" t="s">
        <v>3207</v>
      </c>
      <c r="O1118" s="902"/>
      <c r="P1118" s="903"/>
      <c r="Q1118" s="227" t="s">
        <v>3208</v>
      </c>
      <c r="R1118" s="228">
        <v>45355</v>
      </c>
      <c r="S1118" s="227" t="s">
        <v>3209</v>
      </c>
      <c r="T1118" s="228"/>
      <c r="U1118" s="227">
        <v>1800000</v>
      </c>
      <c r="V1118" s="214" t="s">
        <v>40</v>
      </c>
      <c r="W1118" s="214" t="s">
        <v>40</v>
      </c>
      <c r="X1118" s="233" t="s">
        <v>40</v>
      </c>
    </row>
    <row r="1119" spans="1:24" ht="15" customHeight="1">
      <c r="A1119" s="226"/>
      <c r="B1119" s="226"/>
      <c r="C1119" s="226"/>
      <c r="D1119" s="227"/>
      <c r="E1119" s="227"/>
      <c r="F1119" s="227"/>
      <c r="G1119" s="227"/>
      <c r="H1119" s="227"/>
      <c r="I1119" s="227"/>
      <c r="J1119" s="227"/>
      <c r="K1119" s="227"/>
      <c r="L1119" s="228"/>
      <c r="M1119" s="227"/>
      <c r="N1119" s="901"/>
      <c r="O1119" s="902"/>
      <c r="P1119" s="903"/>
      <c r="Q1119" s="227"/>
      <c r="R1119" s="228"/>
      <c r="S1119" s="227"/>
      <c r="T1119" s="228"/>
      <c r="U1119" s="227"/>
      <c r="V1119" s="214"/>
      <c r="W1119" s="214"/>
      <c r="X1119" s="233"/>
    </row>
    <row r="1120" spans="1:24" ht="15" customHeight="1">
      <c r="A1120" s="53"/>
      <c r="B1120" s="53"/>
      <c r="C1120" s="53"/>
      <c r="D1120" s="53"/>
      <c r="E1120" s="53"/>
      <c r="F1120" s="53"/>
      <c r="G1120" s="53"/>
      <c r="H1120" s="53"/>
      <c r="I1120" s="53"/>
      <c r="J1120" s="53"/>
      <c r="K1120" s="53"/>
      <c r="L1120" s="54"/>
      <c r="M1120" s="35"/>
      <c r="N1120" s="54"/>
      <c r="O1120" s="54"/>
      <c r="P1120" s="54"/>
      <c r="Q1120" s="53"/>
      <c r="R1120" s="53"/>
      <c r="S1120" s="53"/>
      <c r="T1120" s="36" t="s">
        <v>163</v>
      </c>
      <c r="U1120" s="27">
        <f>SUM(U1089:U1119)</f>
        <v>2200000</v>
      </c>
      <c r="V1120" s="27"/>
      <c r="W1120" s="49"/>
      <c r="X1120" s="53"/>
    </row>
    <row r="1121" spans="1:24" ht="15" customHeight="1">
      <c r="A1121" s="53"/>
      <c r="B1121" s="53"/>
      <c r="C1121" s="53"/>
      <c r="D1121" s="53"/>
      <c r="E1121" s="53"/>
      <c r="F1121" s="53"/>
      <c r="G1121" s="53"/>
      <c r="H1121" s="53"/>
      <c r="I1121" s="53"/>
      <c r="J1121" s="53"/>
      <c r="K1121" s="53"/>
      <c r="L1121" s="54"/>
      <c r="M1121" s="35"/>
      <c r="N1121" s="54"/>
      <c r="O1121" s="54"/>
      <c r="P1121" s="54"/>
      <c r="Q1121" s="53"/>
      <c r="R1121" s="53"/>
      <c r="S1121" s="53"/>
      <c r="T1121" s="36" t="s">
        <v>544</v>
      </c>
      <c r="U1121" s="101">
        <v>105000000</v>
      </c>
      <c r="V1121" s="102" t="s">
        <v>278</v>
      </c>
      <c r="W1121" s="49"/>
      <c r="X1121" s="53"/>
    </row>
    <row r="1122" spans="1:24" ht="15" customHeight="1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35"/>
      <c r="N1122" s="35"/>
      <c r="O1122" s="35"/>
      <c r="P1122" s="35"/>
      <c r="Q1122" s="23"/>
      <c r="R1122" s="23"/>
      <c r="S1122" s="23"/>
      <c r="T1122" s="36"/>
      <c r="U1122" s="27"/>
      <c r="V1122" s="102"/>
      <c r="W1122" s="55"/>
      <c r="X1122" s="23"/>
    </row>
    <row r="1123" spans="1:24" ht="15" customHeight="1">
      <c r="A1123" s="22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3"/>
      <c r="N1123" s="22"/>
      <c r="O1123" s="22"/>
      <c r="P1123" s="22"/>
      <c r="Q1123" s="22"/>
      <c r="R1123" s="22"/>
      <c r="S1123" s="22"/>
      <c r="T1123" s="151" t="s">
        <v>165</v>
      </c>
      <c r="U1123" s="27">
        <f>U1120*15/100</f>
        <v>330000</v>
      </c>
      <c r="V1123" s="114"/>
      <c r="W1123" s="22"/>
      <c r="X1123" s="22"/>
    </row>
    <row r="1147" spans="2:6" ht="15" customHeight="1" thickBot="1"/>
    <row r="1148" spans="2:6" ht="15" customHeight="1" thickTop="1">
      <c r="B1148" s="116" t="s">
        <v>2</v>
      </c>
      <c r="C1148" s="117" t="s">
        <v>3</v>
      </c>
      <c r="D1148" s="117" t="s">
        <v>22</v>
      </c>
      <c r="E1148" s="117" t="s">
        <v>23</v>
      </c>
      <c r="F1148" s="117" t="s">
        <v>24</v>
      </c>
    </row>
    <row r="1149" spans="2:6" ht="21" customHeight="1">
      <c r="B1149" s="209" t="s">
        <v>2751</v>
      </c>
      <c r="C1149" s="208" t="s">
        <v>2976</v>
      </c>
      <c r="D1149" s="208">
        <v>250000</v>
      </c>
      <c r="E1149" s="208" t="s">
        <v>2158</v>
      </c>
      <c r="F1149" s="211">
        <v>45329</v>
      </c>
    </row>
    <row r="1150" spans="2:6" ht="21" customHeight="1">
      <c r="B1150" s="209" t="s">
        <v>2751</v>
      </c>
      <c r="C1150" s="208" t="s">
        <v>2986</v>
      </c>
      <c r="D1150" s="208">
        <v>150000</v>
      </c>
      <c r="E1150" s="208" t="s">
        <v>2158</v>
      </c>
      <c r="F1150" s="211">
        <v>45329</v>
      </c>
    </row>
    <row r="1151" spans="2:6" ht="21" customHeight="1">
      <c r="B1151" s="209" t="s">
        <v>2751</v>
      </c>
      <c r="C1151" s="208" t="s">
        <v>2992</v>
      </c>
      <c r="D1151" s="208">
        <v>100000</v>
      </c>
      <c r="E1151" s="208" t="s">
        <v>2158</v>
      </c>
      <c r="F1151" s="211">
        <v>45329</v>
      </c>
    </row>
    <row r="1152" spans="2:6" ht="21" customHeight="1">
      <c r="B1152" s="209" t="s">
        <v>2751</v>
      </c>
      <c r="C1152" s="208" t="s">
        <v>2997</v>
      </c>
      <c r="D1152" s="208">
        <v>300000</v>
      </c>
      <c r="E1152" s="208" t="s">
        <v>2158</v>
      </c>
      <c r="F1152" s="211">
        <v>45329</v>
      </c>
    </row>
    <row r="1153" spans="2:6" ht="21" customHeight="1">
      <c r="B1153" s="209" t="s">
        <v>2751</v>
      </c>
      <c r="C1153" s="208" t="s">
        <v>3007</v>
      </c>
      <c r="D1153" s="208">
        <v>200000</v>
      </c>
      <c r="E1153" s="208" t="s">
        <v>2158</v>
      </c>
      <c r="F1153" s="211">
        <v>45329</v>
      </c>
    </row>
    <row r="1154" spans="2:6" ht="21" customHeight="1">
      <c r="B1154" s="209" t="s">
        <v>2751</v>
      </c>
      <c r="C1154" s="208" t="s">
        <v>3014</v>
      </c>
      <c r="D1154" s="208">
        <v>200000</v>
      </c>
      <c r="E1154" s="208" t="s">
        <v>2158</v>
      </c>
      <c r="F1154" s="211">
        <v>45329</v>
      </c>
    </row>
    <row r="1155" spans="2:6" ht="21" customHeight="1">
      <c r="B1155" s="209" t="s">
        <v>2751</v>
      </c>
      <c r="C1155" s="208" t="s">
        <v>3069</v>
      </c>
      <c r="D1155" s="208">
        <v>100000</v>
      </c>
      <c r="E1155" s="208" t="s">
        <v>2158</v>
      </c>
    </row>
  </sheetData>
  <mergeCells count="5089">
    <mergeCell ref="A716:A718"/>
    <mergeCell ref="A741:A742"/>
    <mergeCell ref="D594:D597"/>
    <mergeCell ref="D603:D606"/>
    <mergeCell ref="D440:D441"/>
    <mergeCell ref="A532:A533"/>
    <mergeCell ref="B387:B388"/>
    <mergeCell ref="D374:D375"/>
    <mergeCell ref="C542:C544"/>
    <mergeCell ref="D530:D531"/>
    <mergeCell ref="D542:D544"/>
    <mergeCell ref="C471:C472"/>
    <mergeCell ref="C374:C375"/>
    <mergeCell ref="D540:D541"/>
    <mergeCell ref="D456:D460"/>
    <mergeCell ref="D475:D476"/>
    <mergeCell ref="D535:D536"/>
    <mergeCell ref="C393:C394"/>
    <mergeCell ref="A700:A701"/>
    <mergeCell ref="C535:C536"/>
    <mergeCell ref="A374:A375"/>
    <mergeCell ref="A440:A441"/>
    <mergeCell ref="A710:A713"/>
    <mergeCell ref="A649:A650"/>
    <mergeCell ref="C700:C701"/>
    <mergeCell ref="B710:B713"/>
    <mergeCell ref="C668:C671"/>
    <mergeCell ref="B607:B609"/>
    <mergeCell ref="B478:B479"/>
    <mergeCell ref="B491:B494"/>
    <mergeCell ref="B475:B476"/>
    <mergeCell ref="B542:B544"/>
    <mergeCell ref="B530:B531"/>
    <mergeCell ref="B495:B497"/>
    <mergeCell ref="B471:B472"/>
    <mergeCell ref="B393:B394"/>
    <mergeCell ref="B642:B643"/>
    <mergeCell ref="B610:B619"/>
    <mergeCell ref="B603:B606"/>
    <mergeCell ref="B598:B602"/>
    <mergeCell ref="A427:A428"/>
    <mergeCell ref="A419:A420"/>
    <mergeCell ref="B417:B418"/>
    <mergeCell ref="A598:A602"/>
    <mergeCell ref="A424:A425"/>
    <mergeCell ref="A478:A479"/>
    <mergeCell ref="A659:A666"/>
    <mergeCell ref="A644:A646"/>
    <mergeCell ref="A603:A606"/>
    <mergeCell ref="A635:A639"/>
    <mergeCell ref="A396:A397"/>
    <mergeCell ref="A417:A418"/>
    <mergeCell ref="A540:A541"/>
    <mergeCell ref="A588:A589"/>
    <mergeCell ref="A590:A593"/>
    <mergeCell ref="A542:A544"/>
    <mergeCell ref="B575:B587"/>
    <mergeCell ref="B649:B650"/>
    <mergeCell ref="B440:B441"/>
    <mergeCell ref="A530:A531"/>
    <mergeCell ref="A633:X633"/>
    <mergeCell ref="W542:W543"/>
    <mergeCell ref="O542:O544"/>
    <mergeCell ref="Q540:Q541"/>
    <mergeCell ref="U532:U533"/>
    <mergeCell ref="A564:A568"/>
    <mergeCell ref="A642:A643"/>
    <mergeCell ref="A546:A547"/>
    <mergeCell ref="A623:X623"/>
    <mergeCell ref="N532:N533"/>
    <mergeCell ref="P532:P533"/>
    <mergeCell ref="R535:R536"/>
    <mergeCell ref="W638:W639"/>
    <mergeCell ref="B594:B597"/>
    <mergeCell ref="V635:V637"/>
    <mergeCell ref="C640:C641"/>
    <mergeCell ref="B564:B568"/>
    <mergeCell ref="W603:W604"/>
    <mergeCell ref="G561:G562"/>
    <mergeCell ref="P561:P562"/>
    <mergeCell ref="S546:S547"/>
    <mergeCell ref="R546:R547"/>
    <mergeCell ref="H542:H544"/>
    <mergeCell ref="I540:I541"/>
    <mergeCell ref="V542:V543"/>
    <mergeCell ref="B535:B536"/>
    <mergeCell ref="B532:B533"/>
    <mergeCell ref="Q575:Q587"/>
    <mergeCell ref="O561:O562"/>
    <mergeCell ref="N550:P550"/>
    <mergeCell ref="P540:P541"/>
    <mergeCell ref="U588:U589"/>
    <mergeCell ref="S588:S589"/>
    <mergeCell ref="D640:D641"/>
    <mergeCell ref="G598:G602"/>
    <mergeCell ref="C598:C602"/>
    <mergeCell ref="A702:A704"/>
    <mergeCell ref="C546:C547"/>
    <mergeCell ref="C495:C497"/>
    <mergeCell ref="A535:A536"/>
    <mergeCell ref="A561:A562"/>
    <mergeCell ref="A607:A609"/>
    <mergeCell ref="A575:A587"/>
    <mergeCell ref="A594:A597"/>
    <mergeCell ref="B700:B701"/>
    <mergeCell ref="C316:C317"/>
    <mergeCell ref="C305:C306"/>
    <mergeCell ref="D393:D394"/>
    <mergeCell ref="D233:D234"/>
    <mergeCell ref="B335:B336"/>
    <mergeCell ref="A610:A619"/>
    <mergeCell ref="C532:C533"/>
    <mergeCell ref="C312:C313"/>
    <mergeCell ref="D427:D428"/>
    <mergeCell ref="D495:D497"/>
    <mergeCell ref="B590:B593"/>
    <mergeCell ref="B498:B499"/>
    <mergeCell ref="A498:A499"/>
    <mergeCell ref="B238:B239"/>
    <mergeCell ref="B285:B286"/>
    <mergeCell ref="B255:B256"/>
    <mergeCell ref="C238:C239"/>
    <mergeCell ref="A491:A494"/>
    <mergeCell ref="A495:A497"/>
    <mergeCell ref="B540:B541"/>
    <mergeCell ref="B561:B562"/>
    <mergeCell ref="B424:B425"/>
    <mergeCell ref="A393:A394"/>
    <mergeCell ref="P337:P338"/>
    <mergeCell ref="P282:P283"/>
    <mergeCell ref="P285:P286"/>
    <mergeCell ref="I252:I253"/>
    <mergeCell ref="I303:I304"/>
    <mergeCell ref="I285:I286"/>
    <mergeCell ref="A233:A234"/>
    <mergeCell ref="U305:U306"/>
    <mergeCell ref="E227:E228"/>
    <mergeCell ref="F309:F310"/>
    <mergeCell ref="D305:D306"/>
    <mergeCell ref="F282:F283"/>
    <mergeCell ref="F285:F286"/>
    <mergeCell ref="D252:D253"/>
    <mergeCell ref="L255:L256"/>
    <mergeCell ref="Q261:Q262"/>
    <mergeCell ref="T289:T290"/>
    <mergeCell ref="N309:N310"/>
    <mergeCell ref="B301:B302"/>
    <mergeCell ref="C285:C286"/>
    <mergeCell ref="A289:A290"/>
    <mergeCell ref="F305:F306"/>
    <mergeCell ref="U301:U302"/>
    <mergeCell ref="F289:F290"/>
    <mergeCell ref="I289:I290"/>
    <mergeCell ref="G289:G290"/>
    <mergeCell ref="J289:J290"/>
    <mergeCell ref="D289:D290"/>
    <mergeCell ref="U303:U304"/>
    <mergeCell ref="H289:H290"/>
    <mergeCell ref="K289:K290"/>
    <mergeCell ref="D261:D262"/>
    <mergeCell ref="B225:B226"/>
    <mergeCell ref="C216:C217"/>
    <mergeCell ref="C219:C220"/>
    <mergeCell ref="B223:B224"/>
    <mergeCell ref="B282:B283"/>
    <mergeCell ref="A221:A222"/>
    <mergeCell ref="A216:A217"/>
    <mergeCell ref="B141:B142"/>
    <mergeCell ref="A252:A253"/>
    <mergeCell ref="B185:B186"/>
    <mergeCell ref="B183:B184"/>
    <mergeCell ref="A261:A262"/>
    <mergeCell ref="B214:B215"/>
    <mergeCell ref="A177:A178"/>
    <mergeCell ref="B216:B217"/>
    <mergeCell ref="B235:B236"/>
    <mergeCell ref="C141:C142"/>
    <mergeCell ref="A225:A226"/>
    <mergeCell ref="A169:A170"/>
    <mergeCell ref="B175:B176"/>
    <mergeCell ref="C151:C152"/>
    <mergeCell ref="A199:A200"/>
    <mergeCell ref="A183:A184"/>
    <mergeCell ref="A282:A283"/>
    <mergeCell ref="A194:A195"/>
    <mergeCell ref="A238:A239"/>
    <mergeCell ref="B171:B172"/>
    <mergeCell ref="B196:B197"/>
    <mergeCell ref="A212:A213"/>
    <mergeCell ref="B240:B241"/>
    <mergeCell ref="C227:C228"/>
    <mergeCell ref="A131:A132"/>
    <mergeCell ref="A135:A136"/>
    <mergeCell ref="B133:B134"/>
    <mergeCell ref="H96:H97"/>
    <mergeCell ref="C78:C79"/>
    <mergeCell ref="C62:C63"/>
    <mergeCell ref="C57:C58"/>
    <mergeCell ref="C76:C77"/>
    <mergeCell ref="D117:D118"/>
    <mergeCell ref="A39:A40"/>
    <mergeCell ref="A43:A44"/>
    <mergeCell ref="B74:B75"/>
    <mergeCell ref="B91:B92"/>
    <mergeCell ref="B78:B79"/>
    <mergeCell ref="A51:A52"/>
    <mergeCell ref="A76:A77"/>
    <mergeCell ref="A103:A104"/>
    <mergeCell ref="A114:A115"/>
    <mergeCell ref="A80:A81"/>
    <mergeCell ref="C98:C99"/>
    <mergeCell ref="F62:F63"/>
    <mergeCell ref="C91:C92"/>
    <mergeCell ref="G57:G58"/>
    <mergeCell ref="G55:G56"/>
    <mergeCell ref="F87:F88"/>
    <mergeCell ref="F84:F85"/>
    <mergeCell ref="F91:F92"/>
    <mergeCell ref="D87:D88"/>
    <mergeCell ref="G39:G40"/>
    <mergeCell ref="H45:H46"/>
    <mergeCell ref="E41:E42"/>
    <mergeCell ref="A41:A42"/>
    <mergeCell ref="A117:A118"/>
    <mergeCell ref="D119:D120"/>
    <mergeCell ref="C129:C130"/>
    <mergeCell ref="E171:E172"/>
    <mergeCell ref="F96:F97"/>
    <mergeCell ref="E117:E118"/>
    <mergeCell ref="C139:C140"/>
    <mergeCell ref="E183:E184"/>
    <mergeCell ref="A129:A130"/>
    <mergeCell ref="D137:D138"/>
    <mergeCell ref="B165:B166"/>
    <mergeCell ref="C163:C164"/>
    <mergeCell ref="A143:A144"/>
    <mergeCell ref="G149:G150"/>
    <mergeCell ref="G185:G186"/>
    <mergeCell ref="G119:G120"/>
    <mergeCell ref="B114:B115"/>
    <mergeCell ref="C114:C115"/>
    <mergeCell ref="C119:C120"/>
    <mergeCell ref="C121:C122"/>
    <mergeCell ref="B147:B148"/>
    <mergeCell ref="E143:E144"/>
    <mergeCell ref="B129:B130"/>
    <mergeCell ref="B149:B150"/>
    <mergeCell ref="B139:B140"/>
    <mergeCell ref="C135:C136"/>
    <mergeCell ref="B143:B144"/>
    <mergeCell ref="A163:A164"/>
    <mergeCell ref="A139:A140"/>
    <mergeCell ref="C147:C148"/>
    <mergeCell ref="A137:A138"/>
    <mergeCell ref="D127:D128"/>
    <mergeCell ref="B125:B126"/>
    <mergeCell ref="B177:B178"/>
    <mergeCell ref="B199:B200"/>
    <mergeCell ref="B179:B180"/>
    <mergeCell ref="C167:C168"/>
    <mergeCell ref="E189:E190"/>
    <mergeCell ref="E131:E132"/>
    <mergeCell ref="B131:B132"/>
    <mergeCell ref="B135:B136"/>
    <mergeCell ref="D173:D174"/>
    <mergeCell ref="D179:D180"/>
    <mergeCell ref="E125:E126"/>
    <mergeCell ref="E212:E213"/>
    <mergeCell ref="D105:D106"/>
    <mergeCell ref="D216:D217"/>
    <mergeCell ref="E129:E130"/>
    <mergeCell ref="F141:F142"/>
    <mergeCell ref="B187:B188"/>
    <mergeCell ref="F114:F115"/>
    <mergeCell ref="C125:C126"/>
    <mergeCell ref="C177:C178"/>
    <mergeCell ref="D139:D140"/>
    <mergeCell ref="B137:B138"/>
    <mergeCell ref="B151:B152"/>
    <mergeCell ref="G199:G200"/>
    <mergeCell ref="F169:F170"/>
    <mergeCell ref="F173:F174"/>
    <mergeCell ref="C196:C197"/>
    <mergeCell ref="D183:D184"/>
    <mergeCell ref="G141:G142"/>
    <mergeCell ref="E94:E95"/>
    <mergeCell ref="E192:E193"/>
    <mergeCell ref="D147:D148"/>
    <mergeCell ref="E98:E99"/>
    <mergeCell ref="E137:E138"/>
    <mergeCell ref="C94:C95"/>
    <mergeCell ref="E135:E136"/>
    <mergeCell ref="C117:C118"/>
    <mergeCell ref="F219:F220"/>
    <mergeCell ref="F94:F95"/>
    <mergeCell ref="D94:D95"/>
    <mergeCell ref="F119:F120"/>
    <mergeCell ref="F101:F102"/>
    <mergeCell ref="D199:D200"/>
    <mergeCell ref="C173:C174"/>
    <mergeCell ref="C189:C190"/>
    <mergeCell ref="D131:D132"/>
    <mergeCell ref="C133:C134"/>
    <mergeCell ref="C212:C213"/>
    <mergeCell ref="C105:C106"/>
    <mergeCell ref="E127:E128"/>
    <mergeCell ref="C96:C97"/>
    <mergeCell ref="A298:X298"/>
    <mergeCell ref="J255:J256"/>
    <mergeCell ref="R216:R217"/>
    <mergeCell ref="G129:G130"/>
    <mergeCell ref="H238:H239"/>
    <mergeCell ref="F199:F200"/>
    <mergeCell ref="A127:A128"/>
    <mergeCell ref="A223:A224"/>
    <mergeCell ref="B289:B290"/>
    <mergeCell ref="A227:A228"/>
    <mergeCell ref="A149:A150"/>
    <mergeCell ref="F196:F197"/>
    <mergeCell ref="E139:E140"/>
    <mergeCell ref="E147:E148"/>
    <mergeCell ref="H225:H226"/>
    <mergeCell ref="F225:F226"/>
    <mergeCell ref="F149:F150"/>
    <mergeCell ref="F135:F136"/>
    <mergeCell ref="C169:C170"/>
    <mergeCell ref="C165:C166"/>
    <mergeCell ref="D194:D195"/>
    <mergeCell ref="C185:C186"/>
    <mergeCell ref="G133:G134"/>
    <mergeCell ref="F177:F178"/>
    <mergeCell ref="D175:D176"/>
    <mergeCell ref="D196:D197"/>
    <mergeCell ref="C199:C200"/>
    <mergeCell ref="C194:C195"/>
    <mergeCell ref="E225:E226"/>
    <mergeCell ref="D163:D164"/>
    <mergeCell ref="D169:D170"/>
    <mergeCell ref="F185:F186"/>
    <mergeCell ref="I196:I197"/>
    <mergeCell ref="F192:F193"/>
    <mergeCell ref="E163:E164"/>
    <mergeCell ref="E179:E180"/>
    <mergeCell ref="E169:E170"/>
    <mergeCell ref="F163:F164"/>
    <mergeCell ref="E194:E195"/>
    <mergeCell ref="L173:L174"/>
    <mergeCell ref="H135:H136"/>
    <mergeCell ref="N181:N182"/>
    <mergeCell ref="M175:M176"/>
    <mergeCell ref="D171:D172"/>
    <mergeCell ref="M177:M178"/>
    <mergeCell ref="N177:N178"/>
    <mergeCell ref="D165:D166"/>
    <mergeCell ref="G282:G283"/>
    <mergeCell ref="H175:H176"/>
    <mergeCell ref="H277:H278"/>
    <mergeCell ref="H282:H283"/>
    <mergeCell ref="H151:H152"/>
    <mergeCell ref="H167:H168"/>
    <mergeCell ref="H165:H166"/>
    <mergeCell ref="D255:D256"/>
    <mergeCell ref="G235:G236"/>
    <mergeCell ref="E199:E200"/>
    <mergeCell ref="F223:F224"/>
    <mergeCell ref="D219:D220"/>
    <mergeCell ref="D177:D178"/>
    <mergeCell ref="F137:F138"/>
    <mergeCell ref="F167:F168"/>
    <mergeCell ref="F139:F140"/>
    <mergeCell ref="G212:G213"/>
    <mergeCell ref="I216:I217"/>
    <mergeCell ref="I214:I215"/>
    <mergeCell ref="F194:F195"/>
    <mergeCell ref="H189:H190"/>
    <mergeCell ref="F183:F184"/>
    <mergeCell ref="G196:G197"/>
    <mergeCell ref="H199:H200"/>
    <mergeCell ref="F240:F241"/>
    <mergeCell ref="I233:I234"/>
    <mergeCell ref="J169:J170"/>
    <mergeCell ref="J167:J168"/>
    <mergeCell ref="F221:F222"/>
    <mergeCell ref="H240:H241"/>
    <mergeCell ref="G221:G222"/>
    <mergeCell ref="G187:G188"/>
    <mergeCell ref="G225:G226"/>
    <mergeCell ref="E167:E168"/>
    <mergeCell ref="I219:I220"/>
    <mergeCell ref="E223:E224"/>
    <mergeCell ref="E187:E188"/>
    <mergeCell ref="G183:G184"/>
    <mergeCell ref="H192:H193"/>
    <mergeCell ref="H194:H195"/>
    <mergeCell ref="I167:I168"/>
    <mergeCell ref="H181:H182"/>
    <mergeCell ref="J212:J213"/>
    <mergeCell ref="I212:I213"/>
    <mergeCell ref="I199:I200"/>
    <mergeCell ref="I194:I195"/>
    <mergeCell ref="H183:H184"/>
    <mergeCell ref="H187:H188"/>
    <mergeCell ref="H179:H180"/>
    <mergeCell ref="B343:B344"/>
    <mergeCell ref="B337:B338"/>
    <mergeCell ref="C335:C336"/>
    <mergeCell ref="A318:A319"/>
    <mergeCell ref="B374:B375"/>
    <mergeCell ref="C417:C418"/>
    <mergeCell ref="B277:B278"/>
    <mergeCell ref="C387:C388"/>
    <mergeCell ref="L316:L317"/>
    <mergeCell ref="D316:D317"/>
    <mergeCell ref="I316:I317"/>
    <mergeCell ref="E343:E344"/>
    <mergeCell ref="M312:M313"/>
    <mergeCell ref="G303:G304"/>
    <mergeCell ref="C303:C304"/>
    <mergeCell ref="D303:D304"/>
    <mergeCell ref="C282:C283"/>
    <mergeCell ref="C277:C278"/>
    <mergeCell ref="D312:D313"/>
    <mergeCell ref="D337:D338"/>
    <mergeCell ref="C347:C348"/>
    <mergeCell ref="C337:C338"/>
    <mergeCell ref="B358:B359"/>
    <mergeCell ref="B361:B362"/>
    <mergeCell ref="L303:L304"/>
    <mergeCell ref="J309:J310"/>
    <mergeCell ref="C289:C290"/>
    <mergeCell ref="C301:C302"/>
    <mergeCell ref="A345:X345"/>
    <mergeCell ref="B316:B317"/>
    <mergeCell ref="D318:D319"/>
    <mergeCell ref="B312:B313"/>
    <mergeCell ref="O440:O441"/>
    <mergeCell ref="G542:G544"/>
    <mergeCell ref="B644:B646"/>
    <mergeCell ref="L575:L587"/>
    <mergeCell ref="D588:D589"/>
    <mergeCell ref="C649:C650"/>
    <mergeCell ref="G575:G587"/>
    <mergeCell ref="N594:N597"/>
    <mergeCell ref="Q594:Q597"/>
    <mergeCell ref="P590:P593"/>
    <mergeCell ref="E635:E639"/>
    <mergeCell ref="N588:N589"/>
    <mergeCell ref="D598:D602"/>
    <mergeCell ref="E640:E641"/>
    <mergeCell ref="D644:D646"/>
    <mergeCell ref="M603:M606"/>
    <mergeCell ref="M598:M602"/>
    <mergeCell ref="M594:M597"/>
    <mergeCell ref="H642:H643"/>
    <mergeCell ref="H644:H646"/>
    <mergeCell ref="C635:C639"/>
    <mergeCell ref="C644:C646"/>
    <mergeCell ref="G610:G619"/>
    <mergeCell ref="O603:O606"/>
    <mergeCell ref="G640:G641"/>
    <mergeCell ref="C610:C619"/>
    <mergeCell ref="D607:D609"/>
    <mergeCell ref="E603:E606"/>
    <mergeCell ref="C456:C460"/>
    <mergeCell ref="N642:N643"/>
    <mergeCell ref="K642:K643"/>
    <mergeCell ref="F442:F443"/>
    <mergeCell ref="K305:K306"/>
    <mergeCell ref="L289:L290"/>
    <mergeCell ref="E427:E428"/>
    <mergeCell ref="F471:F472"/>
    <mergeCell ref="E498:E499"/>
    <mergeCell ref="L475:L476"/>
    <mergeCell ref="H532:H533"/>
    <mergeCell ref="F535:F536"/>
    <mergeCell ref="F532:F533"/>
    <mergeCell ref="N505:P505"/>
    <mergeCell ref="C498:C499"/>
    <mergeCell ref="C642:C643"/>
    <mergeCell ref="E535:E536"/>
    <mergeCell ref="A527:X527"/>
    <mergeCell ref="X542:X543"/>
    <mergeCell ref="N491:N494"/>
    <mergeCell ref="F419:F420"/>
    <mergeCell ref="M417:M418"/>
    <mergeCell ref="W564:W565"/>
    <mergeCell ref="M561:M562"/>
    <mergeCell ref="H540:H541"/>
    <mergeCell ref="H588:H589"/>
    <mergeCell ref="Q289:Q290"/>
    <mergeCell ref="M535:M536"/>
    <mergeCell ref="L561:L562"/>
    <mergeCell ref="J546:J547"/>
    <mergeCell ref="G530:G531"/>
    <mergeCell ref="E540:E541"/>
    <mergeCell ref="K540:K541"/>
    <mergeCell ref="M498:M499"/>
    <mergeCell ref="D471:D472"/>
    <mergeCell ref="M546:M547"/>
    <mergeCell ref="H41:H42"/>
    <mergeCell ref="F18:F19"/>
    <mergeCell ref="F27:F28"/>
    <mergeCell ref="C361:C362"/>
    <mergeCell ref="F387:F388"/>
    <mergeCell ref="G223:G224"/>
    <mergeCell ref="E165:E166"/>
    <mergeCell ref="G240:G241"/>
    <mergeCell ref="F216:F217"/>
    <mergeCell ref="E238:E239"/>
    <mergeCell ref="F214:F215"/>
    <mergeCell ref="F233:F234"/>
    <mergeCell ref="D167:D168"/>
    <mergeCell ref="G91:G92"/>
    <mergeCell ref="H119:H120"/>
    <mergeCell ref="G114:G115"/>
    <mergeCell ref="E114:E115"/>
    <mergeCell ref="F117:F118"/>
    <mergeCell ref="F127:F128"/>
    <mergeCell ref="F303:F304"/>
    <mergeCell ref="E175:E176"/>
    <mergeCell ref="H101:H102"/>
    <mergeCell ref="H98:H99"/>
    <mergeCell ref="E105:E106"/>
    <mergeCell ref="E101:E102"/>
    <mergeCell ref="D114:D115"/>
    <mergeCell ref="H103:H104"/>
    <mergeCell ref="H114:H115"/>
    <mergeCell ref="D129:D130"/>
    <mergeCell ref="F187:F188"/>
    <mergeCell ref="E196:E197"/>
    <mergeCell ref="D133:D134"/>
    <mergeCell ref="E43:E44"/>
    <mergeCell ref="G59:G60"/>
    <mergeCell ref="H82:H83"/>
    <mergeCell ref="F6:F7"/>
    <mergeCell ref="F45:F46"/>
    <mergeCell ref="G6:G7"/>
    <mergeCell ref="G8:G9"/>
    <mergeCell ref="G10:G11"/>
    <mergeCell ref="H53:H54"/>
    <mergeCell ref="F10:F11"/>
    <mergeCell ref="F12:F13"/>
    <mergeCell ref="H10:H11"/>
    <mergeCell ref="H12:H13"/>
    <mergeCell ref="H14:H15"/>
    <mergeCell ref="H27:H28"/>
    <mergeCell ref="G53:G54"/>
    <mergeCell ref="H37:H38"/>
    <mergeCell ref="H55:H56"/>
    <mergeCell ref="F37:F38"/>
    <mergeCell ref="G47:G48"/>
    <mergeCell ref="H18:H19"/>
    <mergeCell ref="G41:G42"/>
    <mergeCell ref="F20:F21"/>
    <mergeCell ref="F22:F23"/>
    <mergeCell ref="H8:H9"/>
    <mergeCell ref="F8:F9"/>
    <mergeCell ref="F43:F44"/>
    <mergeCell ref="G20:G21"/>
    <mergeCell ref="H16:H17"/>
    <mergeCell ref="G22:G23"/>
    <mergeCell ref="G14:G15"/>
    <mergeCell ref="F41:F42"/>
    <mergeCell ref="G1105:G1107"/>
    <mergeCell ref="G1110:G1111"/>
    <mergeCell ref="G1022:G1026"/>
    <mergeCell ref="G1090:G1093"/>
    <mergeCell ref="E590:E593"/>
    <mergeCell ref="E316:E317"/>
    <mergeCell ref="G387:G388"/>
    <mergeCell ref="G358:G359"/>
    <mergeCell ref="E1015:E1018"/>
    <mergeCell ref="G233:G234"/>
    <mergeCell ref="G238:G239"/>
    <mergeCell ref="F235:F236"/>
    <mergeCell ref="E233:E234"/>
    <mergeCell ref="E214:E215"/>
    <mergeCell ref="E219:E220"/>
    <mergeCell ref="F301:F302"/>
    <mergeCell ref="A208:X208"/>
    <mergeCell ref="I442:I443"/>
    <mergeCell ref="A477:X477"/>
    <mergeCell ref="D396:D397"/>
    <mergeCell ref="X458:X460"/>
    <mergeCell ref="A271:X271"/>
    <mergeCell ref="M309:M310"/>
    <mergeCell ref="A305:A306"/>
    <mergeCell ref="C561:C562"/>
    <mergeCell ref="Q343:Q344"/>
    <mergeCell ref="X461:X465"/>
    <mergeCell ref="E575:E587"/>
    <mergeCell ref="C478:C479"/>
    <mergeCell ref="C318:C319"/>
    <mergeCell ref="E305:E306"/>
    <mergeCell ref="E282:E283"/>
    <mergeCell ref="F14:F15"/>
    <mergeCell ref="H22:H23"/>
    <mergeCell ref="G16:G17"/>
    <mergeCell ref="E59:E60"/>
    <mergeCell ref="E39:E40"/>
    <mergeCell ref="G51:G52"/>
    <mergeCell ref="E22:E23"/>
    <mergeCell ref="E20:E21"/>
    <mergeCell ref="F16:F17"/>
    <mergeCell ref="H39:H40"/>
    <mergeCell ref="H125:H126"/>
    <mergeCell ref="G18:G19"/>
    <mergeCell ref="E80:E81"/>
    <mergeCell ref="E82:E83"/>
    <mergeCell ref="G37:G38"/>
    <mergeCell ref="H51:H52"/>
    <mergeCell ref="H49:H50"/>
    <mergeCell ref="F49:F50"/>
    <mergeCell ref="F76:F77"/>
    <mergeCell ref="F105:F106"/>
    <mergeCell ref="H47:H48"/>
    <mergeCell ref="F47:F48"/>
    <mergeCell ref="E45:E46"/>
    <mergeCell ref="G78:G79"/>
    <mergeCell ref="E27:E28"/>
    <mergeCell ref="E37:E38"/>
    <mergeCell ref="F82:F83"/>
    <mergeCell ref="H74:H75"/>
    <mergeCell ref="H59:H60"/>
    <mergeCell ref="G74:G75"/>
    <mergeCell ref="G27:G28"/>
    <mergeCell ref="F55:F56"/>
    <mergeCell ref="G45:G46"/>
    <mergeCell ref="G43:G44"/>
    <mergeCell ref="E78:E79"/>
    <mergeCell ref="F57:F58"/>
    <mergeCell ref="X852:X856"/>
    <mergeCell ref="S867:S868"/>
    <mergeCell ref="G869:G870"/>
    <mergeCell ref="H867:H868"/>
    <mergeCell ref="V852:V856"/>
    <mergeCell ref="U904:U905"/>
    <mergeCell ref="V899:V900"/>
    <mergeCell ref="V950:V959"/>
    <mergeCell ref="V939:V948"/>
    <mergeCell ref="C55:C56"/>
    <mergeCell ref="F252:F253"/>
    <mergeCell ref="M305:M306"/>
    <mergeCell ref="J303:J304"/>
    <mergeCell ref="J301:J302"/>
    <mergeCell ref="T277:T278"/>
    <mergeCell ref="Q282:Q283"/>
    <mergeCell ref="T103:T104"/>
    <mergeCell ref="T76:T77"/>
    <mergeCell ref="P119:P120"/>
    <mergeCell ref="N165:N166"/>
    <mergeCell ref="U181:U182"/>
    <mergeCell ref="W575:W585"/>
    <mergeCell ref="V566:V568"/>
    <mergeCell ref="H635:H639"/>
    <mergeCell ref="E564:E568"/>
    <mergeCell ref="E495:E497"/>
    <mergeCell ref="F51:F52"/>
    <mergeCell ref="F53:F54"/>
    <mergeCell ref="B640:B641"/>
    <mergeCell ref="B635:B639"/>
    <mergeCell ref="C607:C609"/>
    <mergeCell ref="D653:D658"/>
    <mergeCell ref="C603:C606"/>
    <mergeCell ref="B668:B671"/>
    <mergeCell ref="E588:E589"/>
    <mergeCell ref="E594:E597"/>
    <mergeCell ref="C564:C568"/>
    <mergeCell ref="G361:G362"/>
    <mergeCell ref="G101:G102"/>
    <mergeCell ref="G87:G88"/>
    <mergeCell ref="D223:D224"/>
    <mergeCell ref="F74:F75"/>
    <mergeCell ref="F540:F541"/>
    <mergeCell ref="B252:B253"/>
    <mergeCell ref="E89:E90"/>
    <mergeCell ref="G177:G178"/>
    <mergeCell ref="F179:F180"/>
    <mergeCell ref="B427:B428"/>
    <mergeCell ref="B419:B420"/>
    <mergeCell ref="D125:D126"/>
    <mergeCell ref="E133:E134"/>
    <mergeCell ref="C131:C132"/>
    <mergeCell ref="C127:C128"/>
    <mergeCell ref="D659:D666"/>
    <mergeCell ref="D668:D671"/>
    <mergeCell ref="D532:D533"/>
    <mergeCell ref="C590:C593"/>
    <mergeCell ref="C594:C597"/>
    <mergeCell ref="E532:E533"/>
    <mergeCell ref="C575:C587"/>
    <mergeCell ref="H1114:H1115"/>
    <mergeCell ref="I1114:I1115"/>
    <mergeCell ref="H1105:H1107"/>
    <mergeCell ref="H1110:H1111"/>
    <mergeCell ref="I867:I868"/>
    <mergeCell ref="I852:I861"/>
    <mergeCell ref="C1058:C1061"/>
    <mergeCell ref="E1053:E1054"/>
    <mergeCell ref="G882:G883"/>
    <mergeCell ref="C1030:C1032"/>
    <mergeCell ref="G1094:G1095"/>
    <mergeCell ref="G1073:G1075"/>
    <mergeCell ref="G1064:G1065"/>
    <mergeCell ref="E1058:E1061"/>
    <mergeCell ref="G1056:G1057"/>
    <mergeCell ref="E1097:E1101"/>
    <mergeCell ref="H970:H971"/>
    <mergeCell ref="H1027:H1029"/>
    <mergeCell ref="H1015:H1018"/>
    <mergeCell ref="C1105:C1107"/>
    <mergeCell ref="C1110:C1111"/>
    <mergeCell ref="H899:H901"/>
    <mergeCell ref="E869:E870"/>
    <mergeCell ref="G1114:G1115"/>
    <mergeCell ref="H1102:H1104"/>
    <mergeCell ref="I1110:I1111"/>
    <mergeCell ref="C891:C892"/>
    <mergeCell ref="C893:C894"/>
    <mergeCell ref="I1105:I1107"/>
    <mergeCell ref="I906:I908"/>
    <mergeCell ref="I1073:I1075"/>
    <mergeCell ref="I980:I981"/>
    <mergeCell ref="I1090:I1093"/>
    <mergeCell ref="I904:I905"/>
    <mergeCell ref="H1068:H1070"/>
    <mergeCell ref="H594:H597"/>
    <mergeCell ref="A249:X249"/>
    <mergeCell ref="T240:T241"/>
    <mergeCell ref="M590:M593"/>
    <mergeCell ref="M635:M639"/>
    <mergeCell ref="W1058:W1061"/>
    <mergeCell ref="W1056:W1057"/>
    <mergeCell ref="W1053:W1054"/>
    <mergeCell ref="U1015:U1018"/>
    <mergeCell ref="T1027:T1029"/>
    <mergeCell ref="I1015:I1018"/>
    <mergeCell ref="W1073:W1075"/>
    <mergeCell ref="W1090:W1093"/>
    <mergeCell ref="B347:B348"/>
    <mergeCell ref="B456:B460"/>
    <mergeCell ref="B442:B443"/>
    <mergeCell ref="B588:B589"/>
    <mergeCell ref="B546:B547"/>
    <mergeCell ref="B659:B666"/>
    <mergeCell ref="S882:S883"/>
    <mergeCell ref="Q878:Q881"/>
    <mergeCell ref="T871:T877"/>
    <mergeCell ref="X970:X971"/>
    <mergeCell ref="U911:U912"/>
    <mergeCell ref="I1022:I1026"/>
    <mergeCell ref="I893:I894"/>
    <mergeCell ref="I897:I898"/>
    <mergeCell ref="I869:I870"/>
    <mergeCell ref="I1064:I1065"/>
    <mergeCell ref="I1058:I1061"/>
    <mergeCell ref="I1056:I1057"/>
    <mergeCell ref="I1066:I1067"/>
    <mergeCell ref="I1068:I1070"/>
    <mergeCell ref="I1053:I1054"/>
    <mergeCell ref="T911:T912"/>
    <mergeCell ref="O899:O901"/>
    <mergeCell ref="O904:O905"/>
    <mergeCell ref="N899:N901"/>
    <mergeCell ref="T523:T524"/>
    <mergeCell ref="P498:P499"/>
    <mergeCell ref="M540:M541"/>
    <mergeCell ref="S564:S568"/>
    <mergeCell ref="T852:T861"/>
    <mergeCell ref="Q852:Q861"/>
    <mergeCell ref="J950:J959"/>
    <mergeCell ref="O893:O894"/>
    <mergeCell ref="T546:T547"/>
    <mergeCell ref="M610:M619"/>
    <mergeCell ref="M588:M589"/>
    <mergeCell ref="T561:T562"/>
    <mergeCell ref="T530:T531"/>
    <mergeCell ref="T498:T499"/>
    <mergeCell ref="T731:T732"/>
    <mergeCell ref="S837:S840"/>
    <mergeCell ref="T998:T1000"/>
    <mergeCell ref="T992:T996"/>
    <mergeCell ref="N822:N827"/>
    <mergeCell ref="L759:L760"/>
    <mergeCell ref="N773:P773"/>
    <mergeCell ref="N939:N948"/>
    <mergeCell ref="N893:N894"/>
    <mergeCell ref="V1097:V1101"/>
    <mergeCell ref="V1090:V1093"/>
    <mergeCell ref="V1102:V1104"/>
    <mergeCell ref="S14:S15"/>
    <mergeCell ref="S20:S21"/>
    <mergeCell ref="S22:S23"/>
    <mergeCell ref="U87:U88"/>
    <mergeCell ref="U27:U28"/>
    <mergeCell ref="U20:U21"/>
    <mergeCell ref="U55:U56"/>
    <mergeCell ref="T216:T217"/>
    <mergeCell ref="U147:U148"/>
    <mergeCell ref="T192:T193"/>
    <mergeCell ref="U117:U118"/>
    <mergeCell ref="U129:U130"/>
    <mergeCell ref="T137:T138"/>
    <mergeCell ref="U177:U178"/>
    <mergeCell ref="S192:S193"/>
    <mergeCell ref="U165:U166"/>
    <mergeCell ref="U173:U174"/>
    <mergeCell ref="T183:T184"/>
    <mergeCell ref="S216:S217"/>
    <mergeCell ref="S183:S184"/>
    <mergeCell ref="S187:S188"/>
    <mergeCell ref="U16:U17"/>
    <mergeCell ref="U18:U19"/>
    <mergeCell ref="T20:T21"/>
    <mergeCell ref="U891:U892"/>
    <mergeCell ref="U84:U85"/>
    <mergeCell ref="T432:T433"/>
    <mergeCell ref="U427:U428"/>
    <mergeCell ref="U478:U479"/>
    <mergeCell ref="T8:T9"/>
    <mergeCell ref="S12:S13"/>
    <mergeCell ref="X53:X54"/>
    <mergeCell ref="T57:T58"/>
    <mergeCell ref="B1027:B1029"/>
    <mergeCell ref="B1015:B1018"/>
    <mergeCell ref="H846:H848"/>
    <mergeCell ref="H702:H704"/>
    <mergeCell ref="H764:H765"/>
    <mergeCell ref="H885:H887"/>
    <mergeCell ref="H603:H606"/>
    <mergeCell ref="E607:E609"/>
    <mergeCell ref="G697:G698"/>
    <mergeCell ref="G743:G750"/>
    <mergeCell ref="G649:G650"/>
    <mergeCell ref="G909:G910"/>
    <mergeCell ref="F810:F811"/>
    <mergeCell ref="G810:G811"/>
    <mergeCell ref="F640:F641"/>
    <mergeCell ref="H716:H718"/>
    <mergeCell ref="O89:O90"/>
    <mergeCell ref="R177:R178"/>
    <mergeCell ref="U119:U120"/>
    <mergeCell ref="U114:U115"/>
    <mergeCell ref="U98:U99"/>
    <mergeCell ref="L114:L115"/>
    <mergeCell ref="O177:O178"/>
    <mergeCell ref="H84:H85"/>
    <mergeCell ref="H992:H996"/>
    <mergeCell ref="H982:H991"/>
    <mergeCell ref="J139:J140"/>
    <mergeCell ref="O107:P107"/>
    <mergeCell ref="W4:W5"/>
    <mergeCell ref="X4:X5"/>
    <mergeCell ref="S62:S63"/>
    <mergeCell ref="T10:T11"/>
    <mergeCell ref="T37:T38"/>
    <mergeCell ref="T53:T54"/>
    <mergeCell ref="T45:T46"/>
    <mergeCell ref="T43:T44"/>
    <mergeCell ref="S51:S52"/>
    <mergeCell ref="T27:T28"/>
    <mergeCell ref="S55:S56"/>
    <mergeCell ref="T16:T17"/>
    <mergeCell ref="T22:T23"/>
    <mergeCell ref="S39:S40"/>
    <mergeCell ref="T18:T19"/>
    <mergeCell ref="S59:S60"/>
    <mergeCell ref="T14:T15"/>
    <mergeCell ref="T55:T56"/>
    <mergeCell ref="T12:T13"/>
    <mergeCell ref="T4:T5"/>
    <mergeCell ref="T6:T7"/>
    <mergeCell ref="U8:U9"/>
    <mergeCell ref="S6:S7"/>
    <mergeCell ref="S10:S11"/>
    <mergeCell ref="S57:S58"/>
    <mergeCell ref="S16:S17"/>
    <mergeCell ref="U53:U54"/>
    <mergeCell ref="U49:U50"/>
    <mergeCell ref="U22:U23"/>
    <mergeCell ref="U62:U63"/>
    <mergeCell ref="U12:U13"/>
    <mergeCell ref="U41:U42"/>
    <mergeCell ref="A57:A58"/>
    <mergeCell ref="B49:B50"/>
    <mergeCell ref="B80:B81"/>
    <mergeCell ref="C74:C75"/>
    <mergeCell ref="T62:T63"/>
    <mergeCell ref="T82:T83"/>
    <mergeCell ref="U105:U106"/>
    <mergeCell ref="T147:T148"/>
    <mergeCell ref="F181:F182"/>
    <mergeCell ref="S101:S102"/>
    <mergeCell ref="S141:S142"/>
    <mergeCell ref="S119:S120"/>
    <mergeCell ref="H141:H142"/>
    <mergeCell ref="T133:T134"/>
    <mergeCell ref="S117:S118"/>
    <mergeCell ref="F78:F79"/>
    <mergeCell ref="H57:H58"/>
    <mergeCell ref="M171:M172"/>
    <mergeCell ref="C175:C176"/>
    <mergeCell ref="C137:C138"/>
    <mergeCell ref="C181:C182"/>
    <mergeCell ref="G165:G166"/>
    <mergeCell ref="G135:G136"/>
    <mergeCell ref="A59:A60"/>
    <mergeCell ref="A62:A63"/>
    <mergeCell ref="A78:A79"/>
    <mergeCell ref="O74:O75"/>
    <mergeCell ref="T74:T75"/>
    <mergeCell ref="P76:P77"/>
    <mergeCell ref="T49:T50"/>
    <mergeCell ref="G179:G180"/>
    <mergeCell ref="H177:H178"/>
    <mergeCell ref="H475:H476"/>
    <mergeCell ref="O535:O536"/>
    <mergeCell ref="H546:H547"/>
    <mergeCell ref="H561:H562"/>
    <mergeCell ref="M542:M544"/>
    <mergeCell ref="K532:K533"/>
    <mergeCell ref="L478:L479"/>
    <mergeCell ref="H491:H494"/>
    <mergeCell ref="C588:C589"/>
    <mergeCell ref="D546:D547"/>
    <mergeCell ref="D491:D494"/>
    <mergeCell ref="G594:G597"/>
    <mergeCell ref="D635:D639"/>
    <mergeCell ref="I598:I602"/>
    <mergeCell ref="G603:G606"/>
    <mergeCell ref="H607:H609"/>
    <mergeCell ref="H498:H499"/>
    <mergeCell ref="I491:I494"/>
    <mergeCell ref="M564:M568"/>
    <mergeCell ref="J635:J639"/>
    <mergeCell ref="I594:I597"/>
    <mergeCell ref="L546:L547"/>
    <mergeCell ref="L588:L589"/>
    <mergeCell ref="O540:O541"/>
    <mergeCell ref="E561:E562"/>
    <mergeCell ref="I532:I533"/>
    <mergeCell ref="F530:F531"/>
    <mergeCell ref="X1015:X1018"/>
    <mergeCell ref="X992:X996"/>
    <mergeCell ref="X899:X900"/>
    <mergeCell ref="B909:B910"/>
    <mergeCell ref="G972:G979"/>
    <mergeCell ref="A852:A861"/>
    <mergeCell ref="R998:R1000"/>
    <mergeCell ref="H844:H845"/>
    <mergeCell ref="G1019:G1020"/>
    <mergeCell ref="C849:C850"/>
    <mergeCell ref="C846:C848"/>
    <mergeCell ref="C1015:C1018"/>
    <mergeCell ref="B852:B861"/>
    <mergeCell ref="C741:C742"/>
    <mergeCell ref="V656:V658"/>
    <mergeCell ref="V575:V585"/>
    <mergeCell ref="V615:V619"/>
    <mergeCell ref="D575:D587"/>
    <mergeCell ref="U644:U646"/>
    <mergeCell ref="G902:G903"/>
    <mergeCell ref="G800:G801"/>
    <mergeCell ref="C970:C971"/>
    <mergeCell ref="D992:D996"/>
    <mergeCell ref="D911:D912"/>
    <mergeCell ref="D862:D864"/>
    <mergeCell ref="G982:G991"/>
    <mergeCell ref="H882:H883"/>
    <mergeCell ref="E610:E619"/>
    <mergeCell ref="G635:G639"/>
    <mergeCell ref="G607:G609"/>
    <mergeCell ref="E642:E643"/>
    <mergeCell ref="C738:C740"/>
    <mergeCell ref="E702:E704"/>
    <mergeCell ref="B751:B752"/>
    <mergeCell ref="B762:B763"/>
    <mergeCell ref="V837:V838"/>
    <mergeCell ref="H768:H769"/>
    <mergeCell ref="H816:H821"/>
    <mergeCell ref="E852:E861"/>
    <mergeCell ref="B794:B796"/>
    <mergeCell ref="E812:E813"/>
    <mergeCell ref="R800:R801"/>
    <mergeCell ref="V819:V821"/>
    <mergeCell ref="F700:F701"/>
    <mergeCell ref="M741:M742"/>
    <mergeCell ref="M738:M740"/>
    <mergeCell ref="B702:B704"/>
    <mergeCell ref="C697:C698"/>
    <mergeCell ref="B697:B698"/>
    <mergeCell ref="B822:B827"/>
    <mergeCell ref="B846:B848"/>
    <mergeCell ref="C822:C827"/>
    <mergeCell ref="E762:E763"/>
    <mergeCell ref="N802:N803"/>
    <mergeCell ref="S764:S765"/>
    <mergeCell ref="S768:S769"/>
    <mergeCell ref="T768:T769"/>
    <mergeCell ref="T800:T801"/>
    <mergeCell ref="T766:T767"/>
    <mergeCell ref="V857:V861"/>
    <mergeCell ref="S8:S9"/>
    <mergeCell ref="T199:T200"/>
    <mergeCell ref="T285:T286"/>
    <mergeCell ref="T495:T497"/>
    <mergeCell ref="F842:F843"/>
    <mergeCell ref="C800:C801"/>
    <mergeCell ref="C702:C704"/>
    <mergeCell ref="C764:C765"/>
    <mergeCell ref="C710:C713"/>
    <mergeCell ref="C716:C718"/>
    <mergeCell ref="S766:S767"/>
    <mergeCell ref="Q653:Q658"/>
    <mergeCell ref="Q759:Q760"/>
    <mergeCell ref="S738:S740"/>
    <mergeCell ref="S561:S562"/>
    <mergeCell ref="S590:S593"/>
    <mergeCell ref="R810:R811"/>
    <mergeCell ref="S498:S499"/>
    <mergeCell ref="I822:I827"/>
    <mergeCell ref="H812:H813"/>
    <mergeCell ref="D822:D827"/>
    <mergeCell ref="E598:E602"/>
    <mergeCell ref="C653:C658"/>
    <mergeCell ref="H668:H671"/>
    <mergeCell ref="E12:E13"/>
    <mergeCell ref="E53:E54"/>
    <mergeCell ref="E84:E85"/>
    <mergeCell ref="C309:C310"/>
    <mergeCell ref="C791:C792"/>
    <mergeCell ref="E751:E752"/>
    <mergeCell ref="E810:E811"/>
    <mergeCell ref="C759:C760"/>
    <mergeCell ref="C1114:C1115"/>
    <mergeCell ref="B189:B190"/>
    <mergeCell ref="C909:C910"/>
    <mergeCell ref="C842:C843"/>
    <mergeCell ref="E1050:E1052"/>
    <mergeCell ref="F757:F758"/>
    <mergeCell ref="F904:F905"/>
    <mergeCell ref="F751:F752"/>
    <mergeCell ref="F867:F868"/>
    <mergeCell ref="D1114:D1115"/>
    <mergeCell ref="B653:B658"/>
    <mergeCell ref="B759:B760"/>
    <mergeCell ref="B891:B892"/>
    <mergeCell ref="B939:B948"/>
    <mergeCell ref="B906:B908"/>
    <mergeCell ref="B902:B903"/>
    <mergeCell ref="B899:B901"/>
    <mergeCell ref="B897:B898"/>
    <mergeCell ref="B911:B912"/>
    <mergeCell ref="C1053:C1054"/>
    <mergeCell ref="B741:B742"/>
    <mergeCell ref="B768:B769"/>
    <mergeCell ref="B837:B840"/>
    <mergeCell ref="B757:B758"/>
    <mergeCell ref="B753:B756"/>
    <mergeCell ref="A836:X836"/>
    <mergeCell ref="S810:S811"/>
    <mergeCell ref="R757:R758"/>
    <mergeCell ref="C743:C750"/>
    <mergeCell ref="C757:C758"/>
    <mergeCell ref="C798:C799"/>
    <mergeCell ref="C865:C866"/>
    <mergeCell ref="B764:B765"/>
    <mergeCell ref="C766:C767"/>
    <mergeCell ref="G766:G767"/>
    <mergeCell ref="C804:C809"/>
    <mergeCell ref="C762:C763"/>
    <mergeCell ref="B804:B809"/>
    <mergeCell ref="B766:B767"/>
    <mergeCell ref="B862:B864"/>
    <mergeCell ref="T702:T704"/>
    <mergeCell ref="U649:U650"/>
    <mergeCell ref="P697:P698"/>
    <mergeCell ref="T743:T750"/>
    <mergeCell ref="S700:S701"/>
    <mergeCell ref="U716:U718"/>
    <mergeCell ref="M707:M709"/>
    <mergeCell ref="U743:U750"/>
    <mergeCell ref="M751:M752"/>
    <mergeCell ref="D649:D650"/>
    <mergeCell ref="D707:D709"/>
    <mergeCell ref="M697:M698"/>
    <mergeCell ref="E743:E750"/>
    <mergeCell ref="H649:H650"/>
    <mergeCell ref="M668:M671"/>
    <mergeCell ref="J710:J713"/>
    <mergeCell ref="K710:K713"/>
    <mergeCell ref="B812:B813"/>
    <mergeCell ref="C751:C752"/>
    <mergeCell ref="C707:C709"/>
    <mergeCell ref="U653:U658"/>
    <mergeCell ref="C816:C821"/>
    <mergeCell ref="C837:C840"/>
    <mergeCell ref="B798:B799"/>
    <mergeCell ref="B800:B801"/>
    <mergeCell ref="B802:B803"/>
    <mergeCell ref="H759:H760"/>
    <mergeCell ref="F546:F547"/>
    <mergeCell ref="A91:A92"/>
    <mergeCell ref="B82:B83"/>
    <mergeCell ref="B84:B85"/>
    <mergeCell ref="B127:B128"/>
    <mergeCell ref="A133:A134"/>
    <mergeCell ref="A82:A83"/>
    <mergeCell ref="A452:X452"/>
    <mergeCell ref="T478:T479"/>
    <mergeCell ref="C530:C531"/>
    <mergeCell ref="C143:C144"/>
    <mergeCell ref="U133:U134"/>
    <mergeCell ref="U89:U90"/>
    <mergeCell ref="B121:B122"/>
    <mergeCell ref="A121:A122"/>
    <mergeCell ref="H91:H92"/>
    <mergeCell ref="G103:G104"/>
    <mergeCell ref="G89:G90"/>
    <mergeCell ref="H121:H122"/>
    <mergeCell ref="P94:P95"/>
    <mergeCell ref="F131:F132"/>
    <mergeCell ref="C149:C150"/>
    <mergeCell ref="D135:D136"/>
    <mergeCell ref="A89:A90"/>
    <mergeCell ref="F171:F172"/>
    <mergeCell ref="F125:F126"/>
    <mergeCell ref="U183:U184"/>
    <mergeCell ref="H235:H236"/>
    <mergeCell ref="H223:H224"/>
    <mergeCell ref="C810:C811"/>
    <mergeCell ref="R768:R769"/>
    <mergeCell ref="D804:D809"/>
    <mergeCell ref="D791:D792"/>
    <mergeCell ref="B41:B42"/>
    <mergeCell ref="F89:F90"/>
    <mergeCell ref="B20:B21"/>
    <mergeCell ref="B12:B13"/>
    <mergeCell ref="B47:B48"/>
    <mergeCell ref="A125:A126"/>
    <mergeCell ref="D89:D90"/>
    <mergeCell ref="D45:D46"/>
    <mergeCell ref="F39:F40"/>
    <mergeCell ref="B194:B195"/>
    <mergeCell ref="C20:C21"/>
    <mergeCell ref="C47:C48"/>
    <mergeCell ref="B89:B90"/>
    <mergeCell ref="B96:B97"/>
    <mergeCell ref="E62:E63"/>
    <mergeCell ref="A37:A38"/>
    <mergeCell ref="B98:B99"/>
    <mergeCell ref="A84:A85"/>
    <mergeCell ref="A100:X100"/>
    <mergeCell ref="D39:D40"/>
    <mergeCell ref="U82:U83"/>
    <mergeCell ref="U76:U77"/>
    <mergeCell ref="U80:U81"/>
    <mergeCell ref="M89:M90"/>
    <mergeCell ref="L89:L90"/>
    <mergeCell ref="C89:C90"/>
    <mergeCell ref="A45:A46"/>
    <mergeCell ref="H20:H21"/>
    <mergeCell ref="E10:E11"/>
    <mergeCell ref="D121:D122"/>
    <mergeCell ref="A55:A56"/>
    <mergeCell ref="B94:B95"/>
    <mergeCell ref="B119:B120"/>
    <mergeCell ref="B101:B102"/>
    <mergeCell ref="B105:B106"/>
    <mergeCell ref="G169:G170"/>
    <mergeCell ref="G175:G176"/>
    <mergeCell ref="E177:E178"/>
    <mergeCell ref="F189:F190"/>
    <mergeCell ref="A198:X198"/>
    <mergeCell ref="X18:X19"/>
    <mergeCell ref="S74:S75"/>
    <mergeCell ref="S49:S50"/>
    <mergeCell ref="E55:E56"/>
    <mergeCell ref="E47:E48"/>
    <mergeCell ref="S27:S28"/>
    <mergeCell ref="E51:E52"/>
    <mergeCell ref="G62:G63"/>
    <mergeCell ref="G12:G13"/>
    <mergeCell ref="S18:S19"/>
    <mergeCell ref="B117:B118"/>
    <mergeCell ref="B87:B88"/>
    <mergeCell ref="D43:D44"/>
    <mergeCell ref="C59:C60"/>
    <mergeCell ref="D18:D19"/>
    <mergeCell ref="C84:C85"/>
    <mergeCell ref="A87:A88"/>
    <mergeCell ref="D101:D102"/>
    <mergeCell ref="D103:D104"/>
    <mergeCell ref="E18:E19"/>
    <mergeCell ref="D6:D7"/>
    <mergeCell ref="D41:D42"/>
    <mergeCell ref="B53:B54"/>
    <mergeCell ref="B43:B44"/>
    <mergeCell ref="D8:D9"/>
    <mergeCell ref="D37:D38"/>
    <mergeCell ref="D62:D63"/>
    <mergeCell ref="D51:D52"/>
    <mergeCell ref="D47:D48"/>
    <mergeCell ref="D53:D54"/>
    <mergeCell ref="D55:D56"/>
    <mergeCell ref="D59:D60"/>
    <mergeCell ref="D22:D23"/>
    <mergeCell ref="D57:D58"/>
    <mergeCell ref="D20:D21"/>
    <mergeCell ref="D49:D50"/>
    <mergeCell ref="D16:D17"/>
    <mergeCell ref="C8:C9"/>
    <mergeCell ref="B18:B19"/>
    <mergeCell ref="C39:C40"/>
    <mergeCell ref="D14:D15"/>
    <mergeCell ref="D10:D11"/>
    <mergeCell ref="C12:C13"/>
    <mergeCell ref="C16:C17"/>
    <mergeCell ref="B45:B46"/>
    <mergeCell ref="B55:B56"/>
    <mergeCell ref="D27:D28"/>
    <mergeCell ref="B37:B38"/>
    <mergeCell ref="B14:B15"/>
    <mergeCell ref="B16:B17"/>
    <mergeCell ref="C14:C15"/>
    <mergeCell ref="C18:C19"/>
    <mergeCell ref="E8:E9"/>
    <mergeCell ref="E16:E17"/>
    <mergeCell ref="B8:B9"/>
    <mergeCell ref="B10:B11"/>
    <mergeCell ref="A47:A48"/>
    <mergeCell ref="A53:A54"/>
    <mergeCell ref="C53:C54"/>
    <mergeCell ref="C49:C50"/>
    <mergeCell ref="B57:B58"/>
    <mergeCell ref="B51:B52"/>
    <mergeCell ref="E91:E92"/>
    <mergeCell ref="A119:A120"/>
    <mergeCell ref="E14:E15"/>
    <mergeCell ref="E49:E50"/>
    <mergeCell ref="D12:D13"/>
    <mergeCell ref="A94:A95"/>
    <mergeCell ref="C22:C23"/>
    <mergeCell ref="D84:D85"/>
    <mergeCell ref="C51:C52"/>
    <mergeCell ref="A98:A99"/>
    <mergeCell ref="A105:A106"/>
    <mergeCell ref="E96:E97"/>
    <mergeCell ref="D78:D79"/>
    <mergeCell ref="D80:D81"/>
    <mergeCell ref="D82:D83"/>
    <mergeCell ref="A101:A102"/>
    <mergeCell ref="B103:B104"/>
    <mergeCell ref="C27:C28"/>
    <mergeCell ref="A74:A75"/>
    <mergeCell ref="A49:A50"/>
    <mergeCell ref="C82:C83"/>
    <mergeCell ref="C37:C38"/>
    <mergeCell ref="N41:N42"/>
    <mergeCell ref="A187:A188"/>
    <mergeCell ref="A192:A193"/>
    <mergeCell ref="S135:S136"/>
    <mergeCell ref="S171:S172"/>
    <mergeCell ref="T225:T226"/>
    <mergeCell ref="S219:S220"/>
    <mergeCell ref="S212:S213"/>
    <mergeCell ref="M149:M150"/>
    <mergeCell ref="M165:M166"/>
    <mergeCell ref="L212:L213"/>
    <mergeCell ref="N173:N174"/>
    <mergeCell ref="B163:B164"/>
    <mergeCell ref="A185:A186"/>
    <mergeCell ref="B169:B170"/>
    <mergeCell ref="A151:A152"/>
    <mergeCell ref="A141:A142"/>
    <mergeCell ref="A167:A168"/>
    <mergeCell ref="L179:L180"/>
    <mergeCell ref="A173:A174"/>
    <mergeCell ref="A181:A182"/>
    <mergeCell ref="B173:B174"/>
    <mergeCell ref="A165:A166"/>
    <mergeCell ref="H173:H174"/>
    <mergeCell ref="I183:I184"/>
    <mergeCell ref="A175:A176"/>
    <mergeCell ref="G173:G174"/>
    <mergeCell ref="C80:C81"/>
    <mergeCell ref="D98:D99"/>
    <mergeCell ref="D96:D97"/>
    <mergeCell ref="D74:D75"/>
    <mergeCell ref="O47:O48"/>
    <mergeCell ref="I141:I142"/>
    <mergeCell ref="D141:D142"/>
    <mergeCell ref="K165:K166"/>
    <mergeCell ref="H169:H170"/>
    <mergeCell ref="G171:G172"/>
    <mergeCell ref="L141:L142"/>
    <mergeCell ref="H163:H164"/>
    <mergeCell ref="D151:D152"/>
    <mergeCell ref="D143:D144"/>
    <mergeCell ref="N167:N168"/>
    <mergeCell ref="O121:O122"/>
    <mergeCell ref="T125:T126"/>
    <mergeCell ref="I76:I77"/>
    <mergeCell ref="J47:J48"/>
    <mergeCell ref="G167:G168"/>
    <mergeCell ref="M141:M142"/>
    <mergeCell ref="F143:F144"/>
    <mergeCell ref="I147:I148"/>
    <mergeCell ref="M147:M148"/>
    <mergeCell ref="G151:G152"/>
    <mergeCell ref="M151:M152"/>
    <mergeCell ref="M143:M144"/>
    <mergeCell ref="G143:G144"/>
    <mergeCell ref="T156:T157"/>
    <mergeCell ref="Q119:Q120"/>
    <mergeCell ref="Q91:Q92"/>
    <mergeCell ref="D91:D92"/>
    <mergeCell ref="G49:G50"/>
    <mergeCell ref="F165:F166"/>
    <mergeCell ref="I165:I166"/>
    <mergeCell ref="I151:I152"/>
    <mergeCell ref="E87:E88"/>
    <mergeCell ref="G216:G217"/>
    <mergeCell ref="M137:M138"/>
    <mergeCell ref="M173:M174"/>
    <mergeCell ref="L233:L234"/>
    <mergeCell ref="K227:K228"/>
    <mergeCell ref="J141:J142"/>
    <mergeCell ref="O27:O28"/>
    <mergeCell ref="O39:O40"/>
    <mergeCell ref="O37:O38"/>
    <mergeCell ref="J82:J83"/>
    <mergeCell ref="J62:J63"/>
    <mergeCell ref="H80:H81"/>
    <mergeCell ref="O96:O97"/>
    <mergeCell ref="T94:T95"/>
    <mergeCell ref="N201:P201"/>
    <mergeCell ref="A113:X113"/>
    <mergeCell ref="E76:E77"/>
    <mergeCell ref="N87:N88"/>
    <mergeCell ref="D149:D150"/>
    <mergeCell ref="G181:G182"/>
    <mergeCell ref="G163:G164"/>
    <mergeCell ref="T141:T142"/>
    <mergeCell ref="D212:D213"/>
    <mergeCell ref="A210:X210"/>
    <mergeCell ref="B181:B182"/>
    <mergeCell ref="D192:D193"/>
    <mergeCell ref="S41:S42"/>
    <mergeCell ref="T91:T92"/>
    <mergeCell ref="S80:S81"/>
    <mergeCell ref="S82:S83"/>
    <mergeCell ref="S84:S85"/>
    <mergeCell ref="S89:S90"/>
    <mergeCell ref="G285:G286"/>
    <mergeCell ref="J261:J262"/>
    <mergeCell ref="M285:M286"/>
    <mergeCell ref="M277:M278"/>
    <mergeCell ref="M255:M256"/>
    <mergeCell ref="K233:K234"/>
    <mergeCell ref="F238:F239"/>
    <mergeCell ref="L227:L228"/>
    <mergeCell ref="E240:E241"/>
    <mergeCell ref="F212:F213"/>
    <mergeCell ref="U238:U239"/>
    <mergeCell ref="C192:C193"/>
    <mergeCell ref="J238:J239"/>
    <mergeCell ref="J240:J241"/>
    <mergeCell ref="A214:A215"/>
    <mergeCell ref="F227:F228"/>
    <mergeCell ref="H227:H228"/>
    <mergeCell ref="H233:H234"/>
    <mergeCell ref="H221:H222"/>
    <mergeCell ref="J225:J226"/>
    <mergeCell ref="N221:N222"/>
    <mergeCell ref="O221:O222"/>
    <mergeCell ref="J221:J222"/>
    <mergeCell ref="K282:K283"/>
    <mergeCell ref="K285:K286"/>
    <mergeCell ref="I282:I283"/>
    <mergeCell ref="Q233:Q234"/>
    <mergeCell ref="U240:U241"/>
    <mergeCell ref="J285:J286"/>
    <mergeCell ref="I223:I224"/>
    <mergeCell ref="F255:F256"/>
    <mergeCell ref="S214:S215"/>
    <mergeCell ref="D301:D302"/>
    <mergeCell ref="B318:B319"/>
    <mergeCell ref="A335:A336"/>
    <mergeCell ref="F316:F317"/>
    <mergeCell ref="P301:P302"/>
    <mergeCell ref="N301:N302"/>
    <mergeCell ref="I312:I313"/>
    <mergeCell ref="D277:D278"/>
    <mergeCell ref="D240:D241"/>
    <mergeCell ref="H335:H336"/>
    <mergeCell ref="A309:A310"/>
    <mergeCell ref="A303:A304"/>
    <mergeCell ref="A301:A302"/>
    <mergeCell ref="C240:C241"/>
    <mergeCell ref="K316:K317"/>
    <mergeCell ref="K335:K336"/>
    <mergeCell ref="N335:N336"/>
    <mergeCell ref="O301:O302"/>
    <mergeCell ref="A251:X251"/>
    <mergeCell ref="T245:T246"/>
    <mergeCell ref="K252:K253"/>
    <mergeCell ref="K261:K262"/>
    <mergeCell ref="L261:L262"/>
    <mergeCell ref="G261:G262"/>
    <mergeCell ref="M261:M262"/>
    <mergeCell ref="G255:G256"/>
    <mergeCell ref="F312:F313"/>
    <mergeCell ref="F277:F278"/>
    <mergeCell ref="H318:H319"/>
    <mergeCell ref="A285:A286"/>
    <mergeCell ref="H285:H286"/>
    <mergeCell ref="A269:X269"/>
    <mergeCell ref="F363:F364"/>
    <mergeCell ref="D363:D364"/>
    <mergeCell ref="E542:E544"/>
    <mergeCell ref="F358:F359"/>
    <mergeCell ref="N318:P319"/>
    <mergeCell ref="M347:M348"/>
    <mergeCell ref="P361:P362"/>
    <mergeCell ref="P471:P472"/>
    <mergeCell ref="D561:D562"/>
    <mergeCell ref="I535:I536"/>
    <mergeCell ref="L535:L536"/>
    <mergeCell ref="G535:G536"/>
    <mergeCell ref="J561:J562"/>
    <mergeCell ref="L498:L499"/>
    <mergeCell ref="N530:N531"/>
    <mergeCell ref="N498:N499"/>
    <mergeCell ref="J478:J479"/>
    <mergeCell ref="F498:F499"/>
    <mergeCell ref="D478:D479"/>
    <mergeCell ref="F365:F366"/>
    <mergeCell ref="E478:E479"/>
    <mergeCell ref="N495:N497"/>
    <mergeCell ref="O471:O472"/>
    <mergeCell ref="G498:G499"/>
    <mergeCell ref="P495:P497"/>
    <mergeCell ref="G475:G476"/>
    <mergeCell ref="H530:H531"/>
    <mergeCell ref="O442:O443"/>
    <mergeCell ref="M335:M336"/>
    <mergeCell ref="H440:H441"/>
    <mergeCell ref="E358:E359"/>
    <mergeCell ref="H361:H362"/>
    <mergeCell ref="U475:U476"/>
    <mergeCell ref="S461:S470"/>
    <mergeCell ref="E440:E441"/>
    <mergeCell ref="R456:R460"/>
    <mergeCell ref="R427:R428"/>
    <mergeCell ref="E491:E494"/>
    <mergeCell ref="R471:R472"/>
    <mergeCell ref="Q471:Q472"/>
    <mergeCell ref="R498:R499"/>
    <mergeCell ref="G491:G494"/>
    <mergeCell ref="U495:U497"/>
    <mergeCell ref="F478:F479"/>
    <mergeCell ref="N471:N472"/>
    <mergeCell ref="R530:R531"/>
    <mergeCell ref="H365:H366"/>
    <mergeCell ref="H396:H397"/>
    <mergeCell ref="T374:T375"/>
    <mergeCell ref="L374:L375"/>
    <mergeCell ref="I374:I375"/>
    <mergeCell ref="A373:X373"/>
    <mergeCell ref="N426:P426"/>
    <mergeCell ref="Q461:Q470"/>
    <mergeCell ref="F440:F441"/>
    <mergeCell ref="N456:N460"/>
    <mergeCell ref="M442:M443"/>
    <mergeCell ref="Q456:Q460"/>
    <mergeCell ref="M456:M460"/>
    <mergeCell ref="O495:O497"/>
    <mergeCell ref="T440:T441"/>
    <mergeCell ref="Q495:Q497"/>
    <mergeCell ref="I498:I499"/>
    <mergeCell ref="T475:T476"/>
    <mergeCell ref="T461:T470"/>
    <mergeCell ref="N419:N420"/>
    <mergeCell ref="N442:N443"/>
    <mergeCell ref="R440:R441"/>
    <mergeCell ref="M419:M420"/>
    <mergeCell ref="R495:R497"/>
    <mergeCell ref="A490:X490"/>
    <mergeCell ref="U471:U472"/>
    <mergeCell ref="X491:X492"/>
    <mergeCell ref="A471:A472"/>
    <mergeCell ref="A475:A476"/>
    <mergeCell ref="C427:C428"/>
    <mergeCell ref="C419:C420"/>
    <mergeCell ref="P442:P443"/>
    <mergeCell ref="A442:A443"/>
    <mergeCell ref="L471:L472"/>
    <mergeCell ref="C475:C476"/>
    <mergeCell ref="C491:C494"/>
    <mergeCell ref="I478:I479"/>
    <mergeCell ref="G495:G497"/>
    <mergeCell ref="W491:W492"/>
    <mergeCell ref="N478:P479"/>
    <mergeCell ref="K491:K494"/>
    <mergeCell ref="I419:I420"/>
    <mergeCell ref="L419:L420"/>
    <mergeCell ref="G478:G479"/>
    <mergeCell ref="M440:M441"/>
    <mergeCell ref="J495:J497"/>
    <mergeCell ref="G471:G472"/>
    <mergeCell ref="H478:H479"/>
    <mergeCell ref="I495:I497"/>
    <mergeCell ref="S495:S497"/>
    <mergeCell ref="E1114:E1115"/>
    <mergeCell ref="E837:E840"/>
    <mergeCell ref="E871:E877"/>
    <mergeCell ref="E844:E845"/>
    <mergeCell ref="N800:N801"/>
    <mergeCell ref="E992:E996"/>
    <mergeCell ref="E982:E991"/>
    <mergeCell ref="E1105:E1107"/>
    <mergeCell ref="E849:E850"/>
    <mergeCell ref="E1094:E1095"/>
    <mergeCell ref="I950:I959"/>
    <mergeCell ref="I1019:I1020"/>
    <mergeCell ref="I972:I979"/>
    <mergeCell ref="I1094:I1095"/>
    <mergeCell ref="H893:H894"/>
    <mergeCell ref="H897:H898"/>
    <mergeCell ref="G814:G815"/>
    <mergeCell ref="E939:E948"/>
    <mergeCell ref="H1097:H1101"/>
    <mergeCell ref="H1066:H1067"/>
    <mergeCell ref="H904:H905"/>
    <mergeCell ref="E1056:E1057"/>
    <mergeCell ref="E906:E908"/>
    <mergeCell ref="G878:G881"/>
    <mergeCell ref="E802:E803"/>
    <mergeCell ref="E865:E866"/>
    <mergeCell ref="N999:P1000"/>
    <mergeCell ref="O885:O887"/>
    <mergeCell ref="O871:O877"/>
    <mergeCell ref="J897:J898"/>
    <mergeCell ref="H800:H801"/>
    <mergeCell ref="E878:E881"/>
    <mergeCell ref="W1027:W1029"/>
    <mergeCell ref="X1097:X1101"/>
    <mergeCell ref="X1066:X1067"/>
    <mergeCell ref="C1090:C1093"/>
    <mergeCell ref="H1053:H1054"/>
    <mergeCell ref="K980:K981"/>
    <mergeCell ref="K1050:K1052"/>
    <mergeCell ref="K1015:K1018"/>
    <mergeCell ref="K992:K996"/>
    <mergeCell ref="K1090:K1093"/>
    <mergeCell ref="J891:J892"/>
    <mergeCell ref="E902:E903"/>
    <mergeCell ref="E899:E901"/>
    <mergeCell ref="D1066:D1067"/>
    <mergeCell ref="D1058:D1061"/>
    <mergeCell ref="E1030:E1032"/>
    <mergeCell ref="E1073:E1075"/>
    <mergeCell ref="E972:E979"/>
    <mergeCell ref="E1066:E1067"/>
    <mergeCell ref="E893:E894"/>
    <mergeCell ref="D1064:D1065"/>
    <mergeCell ref="D909:D910"/>
    <mergeCell ref="J1090:J1093"/>
    <mergeCell ref="C1022:C1026"/>
    <mergeCell ref="D904:D905"/>
    <mergeCell ref="F893:F894"/>
    <mergeCell ref="F897:F898"/>
    <mergeCell ref="C950:C959"/>
    <mergeCell ref="C1097:C1101"/>
    <mergeCell ref="C1066:C1067"/>
    <mergeCell ref="C982:C991"/>
    <mergeCell ref="C998:C1000"/>
    <mergeCell ref="C1056:C1057"/>
    <mergeCell ref="V1022:V1026"/>
    <mergeCell ref="C911:C912"/>
    <mergeCell ref="T1068:T1070"/>
    <mergeCell ref="T950:T959"/>
    <mergeCell ref="C902:C903"/>
    <mergeCell ref="C1050:C1052"/>
    <mergeCell ref="I802:I803"/>
    <mergeCell ref="E791:E792"/>
    <mergeCell ref="E882:E883"/>
    <mergeCell ref="I970:I971"/>
    <mergeCell ref="H909:H910"/>
    <mergeCell ref="O791:O792"/>
    <mergeCell ref="M791:M792"/>
    <mergeCell ref="J871:J877"/>
    <mergeCell ref="K812:K813"/>
    <mergeCell ref="E911:E912"/>
    <mergeCell ref="E800:E801"/>
    <mergeCell ref="O980:O981"/>
    <mergeCell ref="P980:P981"/>
    <mergeCell ref="I939:I948"/>
    <mergeCell ref="J906:J908"/>
    <mergeCell ref="J902:J903"/>
    <mergeCell ref="E816:E821"/>
    <mergeCell ref="E814:E815"/>
    <mergeCell ref="H837:H840"/>
    <mergeCell ref="I878:I881"/>
    <mergeCell ref="E846:E848"/>
    <mergeCell ref="F869:F870"/>
    <mergeCell ref="E897:E898"/>
    <mergeCell ref="C885:C887"/>
    <mergeCell ref="C878:C881"/>
    <mergeCell ref="B842:B843"/>
    <mergeCell ref="O891:O892"/>
    <mergeCell ref="P897:P898"/>
    <mergeCell ref="P869:P870"/>
    <mergeCell ref="I909:I910"/>
    <mergeCell ref="A814:A815"/>
    <mergeCell ref="A849:A850"/>
    <mergeCell ref="A842:A843"/>
    <mergeCell ref="P911:P912"/>
    <mergeCell ref="C904:C905"/>
    <mergeCell ref="C899:C901"/>
    <mergeCell ref="H911:H912"/>
    <mergeCell ref="B885:B887"/>
    <mergeCell ref="E867:E868"/>
    <mergeCell ref="O882:O883"/>
    <mergeCell ref="C867:C868"/>
    <mergeCell ref="W857:W861"/>
    <mergeCell ref="E822:E827"/>
    <mergeCell ref="B816:B821"/>
    <mergeCell ref="B844:B845"/>
    <mergeCell ref="D869:D870"/>
    <mergeCell ref="C852:C861"/>
    <mergeCell ref="W825:W827"/>
    <mergeCell ref="V972:V979"/>
    <mergeCell ref="X847:X848"/>
    <mergeCell ref="D759:D760"/>
    <mergeCell ref="D814:D815"/>
    <mergeCell ref="D798:D799"/>
    <mergeCell ref="D812:D813"/>
    <mergeCell ref="V847:V848"/>
    <mergeCell ref="H804:H809"/>
    <mergeCell ref="V807:V809"/>
    <mergeCell ref="T804:T809"/>
    <mergeCell ref="Q764:Q765"/>
    <mergeCell ref="Q751:Q752"/>
    <mergeCell ref="D893:D894"/>
    <mergeCell ref="M842:M843"/>
    <mergeCell ref="M814:M815"/>
    <mergeCell ref="L822:L827"/>
    <mergeCell ref="M852:M861"/>
    <mergeCell ref="K893:K894"/>
    <mergeCell ref="D816:D821"/>
    <mergeCell ref="D810:D811"/>
    <mergeCell ref="D802:D803"/>
    <mergeCell ref="D800:D801"/>
    <mergeCell ref="U759:U760"/>
    <mergeCell ref="E798:E799"/>
    <mergeCell ref="K798:K799"/>
    <mergeCell ref="E885:E887"/>
    <mergeCell ref="G867:G868"/>
    <mergeCell ref="P862:P864"/>
    <mergeCell ref="J798:J799"/>
    <mergeCell ref="E794:E796"/>
    <mergeCell ref="K904:K905"/>
    <mergeCell ref="L909:L910"/>
    <mergeCell ref="X972:X979"/>
    <mergeCell ref="W743:W745"/>
    <mergeCell ref="W746:W750"/>
    <mergeCell ref="W753:W754"/>
    <mergeCell ref="W837:W838"/>
    <mergeCell ref="W839:W840"/>
    <mergeCell ref="E764:E765"/>
    <mergeCell ref="E766:E767"/>
    <mergeCell ref="U852:U861"/>
    <mergeCell ref="S757:S758"/>
    <mergeCell ref="T753:T756"/>
    <mergeCell ref="T759:T760"/>
    <mergeCell ref="D865:D866"/>
    <mergeCell ref="W816:W818"/>
    <mergeCell ref="W852:W856"/>
    <mergeCell ref="T865:T866"/>
    <mergeCell ref="F814:F815"/>
    <mergeCell ref="J759:J760"/>
    <mergeCell ref="T885:T887"/>
    <mergeCell ref="V794:V795"/>
    <mergeCell ref="P753:P756"/>
    <mergeCell ref="T878:T881"/>
    <mergeCell ref="T869:T870"/>
    <mergeCell ref="S909:S910"/>
    <mergeCell ref="Q846:Q848"/>
    <mergeCell ref="P906:P908"/>
    <mergeCell ref="D757:D758"/>
    <mergeCell ref="D751:D752"/>
    <mergeCell ref="K768:K769"/>
    <mergeCell ref="K743:K750"/>
    <mergeCell ref="X743:X745"/>
    <mergeCell ref="I911:I912"/>
    <mergeCell ref="U810:U811"/>
    <mergeCell ref="G802:G803"/>
    <mergeCell ref="S814:S815"/>
    <mergeCell ref="T1022:T1026"/>
    <mergeCell ref="V980:V981"/>
    <mergeCell ref="V885:V886"/>
    <mergeCell ref="M980:M981"/>
    <mergeCell ref="N814:N815"/>
    <mergeCell ref="N837:N840"/>
    <mergeCell ref="Q837:Q840"/>
    <mergeCell ref="P837:P840"/>
    <mergeCell ref="S897:S898"/>
    <mergeCell ref="O852:O861"/>
    <mergeCell ref="H842:H843"/>
    <mergeCell ref="J842:J843"/>
    <mergeCell ref="O814:O815"/>
    <mergeCell ref="O812:O813"/>
    <mergeCell ref="T882:T883"/>
    <mergeCell ref="H998:H1000"/>
    <mergeCell ref="H972:H979"/>
    <mergeCell ref="H980:H981"/>
    <mergeCell ref="R822:R827"/>
    <mergeCell ref="U846:U848"/>
    <mergeCell ref="S891:S892"/>
    <mergeCell ref="S885:S887"/>
    <mergeCell ref="S878:S881"/>
    <mergeCell ref="V1015:V1018"/>
    <mergeCell ref="T1015:T1018"/>
    <mergeCell ref="U885:U887"/>
    <mergeCell ref="U1019:U1020"/>
    <mergeCell ref="U950:U959"/>
    <mergeCell ref="T982:T991"/>
    <mergeCell ref="T893:T894"/>
    <mergeCell ref="T899:T901"/>
    <mergeCell ref="J814:J815"/>
    <mergeCell ref="P798:P799"/>
    <mergeCell ref="P871:P877"/>
    <mergeCell ref="G871:G877"/>
    <mergeCell ref="G844:G845"/>
    <mergeCell ref="M950:M959"/>
    <mergeCell ref="N764:N765"/>
    <mergeCell ref="P893:P894"/>
    <mergeCell ref="P885:P887"/>
    <mergeCell ref="Q902:Q903"/>
    <mergeCell ref="O867:O868"/>
    <mergeCell ref="Q812:Q813"/>
    <mergeCell ref="P804:P809"/>
    <mergeCell ref="Q814:Q815"/>
    <mergeCell ref="Q810:Q811"/>
    <mergeCell ref="P904:P905"/>
    <mergeCell ref="H950:H959"/>
    <mergeCell ref="G812:G813"/>
    <mergeCell ref="G862:G864"/>
    <mergeCell ref="K862:K864"/>
    <mergeCell ref="H939:H948"/>
    <mergeCell ref="H852:H861"/>
    <mergeCell ref="H862:H864"/>
    <mergeCell ref="H891:H892"/>
    <mergeCell ref="A834:X834"/>
    <mergeCell ref="B814:B815"/>
    <mergeCell ref="B878:B881"/>
    <mergeCell ref="B867:B868"/>
    <mergeCell ref="B871:B877"/>
    <mergeCell ref="B849:B850"/>
    <mergeCell ref="B882:B883"/>
    <mergeCell ref="E768:E769"/>
    <mergeCell ref="H878:H881"/>
    <mergeCell ref="G852:G861"/>
    <mergeCell ref="G849:G850"/>
    <mergeCell ref="F882:F883"/>
    <mergeCell ref="F865:F866"/>
    <mergeCell ref="F909:F910"/>
    <mergeCell ref="H791:H792"/>
    <mergeCell ref="M794:M796"/>
    <mergeCell ref="I791:I792"/>
    <mergeCell ref="T891:T892"/>
    <mergeCell ref="T822:T827"/>
    <mergeCell ref="H802:H803"/>
    <mergeCell ref="G899:G901"/>
    <mergeCell ref="I849:I850"/>
    <mergeCell ref="R878:R881"/>
    <mergeCell ref="C844:C845"/>
    <mergeCell ref="D867:D868"/>
    <mergeCell ref="D891:D892"/>
    <mergeCell ref="E904:E905"/>
    <mergeCell ref="E804:E809"/>
    <mergeCell ref="F844:F845"/>
    <mergeCell ref="Q844:Q845"/>
    <mergeCell ref="C794:C796"/>
    <mergeCell ref="S794:S796"/>
    <mergeCell ref="B810:B811"/>
    <mergeCell ref="H865:H866"/>
    <mergeCell ref="T814:T815"/>
    <mergeCell ref="L768:L769"/>
    <mergeCell ref="G842:G843"/>
    <mergeCell ref="M865:M866"/>
    <mergeCell ref="G837:G840"/>
    <mergeCell ref="T812:T813"/>
    <mergeCell ref="H794:H796"/>
    <mergeCell ref="G757:G758"/>
    <mergeCell ref="W880:W881"/>
    <mergeCell ref="W878:W879"/>
    <mergeCell ref="W847:W848"/>
    <mergeCell ref="Q911:Q912"/>
    <mergeCell ref="L899:L901"/>
    <mergeCell ref="M885:M887"/>
    <mergeCell ref="W885:W886"/>
    <mergeCell ref="R837:R840"/>
    <mergeCell ref="O842:O843"/>
    <mergeCell ref="F802:F803"/>
    <mergeCell ref="U902:U903"/>
    <mergeCell ref="U897:U898"/>
    <mergeCell ref="W874:W877"/>
    <mergeCell ref="V906:V907"/>
    <mergeCell ref="U837:U840"/>
    <mergeCell ref="P812:P813"/>
    <mergeCell ref="T846:T848"/>
    <mergeCell ref="W906:W907"/>
    <mergeCell ref="W862:W863"/>
    <mergeCell ref="U849:U850"/>
    <mergeCell ref="J849:J850"/>
    <mergeCell ref="J757:J758"/>
    <mergeCell ref="K814:K815"/>
    <mergeCell ref="I844:I845"/>
    <mergeCell ref="L766:L767"/>
    <mergeCell ref="L757:L758"/>
    <mergeCell ref="K759:K760"/>
    <mergeCell ref="T897:T898"/>
    <mergeCell ref="S456:S460"/>
    <mergeCell ref="S427:S428"/>
    <mergeCell ref="L440:L441"/>
    <mergeCell ref="F318:F319"/>
    <mergeCell ref="V822:V824"/>
    <mergeCell ref="P882:P883"/>
    <mergeCell ref="T757:T758"/>
    <mergeCell ref="Q762:Q763"/>
    <mergeCell ref="G768:G769"/>
    <mergeCell ref="G751:G752"/>
    <mergeCell ref="V743:V745"/>
    <mergeCell ref="I757:I758"/>
    <mergeCell ref="I768:I769"/>
    <mergeCell ref="I762:I763"/>
    <mergeCell ref="N776:P776"/>
    <mergeCell ref="O762:O763"/>
    <mergeCell ref="M766:M767"/>
    <mergeCell ref="T764:T765"/>
    <mergeCell ref="O822:O827"/>
    <mergeCell ref="T842:T843"/>
    <mergeCell ref="P816:P821"/>
    <mergeCell ref="O837:O840"/>
    <mergeCell ref="S849:S850"/>
    <mergeCell ref="S816:S821"/>
    <mergeCell ref="S846:S848"/>
    <mergeCell ref="R804:R809"/>
    <mergeCell ref="M757:M758"/>
    <mergeCell ref="G759:G760"/>
    <mergeCell ref="N772:P772"/>
    <mergeCell ref="N622:P622"/>
    <mergeCell ref="U764:U765"/>
    <mergeCell ref="T816:T821"/>
    <mergeCell ref="L238:L239"/>
    <mergeCell ref="D214:D215"/>
    <mergeCell ref="C233:C234"/>
    <mergeCell ref="B227:B228"/>
    <mergeCell ref="D227:D228"/>
    <mergeCell ref="G227:G228"/>
    <mergeCell ref="Q285:Q286"/>
    <mergeCell ref="T233:T234"/>
    <mergeCell ref="C343:C344"/>
    <mergeCell ref="U316:U317"/>
    <mergeCell ref="M471:M472"/>
    <mergeCell ref="E303:E304"/>
    <mergeCell ref="E301:E302"/>
    <mergeCell ref="R335:R336"/>
    <mergeCell ref="F347:F348"/>
    <mergeCell ref="D365:D366"/>
    <mergeCell ref="B396:B397"/>
    <mergeCell ref="U461:U470"/>
    <mergeCell ref="B303:B304"/>
    <mergeCell ref="M363:M364"/>
    <mergeCell ref="G365:G366"/>
    <mergeCell ref="G374:G375"/>
    <mergeCell ref="N427:P428"/>
    <mergeCell ref="B461:B470"/>
    <mergeCell ref="P456:P460"/>
    <mergeCell ref="I361:I362"/>
    <mergeCell ref="E374:E375"/>
    <mergeCell ref="G305:G306"/>
    <mergeCell ref="G214:G215"/>
    <mergeCell ref="G219:G220"/>
    <mergeCell ref="D221:D222"/>
    <mergeCell ref="T343:T344"/>
    <mergeCell ref="A189:A190"/>
    <mergeCell ref="G192:G193"/>
    <mergeCell ref="G189:G190"/>
    <mergeCell ref="C214:C215"/>
    <mergeCell ref="I261:I262"/>
    <mergeCell ref="I255:I256"/>
    <mergeCell ref="I277:I278"/>
    <mergeCell ref="M282:M283"/>
    <mergeCell ref="M233:M234"/>
    <mergeCell ref="M252:M253"/>
    <mergeCell ref="M240:M241"/>
    <mergeCell ref="M238:M239"/>
    <mergeCell ref="E149:E150"/>
    <mergeCell ref="N143:N144"/>
    <mergeCell ref="J173:J174"/>
    <mergeCell ref="J185:J186"/>
    <mergeCell ref="N261:P262"/>
    <mergeCell ref="P227:P228"/>
    <mergeCell ref="N196:N197"/>
    <mergeCell ref="P219:P220"/>
    <mergeCell ref="P214:P215"/>
    <mergeCell ref="J143:J144"/>
    <mergeCell ref="K221:K222"/>
    <mergeCell ref="J199:J200"/>
    <mergeCell ref="L214:L215"/>
    <mergeCell ref="E261:E262"/>
    <mergeCell ref="C255:C256"/>
    <mergeCell ref="L225:L226"/>
    <mergeCell ref="H261:H262"/>
    <mergeCell ref="L252:L253"/>
    <mergeCell ref="E173:E174"/>
    <mergeCell ref="F175:F176"/>
    <mergeCell ref="J216:J217"/>
    <mergeCell ref="K219:K220"/>
    <mergeCell ref="L169:L170"/>
    <mergeCell ref="K185:K186"/>
    <mergeCell ref="K181:K182"/>
    <mergeCell ref="M221:M222"/>
    <mergeCell ref="O163:O164"/>
    <mergeCell ref="Q192:Q193"/>
    <mergeCell ref="S177:S178"/>
    <mergeCell ref="S181:S182"/>
    <mergeCell ref="J183:J184"/>
    <mergeCell ref="M185:M186"/>
    <mergeCell ref="S221:S222"/>
    <mergeCell ref="M219:M220"/>
    <mergeCell ref="L165:L166"/>
    <mergeCell ref="M169:M170"/>
    <mergeCell ref="M181:M182"/>
    <mergeCell ref="M183:M184"/>
    <mergeCell ref="M189:M190"/>
    <mergeCell ref="M163:M164"/>
    <mergeCell ref="N214:N215"/>
    <mergeCell ref="M216:M217"/>
    <mergeCell ref="N216:N217"/>
    <mergeCell ref="P185:P186"/>
    <mergeCell ref="N183:N184"/>
    <mergeCell ref="N1118:P1118"/>
    <mergeCell ref="N1076:P1076"/>
    <mergeCell ref="A895:X895"/>
    <mergeCell ref="V1094:V1095"/>
    <mergeCell ref="W1094:W1095"/>
    <mergeCell ref="V1064:V1065"/>
    <mergeCell ref="U899:U901"/>
    <mergeCell ref="T980:T981"/>
    <mergeCell ref="T1102:T1104"/>
    <mergeCell ref="T1064:T1065"/>
    <mergeCell ref="T1094:T1095"/>
    <mergeCell ref="W1068:W1070"/>
    <mergeCell ref="T1050:T1052"/>
    <mergeCell ref="G1097:G1101"/>
    <mergeCell ref="G1066:G1067"/>
    <mergeCell ref="W899:W900"/>
    <mergeCell ref="X1068:X1070"/>
    <mergeCell ref="A1112:B1112"/>
    <mergeCell ref="N1116:P1116"/>
    <mergeCell ref="N1113:P1113"/>
    <mergeCell ref="N1080:P1080"/>
    <mergeCell ref="A937:B937"/>
    <mergeCell ref="N1002:P1002"/>
    <mergeCell ref="A1048:X1048"/>
    <mergeCell ref="A1078:B1078"/>
    <mergeCell ref="A1088:X1088"/>
    <mergeCell ref="N1077:P1077"/>
    <mergeCell ref="V1105:V1107"/>
    <mergeCell ref="C1102:C1104"/>
    <mergeCell ref="W1105:W1107"/>
    <mergeCell ref="W1064:W1065"/>
    <mergeCell ref="X1064:X1065"/>
    <mergeCell ref="W1015:W1018"/>
    <mergeCell ref="W950:W959"/>
    <mergeCell ref="T909:T910"/>
    <mergeCell ref="T906:T908"/>
    <mergeCell ref="H871:H877"/>
    <mergeCell ref="T1056:T1057"/>
    <mergeCell ref="T1073:T1075"/>
    <mergeCell ref="C440:C441"/>
    <mergeCell ref="O219:O220"/>
    <mergeCell ref="W1050:W1052"/>
    <mergeCell ref="A919:X919"/>
    <mergeCell ref="X880:X881"/>
    <mergeCell ref="X874:X877"/>
    <mergeCell ref="X871:X873"/>
    <mergeCell ref="X885:X886"/>
    <mergeCell ref="X1030:X1032"/>
    <mergeCell ref="X1019:X1020"/>
    <mergeCell ref="R1068:R1070"/>
    <mergeCell ref="N904:N905"/>
    <mergeCell ref="E1027:E1029"/>
    <mergeCell ref="T1019:T1020"/>
    <mergeCell ref="X1027:X1029"/>
    <mergeCell ref="T904:T905"/>
    <mergeCell ref="V710:V711"/>
    <mergeCell ref="U762:U763"/>
    <mergeCell ref="P738:P740"/>
    <mergeCell ref="U751:U752"/>
    <mergeCell ref="D762:D763"/>
    <mergeCell ref="U766:U767"/>
    <mergeCell ref="L221:L222"/>
    <mergeCell ref="M227:M228"/>
    <mergeCell ref="N223:N224"/>
    <mergeCell ref="V1110:V1111"/>
    <mergeCell ref="A653:A658"/>
    <mergeCell ref="A738:A740"/>
    <mergeCell ref="A668:A671"/>
    <mergeCell ref="O1019:O1020"/>
    <mergeCell ref="D1050:D1052"/>
    <mergeCell ref="J1019:J1020"/>
    <mergeCell ref="J980:J981"/>
    <mergeCell ref="J982:J991"/>
    <mergeCell ref="J998:J1000"/>
    <mergeCell ref="X1090:X1093"/>
    <mergeCell ref="V970:V971"/>
    <mergeCell ref="V1073:V1075"/>
    <mergeCell ref="V1050:V1052"/>
    <mergeCell ref="G653:G658"/>
    <mergeCell ref="G710:G713"/>
    <mergeCell ref="J1022:J1026"/>
    <mergeCell ref="C1027:C1029"/>
    <mergeCell ref="C871:C877"/>
    <mergeCell ref="X1094:X1095"/>
    <mergeCell ref="W1066:W1067"/>
    <mergeCell ref="X857:X861"/>
    <mergeCell ref="V805:V806"/>
    <mergeCell ref="V746:V750"/>
    <mergeCell ref="H810:H811"/>
    <mergeCell ref="H814:H815"/>
    <mergeCell ref="W1102:W1104"/>
    <mergeCell ref="R1064:R1065"/>
    <mergeCell ref="R1094:R1095"/>
    <mergeCell ref="S1022:S1026"/>
    <mergeCell ref="Q1094:Q1095"/>
    <mergeCell ref="P1094:P1095"/>
    <mergeCell ref="A1:X1"/>
    <mergeCell ref="A71:X71"/>
    <mergeCell ref="V491:V492"/>
    <mergeCell ref="U816:U821"/>
    <mergeCell ref="U800:U801"/>
    <mergeCell ref="U802:U803"/>
    <mergeCell ref="U804:U809"/>
    <mergeCell ref="U812:U813"/>
    <mergeCell ref="U794:U796"/>
    <mergeCell ref="V495:V496"/>
    <mergeCell ref="U865:U866"/>
    <mergeCell ref="V594:V595"/>
    <mergeCell ref="U871:U877"/>
    <mergeCell ref="V590:V591"/>
    <mergeCell ref="X596:X597"/>
    <mergeCell ref="X663:X666"/>
    <mergeCell ref="V466:V470"/>
    <mergeCell ref="W819:W821"/>
    <mergeCell ref="W871:W873"/>
    <mergeCell ref="W586:W587"/>
    <mergeCell ref="W590:W591"/>
    <mergeCell ref="W592:W593"/>
    <mergeCell ref="U862:U864"/>
    <mergeCell ref="U869:U870"/>
    <mergeCell ref="S149:S150"/>
    <mergeCell ref="R169:R170"/>
    <mergeCell ref="A6:A7"/>
    <mergeCell ref="A61:X61"/>
    <mergeCell ref="A12:A13"/>
    <mergeCell ref="T700:T701"/>
    <mergeCell ref="V605:V606"/>
    <mergeCell ref="U640:U641"/>
    <mergeCell ref="A10:A11"/>
    <mergeCell ref="A36:X36"/>
    <mergeCell ref="A34:X34"/>
    <mergeCell ref="A24:X24"/>
    <mergeCell ref="A73:X73"/>
    <mergeCell ref="A8:A9"/>
    <mergeCell ref="U101:U102"/>
    <mergeCell ref="V871:V873"/>
    <mergeCell ref="D189:D190"/>
    <mergeCell ref="F261:F262"/>
    <mergeCell ref="V1030:V1032"/>
    <mergeCell ref="V880:V881"/>
    <mergeCell ref="U814:U815"/>
    <mergeCell ref="N885:N887"/>
    <mergeCell ref="V878:V879"/>
    <mergeCell ref="W802:W803"/>
    <mergeCell ref="R607:R609"/>
    <mergeCell ref="R659:R666"/>
    <mergeCell ref="X653:X655"/>
    <mergeCell ref="X656:X658"/>
    <mergeCell ref="V663:V666"/>
    <mergeCell ref="V668:V669"/>
    <mergeCell ref="U702:U704"/>
    <mergeCell ref="T603:T606"/>
    <mergeCell ref="X659:X662"/>
    <mergeCell ref="W822:W824"/>
    <mergeCell ref="P129:P130"/>
    <mergeCell ref="K131:K132"/>
    <mergeCell ref="V753:V754"/>
    <mergeCell ref="C540:C541"/>
    <mergeCell ref="W605:W606"/>
    <mergeCell ref="U169:U170"/>
    <mergeCell ref="X1105:X1107"/>
    <mergeCell ref="X1110:X1111"/>
    <mergeCell ref="X1114:X1115"/>
    <mergeCell ref="X1022:X1026"/>
    <mergeCell ref="X939:X948"/>
    <mergeCell ref="X1056:X1057"/>
    <mergeCell ref="W998:W1000"/>
    <mergeCell ref="X998:X1000"/>
    <mergeCell ref="V1027:V1029"/>
    <mergeCell ref="X1073:X1075"/>
    <mergeCell ref="X1053:X1054"/>
    <mergeCell ref="X1102:X1104"/>
    <mergeCell ref="W1097:W1101"/>
    <mergeCell ref="V998:V1000"/>
    <mergeCell ref="V992:V996"/>
    <mergeCell ref="X1050:X1052"/>
    <mergeCell ref="W1030:W1032"/>
    <mergeCell ref="W1114:W1115"/>
    <mergeCell ref="W1019:W1020"/>
    <mergeCell ref="V1019:V1020"/>
    <mergeCell ref="X950:X959"/>
    <mergeCell ref="V1114:V1115"/>
    <mergeCell ref="V1058:V1061"/>
    <mergeCell ref="W1110:W1111"/>
    <mergeCell ref="V1066:V1067"/>
    <mergeCell ref="W992:W996"/>
    <mergeCell ref="W982:W991"/>
    <mergeCell ref="W980:W981"/>
    <mergeCell ref="W972:W979"/>
    <mergeCell ref="V1068:V1070"/>
    <mergeCell ref="V1056:V1057"/>
    <mergeCell ref="X980:X981"/>
    <mergeCell ref="O1094:O1095"/>
    <mergeCell ref="Q899:Q901"/>
    <mergeCell ref="R871:R877"/>
    <mergeCell ref="R816:R821"/>
    <mergeCell ref="R814:R815"/>
    <mergeCell ref="R812:R813"/>
    <mergeCell ref="R802:R803"/>
    <mergeCell ref="R798:R799"/>
    <mergeCell ref="T791:T792"/>
    <mergeCell ref="U757:U758"/>
    <mergeCell ref="T867:T868"/>
    <mergeCell ref="U867:U868"/>
    <mergeCell ref="V592:V593"/>
    <mergeCell ref="V586:V587"/>
    <mergeCell ref="M702:M704"/>
    <mergeCell ref="O816:O821"/>
    <mergeCell ref="P814:P815"/>
    <mergeCell ref="N707:N709"/>
    <mergeCell ref="T762:T763"/>
    <mergeCell ref="P768:P769"/>
    <mergeCell ref="O659:O666"/>
    <mergeCell ref="P700:P701"/>
    <mergeCell ref="R700:R701"/>
    <mergeCell ref="Q800:Q801"/>
    <mergeCell ref="O764:O765"/>
    <mergeCell ref="A693:X693"/>
    <mergeCell ref="T575:T587"/>
    <mergeCell ref="T588:T589"/>
    <mergeCell ref="U635:U639"/>
    <mergeCell ref="E1068:E1070"/>
    <mergeCell ref="X1058:X1061"/>
    <mergeCell ref="X906:X907"/>
    <mergeCell ref="T564:T568"/>
    <mergeCell ref="L649:L650"/>
    <mergeCell ref="V716:V717"/>
    <mergeCell ref="L751:L752"/>
    <mergeCell ref="I741:I742"/>
    <mergeCell ref="H757:H758"/>
    <mergeCell ref="M649:M650"/>
    <mergeCell ref="M644:M646"/>
    <mergeCell ref="D442:D443"/>
    <mergeCell ref="E461:E470"/>
    <mergeCell ref="X493:X494"/>
    <mergeCell ref="W594:W595"/>
    <mergeCell ref="W566:W568"/>
    <mergeCell ref="S535:S536"/>
    <mergeCell ref="X495:X496"/>
    <mergeCell ref="X456:X457"/>
    <mergeCell ref="S475:S476"/>
    <mergeCell ref="O530:O531"/>
    <mergeCell ref="A512:X512"/>
    <mergeCell ref="E530:E531"/>
    <mergeCell ref="T509:T510"/>
    <mergeCell ref="D498:D499"/>
    <mergeCell ref="W493:W494"/>
    <mergeCell ref="P475:P476"/>
    <mergeCell ref="U498:U499"/>
    <mergeCell ref="A456:A460"/>
    <mergeCell ref="T716:T718"/>
    <mergeCell ref="A724:X724"/>
    <mergeCell ref="H471:H472"/>
    <mergeCell ref="N551:P551"/>
    <mergeCell ref="O546:O547"/>
    <mergeCell ref="X586:X587"/>
    <mergeCell ref="T316:T317"/>
    <mergeCell ref="A368:A369"/>
    <mergeCell ref="C461:C470"/>
    <mergeCell ref="C396:C397"/>
    <mergeCell ref="C442:C443"/>
    <mergeCell ref="C363:C364"/>
    <mergeCell ref="A358:A359"/>
    <mergeCell ref="I417:I418"/>
    <mergeCell ref="Q417:Q418"/>
    <mergeCell ref="P417:P418"/>
    <mergeCell ref="N399:P399"/>
    <mergeCell ref="O417:O418"/>
    <mergeCell ref="E442:E443"/>
    <mergeCell ref="E456:E460"/>
    <mergeCell ref="M358:M359"/>
    <mergeCell ref="L363:L364"/>
    <mergeCell ref="J396:J397"/>
    <mergeCell ref="J374:J375"/>
    <mergeCell ref="J440:J441"/>
    <mergeCell ref="G442:G443"/>
    <mergeCell ref="C424:C425"/>
    <mergeCell ref="L361:L362"/>
    <mergeCell ref="G368:G369"/>
    <mergeCell ref="N440:N441"/>
    <mergeCell ref="D461:D470"/>
    <mergeCell ref="F427:F428"/>
    <mergeCell ref="H363:H364"/>
    <mergeCell ref="A328:X328"/>
    <mergeCell ref="E424:E425"/>
    <mergeCell ref="M427:M428"/>
    <mergeCell ref="G363:G364"/>
    <mergeCell ref="C368:C369"/>
    <mergeCell ref="T335:T336"/>
    <mergeCell ref="K303:K304"/>
    <mergeCell ref="A232:X232"/>
    <mergeCell ref="U219:U220"/>
    <mergeCell ref="N219:N220"/>
    <mergeCell ref="S491:S494"/>
    <mergeCell ref="U337:U338"/>
    <mergeCell ref="Q347:Q348"/>
    <mergeCell ref="N358:N359"/>
    <mergeCell ref="N361:N362"/>
    <mergeCell ref="E365:E366"/>
    <mergeCell ref="T379:T380"/>
    <mergeCell ref="P365:P366"/>
    <mergeCell ref="P387:P388"/>
    <mergeCell ref="R442:R443"/>
    <mergeCell ref="R419:R420"/>
    <mergeCell ref="U347:U348"/>
    <mergeCell ref="T363:T364"/>
    <mergeCell ref="I471:I472"/>
    <mergeCell ref="U442:U443"/>
    <mergeCell ref="G461:G470"/>
    <mergeCell ref="F475:F476"/>
    <mergeCell ref="S363:S364"/>
    <mergeCell ref="N417:N418"/>
    <mergeCell ref="P368:P369"/>
    <mergeCell ref="G419:G420"/>
    <mergeCell ref="D238:D239"/>
    <mergeCell ref="J219:J220"/>
    <mergeCell ref="D282:D283"/>
    <mergeCell ref="D225:D226"/>
    <mergeCell ref="A240:A241"/>
    <mergeCell ref="A312:A313"/>
    <mergeCell ref="B261:B262"/>
    <mergeCell ref="C261:C262"/>
    <mergeCell ref="E252:E253"/>
    <mergeCell ref="D235:D236"/>
    <mergeCell ref="E235:E236"/>
    <mergeCell ref="D343:D344"/>
    <mergeCell ref="D347:D348"/>
    <mergeCell ref="R358:R359"/>
    <mergeCell ref="S335:S336"/>
    <mergeCell ref="S368:S369"/>
    <mergeCell ref="H309:H310"/>
    <mergeCell ref="G252:G253"/>
    <mergeCell ref="G309:G310"/>
    <mergeCell ref="G277:G278"/>
    <mergeCell ref="B305:B306"/>
    <mergeCell ref="B309:B310"/>
    <mergeCell ref="S289:S290"/>
    <mergeCell ref="S282:S283"/>
    <mergeCell ref="R285:R286"/>
    <mergeCell ref="A288:X288"/>
    <mergeCell ref="T294:T295"/>
    <mergeCell ref="U289:U290"/>
    <mergeCell ref="P252:P253"/>
    <mergeCell ref="T266:T267"/>
    <mergeCell ref="U282:U283"/>
    <mergeCell ref="N285:N286"/>
    <mergeCell ref="D368:D369"/>
    <mergeCell ref="S358:S359"/>
    <mergeCell ref="U358:U359"/>
    <mergeCell ref="A357:X357"/>
    <mergeCell ref="G347:G348"/>
    <mergeCell ref="E347:E348"/>
    <mergeCell ref="S374:S375"/>
    <mergeCell ref="E368:E369"/>
    <mergeCell ref="U424:U425"/>
    <mergeCell ref="N349:P349"/>
    <mergeCell ref="R368:R369"/>
    <mergeCell ref="O419:O420"/>
    <mergeCell ref="Q424:Q425"/>
    <mergeCell ref="K424:K425"/>
    <mergeCell ref="U365:U366"/>
    <mergeCell ref="N424:P425"/>
    <mergeCell ref="U393:U394"/>
    <mergeCell ref="E417:E418"/>
    <mergeCell ref="R393:R394"/>
    <mergeCell ref="M396:M397"/>
    <mergeCell ref="T353:T354"/>
    <mergeCell ref="H347:H348"/>
    <mergeCell ref="N365:N366"/>
    <mergeCell ref="P363:P364"/>
    <mergeCell ref="M424:M425"/>
    <mergeCell ref="F374:F375"/>
    <mergeCell ref="R365:R366"/>
    <mergeCell ref="T358:T359"/>
    <mergeCell ref="Q393:Q394"/>
    <mergeCell ref="F417:F418"/>
    <mergeCell ref="L396:L397"/>
    <mergeCell ref="G417:G418"/>
    <mergeCell ref="J393:J394"/>
    <mergeCell ref="S365:S366"/>
    <mergeCell ref="E363:E364"/>
    <mergeCell ref="T393:T394"/>
    <mergeCell ref="S396:S397"/>
    <mergeCell ref="K361:K362"/>
    <mergeCell ref="E396:E397"/>
    <mergeCell ref="U235:U236"/>
    <mergeCell ref="N240:P241"/>
    <mergeCell ref="A255:A256"/>
    <mergeCell ref="H255:H256"/>
    <mergeCell ref="H219:H220"/>
    <mergeCell ref="T282:T283"/>
    <mergeCell ref="T312:T313"/>
    <mergeCell ref="S318:S319"/>
    <mergeCell ref="S309:S310"/>
    <mergeCell ref="N303:N304"/>
    <mergeCell ref="Q316:Q317"/>
    <mergeCell ref="U396:U397"/>
    <mergeCell ref="U318:U319"/>
    <mergeCell ref="S393:S394"/>
    <mergeCell ref="T387:T388"/>
    <mergeCell ref="F335:F336"/>
    <mergeCell ref="U225:U226"/>
    <mergeCell ref="P312:P313"/>
    <mergeCell ref="M343:M344"/>
    <mergeCell ref="T318:T319"/>
    <mergeCell ref="R347:R348"/>
    <mergeCell ref="H393:H394"/>
    <mergeCell ref="R343:R344"/>
    <mergeCell ref="T337:T338"/>
    <mergeCell ref="I387:I388"/>
    <mergeCell ref="H387:H388"/>
    <mergeCell ref="F393:F394"/>
    <mergeCell ref="U343:U344"/>
    <mergeCell ref="R396:R397"/>
    <mergeCell ref="U368:U369"/>
    <mergeCell ref="Q374:Q375"/>
    <mergeCell ref="U419:U420"/>
    <mergeCell ref="B368:B369"/>
    <mergeCell ref="W461:W465"/>
    <mergeCell ref="N374:P375"/>
    <mergeCell ref="D361:D362"/>
    <mergeCell ref="J358:J359"/>
    <mergeCell ref="J361:J362"/>
    <mergeCell ref="A365:A366"/>
    <mergeCell ref="A361:A362"/>
    <mergeCell ref="D419:D420"/>
    <mergeCell ref="D417:D418"/>
    <mergeCell ref="G440:G441"/>
    <mergeCell ref="I393:I394"/>
    <mergeCell ref="I365:I366"/>
    <mergeCell ref="T417:T418"/>
    <mergeCell ref="G393:G394"/>
    <mergeCell ref="T396:T397"/>
    <mergeCell ref="M374:M375"/>
    <mergeCell ref="R363:R364"/>
    <mergeCell ref="O368:O369"/>
    <mergeCell ref="O387:O388"/>
    <mergeCell ref="G396:G397"/>
    <mergeCell ref="G427:G428"/>
    <mergeCell ref="G424:G425"/>
    <mergeCell ref="D424:D425"/>
    <mergeCell ref="H456:H460"/>
    <mergeCell ref="G456:G460"/>
    <mergeCell ref="A363:A364"/>
    <mergeCell ref="M368:M369"/>
    <mergeCell ref="B365:B366"/>
    <mergeCell ref="Q427:Q428"/>
    <mergeCell ref="U417:U418"/>
    <mergeCell ref="P546:P547"/>
    <mergeCell ref="N564:N568"/>
    <mergeCell ref="W456:W457"/>
    <mergeCell ref="W458:W460"/>
    <mergeCell ref="T424:T425"/>
    <mergeCell ref="T471:T472"/>
    <mergeCell ref="F424:F425"/>
    <mergeCell ref="T456:T460"/>
    <mergeCell ref="S424:S425"/>
    <mergeCell ref="R461:R470"/>
    <mergeCell ref="T540:T541"/>
    <mergeCell ref="S540:S541"/>
    <mergeCell ref="T535:T536"/>
    <mergeCell ref="T532:T533"/>
    <mergeCell ref="H564:H568"/>
    <mergeCell ref="V564:V565"/>
    <mergeCell ref="T427:T428"/>
    <mergeCell ref="H427:H428"/>
    <mergeCell ref="V458:V460"/>
    <mergeCell ref="W495:W496"/>
    <mergeCell ref="W466:W470"/>
    <mergeCell ref="U546:U547"/>
    <mergeCell ref="U561:U562"/>
    <mergeCell ref="U535:U536"/>
    <mergeCell ref="R542:R544"/>
    <mergeCell ref="S530:S531"/>
    <mergeCell ref="K564:K568"/>
    <mergeCell ref="T442:T443"/>
    <mergeCell ref="K495:K497"/>
    <mergeCell ref="K561:K562"/>
    <mergeCell ref="N540:N541"/>
    <mergeCell ref="P530:P531"/>
    <mergeCell ref="X564:X565"/>
    <mergeCell ref="U530:U531"/>
    <mergeCell ref="M491:M494"/>
    <mergeCell ref="T542:T544"/>
    <mergeCell ref="S532:S533"/>
    <mergeCell ref="S542:S544"/>
    <mergeCell ref="X466:X470"/>
    <mergeCell ref="T301:T302"/>
    <mergeCell ref="C365:C366"/>
    <mergeCell ref="T252:T253"/>
    <mergeCell ref="B233:B234"/>
    <mergeCell ref="U233:U234"/>
    <mergeCell ref="S301:S302"/>
    <mergeCell ref="T347:T348"/>
    <mergeCell ref="B363:B364"/>
    <mergeCell ref="J335:J336"/>
    <mergeCell ref="U312:U313"/>
    <mergeCell ref="J347:J348"/>
    <mergeCell ref="R316:R317"/>
    <mergeCell ref="E255:E256"/>
    <mergeCell ref="E285:E286"/>
    <mergeCell ref="S285:S286"/>
    <mergeCell ref="C358:C359"/>
    <mergeCell ref="Q363:Q364"/>
    <mergeCell ref="T305:T306"/>
    <mergeCell ref="Q238:Q239"/>
    <mergeCell ref="Q235:Q236"/>
    <mergeCell ref="T261:T262"/>
    <mergeCell ref="Q277:Q278"/>
    <mergeCell ref="U542:U544"/>
    <mergeCell ref="U491:U494"/>
    <mergeCell ref="S442:S443"/>
    <mergeCell ref="S419:S420"/>
    <mergeCell ref="H495:H497"/>
    <mergeCell ref="Q365:Q366"/>
    <mergeCell ref="H343:H344"/>
    <mergeCell ref="A260:X260"/>
    <mergeCell ref="E361:E362"/>
    <mergeCell ref="T214:T215"/>
    <mergeCell ref="Q216:Q217"/>
    <mergeCell ref="T219:T220"/>
    <mergeCell ref="K318:K319"/>
    <mergeCell ref="T303:T304"/>
    <mergeCell ref="R238:R239"/>
    <mergeCell ref="U361:U362"/>
    <mergeCell ref="Q212:Q213"/>
    <mergeCell ref="N212:N213"/>
    <mergeCell ref="S255:S256"/>
    <mergeCell ref="S233:S234"/>
    <mergeCell ref="H216:H217"/>
    <mergeCell ref="D285:D286"/>
    <mergeCell ref="E309:E310"/>
    <mergeCell ref="E289:E290"/>
    <mergeCell ref="E277:E278"/>
    <mergeCell ref="N289:P290"/>
    <mergeCell ref="H303:H304"/>
    <mergeCell ref="A277:A278"/>
    <mergeCell ref="O361:O362"/>
    <mergeCell ref="V296:W296"/>
    <mergeCell ref="K277:K278"/>
    <mergeCell ref="N343:N344"/>
    <mergeCell ref="T323:T324"/>
    <mergeCell ref="Q318:Q319"/>
    <mergeCell ref="H358:H359"/>
    <mergeCell ref="S121:S122"/>
    <mergeCell ref="T139:T140"/>
    <mergeCell ref="O131:O132"/>
    <mergeCell ref="T131:T132"/>
    <mergeCell ref="S165:S166"/>
    <mergeCell ref="O192:O193"/>
    <mergeCell ref="U151:U152"/>
    <mergeCell ref="U143:U144"/>
    <mergeCell ref="U141:U142"/>
    <mergeCell ref="U139:U140"/>
    <mergeCell ref="U185:U186"/>
    <mergeCell ref="R181:R182"/>
    <mergeCell ref="T135:T136"/>
    <mergeCell ref="U171:U172"/>
    <mergeCell ref="T189:T190"/>
    <mergeCell ref="Q177:Q178"/>
    <mergeCell ref="T121:T122"/>
    <mergeCell ref="S169:S170"/>
    <mergeCell ref="S167:S168"/>
    <mergeCell ref="P175:P176"/>
    <mergeCell ref="P179:P180"/>
    <mergeCell ref="P171:P172"/>
    <mergeCell ref="T187:T188"/>
    <mergeCell ref="U179:U180"/>
    <mergeCell ref="U135:U136"/>
    <mergeCell ref="S189:S190"/>
    <mergeCell ref="U167:U168"/>
    <mergeCell ref="T181:T182"/>
    <mergeCell ref="R187:R188"/>
    <mergeCell ref="O189:O190"/>
    <mergeCell ref="P139:P140"/>
    <mergeCell ref="U192:U193"/>
    <mergeCell ref="O185:O186"/>
    <mergeCell ref="P169:P170"/>
    <mergeCell ref="Q189:Q190"/>
    <mergeCell ref="Q181:Q182"/>
    <mergeCell ref="U149:U150"/>
    <mergeCell ref="R255:R256"/>
    <mergeCell ref="R277:R278"/>
    <mergeCell ref="N175:N176"/>
    <mergeCell ref="N171:N172"/>
    <mergeCell ref="Q214:Q215"/>
    <mergeCell ref="O227:O228"/>
    <mergeCell ref="O216:O217"/>
    <mergeCell ref="O212:O213"/>
    <mergeCell ref="T221:T222"/>
    <mergeCell ref="S252:S253"/>
    <mergeCell ref="S277:S278"/>
    <mergeCell ref="T235:T236"/>
    <mergeCell ref="T194:T195"/>
    <mergeCell ref="S185:S186"/>
    <mergeCell ref="R199:R200"/>
    <mergeCell ref="R212:R213"/>
    <mergeCell ref="N185:N186"/>
    <mergeCell ref="N192:N193"/>
    <mergeCell ref="N189:N190"/>
    <mergeCell ref="R194:R195"/>
    <mergeCell ref="S194:S195"/>
    <mergeCell ref="S235:S236"/>
    <mergeCell ref="N233:P234"/>
    <mergeCell ref="N225:N226"/>
    <mergeCell ref="S225:S226"/>
    <mergeCell ref="Q133:Q134"/>
    <mergeCell ref="U277:U278"/>
    <mergeCell ref="U255:U256"/>
    <mergeCell ref="Q227:Q228"/>
    <mergeCell ref="O282:O283"/>
    <mergeCell ref="A337:A338"/>
    <mergeCell ref="T165:T166"/>
    <mergeCell ref="R141:R142"/>
    <mergeCell ref="T167:T168"/>
    <mergeCell ref="T238:T239"/>
    <mergeCell ref="T223:T224"/>
    <mergeCell ref="P167:P168"/>
    <mergeCell ref="J312:J313"/>
    <mergeCell ref="G316:G317"/>
    <mergeCell ref="I301:I302"/>
    <mergeCell ref="G312:G313"/>
    <mergeCell ref="U261:U262"/>
    <mergeCell ref="U199:U200"/>
    <mergeCell ref="R303:R304"/>
    <mergeCell ref="O277:O278"/>
    <mergeCell ref="O141:O142"/>
    <mergeCell ref="U221:U222"/>
    <mergeCell ref="N277:N278"/>
    <mergeCell ref="U189:U190"/>
    <mergeCell ref="T185:T186"/>
    <mergeCell ref="T196:T197"/>
    <mergeCell ref="P187:P188"/>
    <mergeCell ref="Q196:Q197"/>
    <mergeCell ref="R143:R144"/>
    <mergeCell ref="U187:U188"/>
    <mergeCell ref="U175:U176"/>
    <mergeCell ref="P196:P197"/>
    <mergeCell ref="U121:U122"/>
    <mergeCell ref="S127:S128"/>
    <mergeCell ref="Q141:Q142"/>
    <mergeCell ref="D309:D310"/>
    <mergeCell ref="T177:T178"/>
    <mergeCell ref="T179:T180"/>
    <mergeCell ref="T173:T174"/>
    <mergeCell ref="P10:P11"/>
    <mergeCell ref="P194:P195"/>
    <mergeCell ref="A326:X326"/>
    <mergeCell ref="U127:U128"/>
    <mergeCell ref="P22:P23"/>
    <mergeCell ref="O62:O63"/>
    <mergeCell ref="U223:U224"/>
    <mergeCell ref="T98:T99"/>
    <mergeCell ref="Q137:Q138"/>
    <mergeCell ref="Q96:Q97"/>
    <mergeCell ref="S94:S95"/>
    <mergeCell ref="S131:S132"/>
    <mergeCell ref="S151:S152"/>
    <mergeCell ref="S163:S164"/>
    <mergeCell ref="S227:S228"/>
    <mergeCell ref="R227:R228"/>
    <mergeCell ref="T163:T164"/>
    <mergeCell ref="S238:S239"/>
    <mergeCell ref="U78:U79"/>
    <mergeCell ref="Q114:Q115"/>
    <mergeCell ref="S175:S176"/>
    <mergeCell ref="R192:R193"/>
    <mergeCell ref="T169:T170"/>
    <mergeCell ref="B167:B168"/>
    <mergeCell ref="G301:G302"/>
    <mergeCell ref="N6:N7"/>
    <mergeCell ref="O363:O364"/>
    <mergeCell ref="O285:O286"/>
    <mergeCell ref="O312:O313"/>
    <mergeCell ref="O305:O306"/>
    <mergeCell ref="O335:O336"/>
    <mergeCell ref="O337:O338"/>
    <mergeCell ref="O358:O359"/>
    <mergeCell ref="O143:O144"/>
    <mergeCell ref="O183:O184"/>
    <mergeCell ref="O194:O195"/>
    <mergeCell ref="O303:O304"/>
    <mergeCell ref="O173:O174"/>
    <mergeCell ref="O223:O224"/>
    <mergeCell ref="O171:O172"/>
    <mergeCell ref="O214:O215"/>
    <mergeCell ref="O196:O197"/>
    <mergeCell ref="O6:O7"/>
    <mergeCell ref="N252:N253"/>
    <mergeCell ref="N151:P152"/>
    <mergeCell ref="P117:P118"/>
    <mergeCell ref="N119:N120"/>
    <mergeCell ref="P309:P310"/>
    <mergeCell ref="N346:P346"/>
    <mergeCell ref="N337:N338"/>
    <mergeCell ref="P305:P306"/>
    <mergeCell ref="N10:N11"/>
    <mergeCell ref="N16:N17"/>
    <mergeCell ref="N49:N50"/>
    <mergeCell ref="N27:N28"/>
    <mergeCell ref="P303:P304"/>
    <mergeCell ref="N12:N13"/>
    <mergeCell ref="T590:T593"/>
    <mergeCell ref="U598:U602"/>
    <mergeCell ref="T594:T597"/>
    <mergeCell ref="M575:M587"/>
    <mergeCell ref="K802:K803"/>
    <mergeCell ref="K575:K587"/>
    <mergeCell ref="N625:P625"/>
    <mergeCell ref="O642:O643"/>
    <mergeCell ref="O610:O619"/>
    <mergeCell ref="L702:L704"/>
    <mergeCell ref="P575:P587"/>
    <mergeCell ref="Q804:Q809"/>
    <mergeCell ref="Q791:Q792"/>
    <mergeCell ref="N610:N619"/>
    <mergeCell ref="P642:P643"/>
    <mergeCell ref="Q802:Q803"/>
    <mergeCell ref="M800:M801"/>
    <mergeCell ref="P607:P609"/>
    <mergeCell ref="N743:N750"/>
    <mergeCell ref="L598:L602"/>
    <mergeCell ref="O753:O756"/>
    <mergeCell ref="U753:U756"/>
    <mergeCell ref="U335:U336"/>
    <mergeCell ref="R183:R184"/>
    <mergeCell ref="T171:T172"/>
    <mergeCell ref="S261:S262"/>
    <mergeCell ref="S316:S317"/>
    <mergeCell ref="O179:O180"/>
    <mergeCell ref="R233:R234"/>
    <mergeCell ref="P277:P278"/>
    <mergeCell ref="R301:R302"/>
    <mergeCell ref="Q440:Q441"/>
    <mergeCell ref="Q442:Q443"/>
    <mergeCell ref="V461:V465"/>
    <mergeCell ref="P440:P441"/>
    <mergeCell ref="U252:U253"/>
    <mergeCell ref="R252:R253"/>
    <mergeCell ref="N396:P397"/>
    <mergeCell ref="A437:X437"/>
    <mergeCell ref="Q419:Q420"/>
    <mergeCell ref="P221:P222"/>
    <mergeCell ref="O181:O182"/>
    <mergeCell ref="O365:O366"/>
    <mergeCell ref="R361:R362"/>
    <mergeCell ref="D335:D336"/>
    <mergeCell ref="P358:P359"/>
    <mergeCell ref="E335:E336"/>
    <mergeCell ref="P343:P344"/>
    <mergeCell ref="O225:O226"/>
    <mergeCell ref="A355:X355"/>
    <mergeCell ref="B221:B222"/>
    <mergeCell ref="P212:P213"/>
    <mergeCell ref="S347:S348"/>
    <mergeCell ref="Q185:Q186"/>
    <mergeCell ref="R1105:R1107"/>
    <mergeCell ref="N635:N639"/>
    <mergeCell ref="P842:P843"/>
    <mergeCell ref="N1102:N1104"/>
    <mergeCell ref="Q1110:Q1111"/>
    <mergeCell ref="P970:P971"/>
    <mergeCell ref="Q842:Q843"/>
    <mergeCell ref="P1110:P1111"/>
    <mergeCell ref="O1110:O1111"/>
    <mergeCell ref="N757:N758"/>
    <mergeCell ref="A1086:X1086"/>
    <mergeCell ref="A1027:A1029"/>
    <mergeCell ref="A972:A979"/>
    <mergeCell ref="A1068:A1070"/>
    <mergeCell ref="I1030:I1032"/>
    <mergeCell ref="R1090:R1093"/>
    <mergeCell ref="R1053:R1054"/>
    <mergeCell ref="U882:U883"/>
    <mergeCell ref="T862:T864"/>
    <mergeCell ref="T849:T850"/>
    <mergeCell ref="R1110:R1111"/>
    <mergeCell ref="R865:R866"/>
    <mergeCell ref="Q865:Q866"/>
    <mergeCell ref="U700:U701"/>
    <mergeCell ref="S640:S641"/>
    <mergeCell ref="Q644:Q646"/>
    <mergeCell ref="R642:R643"/>
    <mergeCell ref="R635:R639"/>
    <mergeCell ref="T707:T709"/>
    <mergeCell ref="A682:X682"/>
    <mergeCell ref="U791:U792"/>
    <mergeCell ref="Q822:Q827"/>
    <mergeCell ref="P43:P44"/>
    <mergeCell ref="N43:N44"/>
    <mergeCell ref="N47:N48"/>
    <mergeCell ref="N20:N21"/>
    <mergeCell ref="N22:N23"/>
    <mergeCell ref="N62:N63"/>
    <mergeCell ref="N59:N60"/>
    <mergeCell ref="P53:P54"/>
    <mergeCell ref="P45:P46"/>
    <mergeCell ref="P47:P48"/>
    <mergeCell ref="P49:P50"/>
    <mergeCell ref="U768:U769"/>
    <mergeCell ref="U844:U845"/>
    <mergeCell ref="U540:U541"/>
    <mergeCell ref="T844:T845"/>
    <mergeCell ref="Q598:Q602"/>
    <mergeCell ref="P822:P827"/>
    <mergeCell ref="P800:P801"/>
    <mergeCell ref="P802:P803"/>
    <mergeCell ref="Q794:Q796"/>
    <mergeCell ref="R716:R718"/>
    <mergeCell ref="P757:P758"/>
    <mergeCell ref="R561:R562"/>
    <mergeCell ref="Q368:Q369"/>
    <mergeCell ref="Q387:Q388"/>
    <mergeCell ref="A383:X383"/>
    <mergeCell ref="U212:U213"/>
    <mergeCell ref="S303:S304"/>
    <mergeCell ref="S417:S418"/>
    <mergeCell ref="S471:S472"/>
    <mergeCell ref="Q187:Q188"/>
    <mergeCell ref="G343:G344"/>
    <mergeCell ref="U94:U95"/>
    <mergeCell ref="A96:A97"/>
    <mergeCell ref="D76:D77"/>
    <mergeCell ref="U91:U92"/>
    <mergeCell ref="T119:T120"/>
    <mergeCell ref="K105:K106"/>
    <mergeCell ref="K103:K104"/>
    <mergeCell ref="P114:P115"/>
    <mergeCell ref="S125:S126"/>
    <mergeCell ref="M607:M609"/>
    <mergeCell ref="R540:R541"/>
    <mergeCell ref="Q532:Q533"/>
    <mergeCell ref="N18:N19"/>
    <mergeCell ref="P37:P38"/>
    <mergeCell ref="N51:N52"/>
    <mergeCell ref="N37:N38"/>
    <mergeCell ref="N53:N54"/>
    <mergeCell ref="P20:P21"/>
    <mergeCell ref="P18:P19"/>
    <mergeCell ref="O18:O19"/>
    <mergeCell ref="O43:O44"/>
    <mergeCell ref="O20:O21"/>
    <mergeCell ref="P51:P52"/>
    <mergeCell ref="O53:O54"/>
    <mergeCell ref="O59:O60"/>
    <mergeCell ref="P62:P63"/>
    <mergeCell ref="N57:N58"/>
    <mergeCell ref="P39:P40"/>
    <mergeCell ref="C43:C44"/>
    <mergeCell ref="C87:C88"/>
    <mergeCell ref="C101:C102"/>
    <mergeCell ref="Q542:Q544"/>
    <mergeCell ref="M91:M92"/>
    <mergeCell ref="P98:P99"/>
    <mergeCell ref="P84:P85"/>
    <mergeCell ref="O82:O83"/>
    <mergeCell ref="O76:O77"/>
    <mergeCell ref="N96:N97"/>
    <mergeCell ref="P127:P128"/>
    <mergeCell ref="N125:N126"/>
    <mergeCell ref="Q103:Q104"/>
    <mergeCell ref="U103:U104"/>
    <mergeCell ref="S45:S46"/>
    <mergeCell ref="S47:S48"/>
    <mergeCell ref="O94:O95"/>
    <mergeCell ref="O91:O92"/>
    <mergeCell ref="I45:I46"/>
    <mergeCell ref="I74:I75"/>
    <mergeCell ref="I59:I60"/>
    <mergeCell ref="K84:K85"/>
    <mergeCell ref="K117:K118"/>
    <mergeCell ref="T114:T115"/>
    <mergeCell ref="T117:T118"/>
    <mergeCell ref="T87:T88"/>
    <mergeCell ref="N45:N46"/>
    <mergeCell ref="Q49:Q50"/>
    <mergeCell ref="T59:T60"/>
    <mergeCell ref="U45:U46"/>
    <mergeCell ref="S96:S97"/>
    <mergeCell ref="S98:S99"/>
    <mergeCell ref="O49:O50"/>
    <mergeCell ref="L117:L118"/>
    <mergeCell ref="K119:K120"/>
    <mergeCell ref="U96:U97"/>
    <mergeCell ref="R147:R148"/>
    <mergeCell ref="R135:R136"/>
    <mergeCell ref="R133:R134"/>
    <mergeCell ref="S114:S115"/>
    <mergeCell ref="R139:R140"/>
    <mergeCell ref="Q151:Q152"/>
    <mergeCell ref="Q147:Q148"/>
    <mergeCell ref="S223:S224"/>
    <mergeCell ref="N199:P200"/>
    <mergeCell ref="Q199:Q200"/>
    <mergeCell ref="N76:N77"/>
    <mergeCell ref="N117:N118"/>
    <mergeCell ref="P57:P58"/>
    <mergeCell ref="P55:P56"/>
    <mergeCell ref="Q129:Q130"/>
    <mergeCell ref="P74:P75"/>
    <mergeCell ref="N55:N56"/>
    <mergeCell ref="N131:N132"/>
    <mergeCell ref="N80:N81"/>
    <mergeCell ref="N82:N83"/>
    <mergeCell ref="N114:N115"/>
    <mergeCell ref="N84:N85"/>
    <mergeCell ref="R151:R152"/>
    <mergeCell ref="P143:P144"/>
    <mergeCell ref="O139:O140"/>
    <mergeCell ref="Q139:Q140"/>
    <mergeCell ref="O137:O138"/>
    <mergeCell ref="Q194:Q195"/>
    <mergeCell ref="S139:S140"/>
    <mergeCell ref="P125:P126"/>
    <mergeCell ref="S133:S134"/>
    <mergeCell ref="Q89:Q90"/>
    <mergeCell ref="L87:L88"/>
    <mergeCell ref="M103:M104"/>
    <mergeCell ref="R103:R104"/>
    <mergeCell ref="R101:R102"/>
    <mergeCell ref="R55:R56"/>
    <mergeCell ref="P91:P92"/>
    <mergeCell ref="Q62:Q63"/>
    <mergeCell ref="N74:N75"/>
    <mergeCell ref="O57:O58"/>
    <mergeCell ref="O51:O52"/>
    <mergeCell ref="N121:N122"/>
    <mergeCell ref="Q53:Q54"/>
    <mergeCell ref="Q55:Q56"/>
    <mergeCell ref="Q59:Q60"/>
    <mergeCell ref="N78:N79"/>
    <mergeCell ref="Q94:Q95"/>
    <mergeCell ref="P87:P88"/>
    <mergeCell ref="N94:N95"/>
    <mergeCell ref="N98:N99"/>
    <mergeCell ref="N89:N90"/>
    <mergeCell ref="O98:O99"/>
    <mergeCell ref="P96:P97"/>
    <mergeCell ref="O114:O115"/>
    <mergeCell ref="R98:R99"/>
    <mergeCell ref="R117:R118"/>
    <mergeCell ref="P121:P122"/>
    <mergeCell ref="P82:P83"/>
    <mergeCell ref="P78:P79"/>
    <mergeCell ref="O55:O56"/>
    <mergeCell ref="R96:R97"/>
    <mergeCell ref="M84:M85"/>
    <mergeCell ref="M74:M75"/>
    <mergeCell ref="Q6:Q7"/>
    <mergeCell ref="O87:O88"/>
    <mergeCell ref="O12:O13"/>
    <mergeCell ref="P80:P81"/>
    <mergeCell ref="O8:O9"/>
    <mergeCell ref="O22:O23"/>
    <mergeCell ref="P27:P28"/>
    <mergeCell ref="P6:P7"/>
    <mergeCell ref="Q74:Q75"/>
    <mergeCell ref="Q43:Q44"/>
    <mergeCell ref="Q76:Q77"/>
    <mergeCell ref="Q78:Q79"/>
    <mergeCell ref="Q80:Q81"/>
    <mergeCell ref="Q82:Q83"/>
    <mergeCell ref="Q84:Q85"/>
    <mergeCell ref="Q87:Q88"/>
    <mergeCell ref="Q39:Q40"/>
    <mergeCell ref="Q37:Q38"/>
    <mergeCell ref="O16:O17"/>
    <mergeCell ref="P12:P13"/>
    <mergeCell ref="Q8:Q9"/>
    <mergeCell ref="Q10:Q11"/>
    <mergeCell ref="P8:P9"/>
    <mergeCell ref="O78:O79"/>
    <mergeCell ref="O10:O11"/>
    <mergeCell ref="Q12:Q13"/>
    <mergeCell ref="Q16:Q17"/>
    <mergeCell ref="Q18:Q19"/>
    <mergeCell ref="Q27:Q28"/>
    <mergeCell ref="O41:O42"/>
    <mergeCell ref="P14:P15"/>
    <mergeCell ref="P16:P17"/>
    <mergeCell ref="Q219:Q220"/>
    <mergeCell ref="R196:R197"/>
    <mergeCell ref="P183:P184"/>
    <mergeCell ref="P216:P217"/>
    <mergeCell ref="Q240:Q241"/>
    <mergeCell ref="R179:R180"/>
    <mergeCell ref="Q491:Q494"/>
    <mergeCell ref="Q588:Q589"/>
    <mergeCell ref="Q252:Q253"/>
    <mergeCell ref="Q312:Q313"/>
    <mergeCell ref="R261:R262"/>
    <mergeCell ref="R240:R241"/>
    <mergeCell ref="R223:R224"/>
    <mergeCell ref="Q225:Q226"/>
    <mergeCell ref="Q475:Q476"/>
    <mergeCell ref="R478:R479"/>
    <mergeCell ref="N393:P394"/>
    <mergeCell ref="R374:R375"/>
    <mergeCell ref="A300:X300"/>
    <mergeCell ref="Q358:Q359"/>
    <mergeCell ref="T419:T420"/>
    <mergeCell ref="O456:O460"/>
    <mergeCell ref="S196:S197"/>
    <mergeCell ref="O498:O499"/>
    <mergeCell ref="R318:R319"/>
    <mergeCell ref="V456:V457"/>
    <mergeCell ref="U440:U441"/>
    <mergeCell ref="I424:I425"/>
    <mergeCell ref="I318:I319"/>
    <mergeCell ref="L442:L443"/>
    <mergeCell ref="L461:L470"/>
    <mergeCell ref="I335:I336"/>
    <mergeCell ref="M98:M99"/>
    <mergeCell ref="A387:A388"/>
    <mergeCell ref="F343:F344"/>
    <mergeCell ref="E387:E388"/>
    <mergeCell ref="E312:E313"/>
    <mergeCell ref="R387:R388"/>
    <mergeCell ref="L387:L388"/>
    <mergeCell ref="R475:R476"/>
    <mergeCell ref="P491:P494"/>
    <mergeCell ref="O491:O494"/>
    <mergeCell ref="N504:P504"/>
    <mergeCell ref="O475:O476"/>
    <mergeCell ref="G337:G338"/>
    <mergeCell ref="A454:X454"/>
    <mergeCell ref="A461:A470"/>
    <mergeCell ref="G335:G336"/>
    <mergeCell ref="H419:H420"/>
    <mergeCell ref="H461:H470"/>
    <mergeCell ref="H337:H338"/>
    <mergeCell ref="T212:T213"/>
    <mergeCell ref="T227:T228"/>
    <mergeCell ref="U227:U228"/>
    <mergeCell ref="U216:U217"/>
    <mergeCell ref="O167:O168"/>
    <mergeCell ref="R163:R164"/>
    <mergeCell ref="Q221:Q222"/>
    <mergeCell ref="Q173:Q174"/>
    <mergeCell ref="N237:P237"/>
    <mergeCell ref="Q179:Q180"/>
    <mergeCell ref="Q183:Q184"/>
    <mergeCell ref="Q309:Q310"/>
    <mergeCell ref="Q303:Q304"/>
    <mergeCell ref="S103:S104"/>
    <mergeCell ref="S105:S106"/>
    <mergeCell ref="D753:D756"/>
    <mergeCell ref="T782:T783"/>
    <mergeCell ref="T668:T671"/>
    <mergeCell ref="E710:E713"/>
    <mergeCell ref="O697:O698"/>
    <mergeCell ref="I697:I698"/>
    <mergeCell ref="R644:R646"/>
    <mergeCell ref="R185:R186"/>
    <mergeCell ref="S240:S241"/>
    <mergeCell ref="P335:P336"/>
    <mergeCell ref="I363:I364"/>
    <mergeCell ref="P163:P164"/>
    <mergeCell ref="S179:S180"/>
    <mergeCell ref="S173:S174"/>
    <mergeCell ref="O309:O310"/>
    <mergeCell ref="R289:R290"/>
    <mergeCell ref="R165:R166"/>
    <mergeCell ref="A408:X408"/>
    <mergeCell ref="R417:R418"/>
    <mergeCell ref="U194:U195"/>
    <mergeCell ref="U196:U197"/>
    <mergeCell ref="T255:T256"/>
    <mergeCell ref="X746:X750"/>
    <mergeCell ref="X738:X739"/>
    <mergeCell ref="X716:X717"/>
    <mergeCell ref="X712:X713"/>
    <mergeCell ref="Q700:Q701"/>
    <mergeCell ref="Q710:Q713"/>
    <mergeCell ref="R764:R765"/>
    <mergeCell ref="Q707:Q709"/>
    <mergeCell ref="C659:C666"/>
    <mergeCell ref="R1097:R1101"/>
    <mergeCell ref="R950:R959"/>
    <mergeCell ref="R906:R908"/>
    <mergeCell ref="R869:R870"/>
    <mergeCell ref="R1058:R1061"/>
    <mergeCell ref="R1102:R1104"/>
    <mergeCell ref="R710:R713"/>
    <mergeCell ref="Q768:Q769"/>
    <mergeCell ref="N791:N792"/>
    <mergeCell ref="J764:J765"/>
    <mergeCell ref="R753:R756"/>
    <mergeCell ref="I743:I750"/>
    <mergeCell ref="R794:R796"/>
    <mergeCell ref="P702:P704"/>
    <mergeCell ref="P849:P850"/>
    <mergeCell ref="P751:P752"/>
    <mergeCell ref="R1056:R1057"/>
    <mergeCell ref="R1073:R1075"/>
    <mergeCell ref="R891:R892"/>
    <mergeCell ref="H822:H827"/>
    <mergeCell ref="H798:H799"/>
    <mergeCell ref="G885:G887"/>
    <mergeCell ref="H738:H740"/>
    <mergeCell ref="E741:E742"/>
    <mergeCell ref="H697:H698"/>
    <mergeCell ref="P867:P868"/>
    <mergeCell ref="N804:N809"/>
    <mergeCell ref="L867:L868"/>
    <mergeCell ref="L710:L713"/>
    <mergeCell ref="P794:P796"/>
    <mergeCell ref="P759:P760"/>
    <mergeCell ref="T1110:T1111"/>
    <mergeCell ref="T1090:T1093"/>
    <mergeCell ref="I1027:I1029"/>
    <mergeCell ref="I1102:I1104"/>
    <mergeCell ref="H1090:H1093"/>
    <mergeCell ref="H1094:H1095"/>
    <mergeCell ref="H1058:H1061"/>
    <mergeCell ref="H1056:H1057"/>
    <mergeCell ref="H1073:H1075"/>
    <mergeCell ref="H1050:H1052"/>
    <mergeCell ref="T972:T979"/>
    <mergeCell ref="T1114:T1115"/>
    <mergeCell ref="S575:S587"/>
    <mergeCell ref="T1097:T1101"/>
    <mergeCell ref="T794:T796"/>
    <mergeCell ref="S1058:S1061"/>
    <mergeCell ref="S1030:S1032"/>
    <mergeCell ref="Q1114:Q1115"/>
    <mergeCell ref="O1050:P1061"/>
    <mergeCell ref="O710:O713"/>
    <mergeCell ref="O768:O769"/>
    <mergeCell ref="P710:P713"/>
    <mergeCell ref="P707:P709"/>
    <mergeCell ref="S1066:S1067"/>
    <mergeCell ref="S1019:S1020"/>
    <mergeCell ref="S998:S1000"/>
    <mergeCell ref="S992:S996"/>
    <mergeCell ref="R668:R671"/>
    <mergeCell ref="O594:O597"/>
    <mergeCell ref="R590:R593"/>
    <mergeCell ref="R603:R606"/>
    <mergeCell ref="H762:H763"/>
    <mergeCell ref="N1114:P1115"/>
    <mergeCell ref="R1114:R1115"/>
    <mergeCell ref="R1015:R1018"/>
    <mergeCell ref="D842:D843"/>
    <mergeCell ref="Q869:Q870"/>
    <mergeCell ref="L1027:L1029"/>
    <mergeCell ref="R911:R912"/>
    <mergeCell ref="R972:R979"/>
    <mergeCell ref="R1050:R1052"/>
    <mergeCell ref="N1053:N1054"/>
    <mergeCell ref="U564:U568"/>
    <mergeCell ref="S1114:S1115"/>
    <mergeCell ref="S1073:S1075"/>
    <mergeCell ref="S1105:S1107"/>
    <mergeCell ref="S1102:S1104"/>
    <mergeCell ref="S1097:S1101"/>
    <mergeCell ref="S1094:S1095"/>
    <mergeCell ref="S1090:S1093"/>
    <mergeCell ref="S1027:S1029"/>
    <mergeCell ref="S1110:S1111"/>
    <mergeCell ref="S791:S792"/>
    <mergeCell ref="S798:S799"/>
    <mergeCell ref="S804:S809"/>
    <mergeCell ref="S800:S801"/>
    <mergeCell ref="S753:S756"/>
    <mergeCell ref="S812:S813"/>
    <mergeCell ref="S802:S803"/>
    <mergeCell ref="S822:S827"/>
    <mergeCell ref="T802:T803"/>
    <mergeCell ref="U710:U713"/>
    <mergeCell ref="T710:T713"/>
    <mergeCell ref="T1105:T1107"/>
    <mergeCell ref="P909:P910"/>
    <mergeCell ref="R902:R903"/>
    <mergeCell ref="Q862:Q864"/>
    <mergeCell ref="Q849:Q850"/>
    <mergeCell ref="P891:P892"/>
    <mergeCell ref="R897:R898"/>
    <mergeCell ref="R1022:R1026"/>
    <mergeCell ref="R970:R971"/>
    <mergeCell ref="Q972:Q979"/>
    <mergeCell ref="R904:R905"/>
    <mergeCell ref="O751:O752"/>
    <mergeCell ref="N679:P679"/>
    <mergeCell ref="N678:P678"/>
    <mergeCell ref="Q753:Q756"/>
    <mergeCell ref="L791:L792"/>
    <mergeCell ref="N766:N767"/>
    <mergeCell ref="P766:P767"/>
    <mergeCell ref="N810:N811"/>
    <mergeCell ref="A790:X790"/>
    <mergeCell ref="V982:V991"/>
    <mergeCell ref="N950:N959"/>
    <mergeCell ref="H741:H742"/>
    <mergeCell ref="B738:B740"/>
    <mergeCell ref="B716:B718"/>
    <mergeCell ref="O743:O750"/>
    <mergeCell ref="B791:B792"/>
    <mergeCell ref="S751:S752"/>
    <mergeCell ref="S869:S870"/>
    <mergeCell ref="S710:S713"/>
    <mergeCell ref="M710:M713"/>
    <mergeCell ref="T810:T811"/>
    <mergeCell ref="V738:V739"/>
    <mergeCell ref="Q1090:Q1093"/>
    <mergeCell ref="Q1027:Q1029"/>
    <mergeCell ref="R697:R698"/>
    <mergeCell ref="P668:P671"/>
    <mergeCell ref="S741:S742"/>
    <mergeCell ref="Q871:Q877"/>
    <mergeCell ref="Q816:Q821"/>
    <mergeCell ref="Q766:Q767"/>
    <mergeCell ref="N683:P683"/>
    <mergeCell ref="N777:P777"/>
    <mergeCell ref="O800:O801"/>
    <mergeCell ref="Q798:Q799"/>
    <mergeCell ref="S1064:S1065"/>
    <mergeCell ref="S970:S971"/>
    <mergeCell ref="S950:S959"/>
    <mergeCell ref="S1068:S1070"/>
    <mergeCell ref="S1053:S1054"/>
    <mergeCell ref="P1064:P1065"/>
    <mergeCell ref="Q970:Q971"/>
    <mergeCell ref="N909:N910"/>
    <mergeCell ref="N891:N892"/>
    <mergeCell ref="N970:N971"/>
    <mergeCell ref="N911:N912"/>
    <mergeCell ref="N902:N903"/>
    <mergeCell ref="N897:N898"/>
    <mergeCell ref="N906:N908"/>
    <mergeCell ref="O1064:O1065"/>
    <mergeCell ref="O897:O898"/>
    <mergeCell ref="Q1019:Q1020"/>
    <mergeCell ref="Q909:Q910"/>
    <mergeCell ref="R893:R894"/>
    <mergeCell ref="R899:R901"/>
    <mergeCell ref="R1066:R1067"/>
    <mergeCell ref="R1019:R1020"/>
    <mergeCell ref="R980:R981"/>
    <mergeCell ref="P1019:P1020"/>
    <mergeCell ref="Q893:Q894"/>
    <mergeCell ref="R982:R991"/>
    <mergeCell ref="R1027:R1029"/>
    <mergeCell ref="V816:V818"/>
    <mergeCell ref="V825:V827"/>
    <mergeCell ref="N844:N845"/>
    <mergeCell ref="U1064:U1065"/>
    <mergeCell ref="T1058:T1061"/>
    <mergeCell ref="T1030:T1032"/>
    <mergeCell ref="R1030:R1032"/>
    <mergeCell ref="S1056:S1057"/>
    <mergeCell ref="S1015:S1018"/>
    <mergeCell ref="S911:S912"/>
    <mergeCell ref="S982:S991"/>
    <mergeCell ref="A934:X934"/>
    <mergeCell ref="A921:X921"/>
    <mergeCell ref="R885:R887"/>
    <mergeCell ref="G1050:G1052"/>
    <mergeCell ref="B893:B894"/>
    <mergeCell ref="D837:D840"/>
    <mergeCell ref="S1050:S1052"/>
    <mergeCell ref="N992:N996"/>
    <mergeCell ref="Q992:Q996"/>
    <mergeCell ref="S852:S861"/>
    <mergeCell ref="U842:U843"/>
    <mergeCell ref="M867:M868"/>
    <mergeCell ref="V1053:V1054"/>
    <mergeCell ref="D885:D887"/>
    <mergeCell ref="Q1050:Q1052"/>
    <mergeCell ref="Q950:Q959"/>
    <mergeCell ref="Q1015:Q1018"/>
    <mergeCell ref="E909:E910"/>
    <mergeCell ref="P852:P861"/>
    <mergeCell ref="B904:B905"/>
    <mergeCell ref="J846:J848"/>
    <mergeCell ref="K909:K910"/>
    <mergeCell ref="M911:M912"/>
    <mergeCell ref="K939:K948"/>
    <mergeCell ref="K998:K1000"/>
    <mergeCell ref="N972:N979"/>
    <mergeCell ref="N846:N848"/>
    <mergeCell ref="L1019:L1020"/>
    <mergeCell ref="M909:M910"/>
    <mergeCell ref="E950:E959"/>
    <mergeCell ref="E891:E892"/>
    <mergeCell ref="E862:E864"/>
    <mergeCell ref="C869:C870"/>
    <mergeCell ref="C939:C948"/>
    <mergeCell ref="B869:B870"/>
    <mergeCell ref="B865:B866"/>
    <mergeCell ref="G904:G905"/>
    <mergeCell ref="G893:G894"/>
    <mergeCell ref="H869:H870"/>
    <mergeCell ref="O970:O971"/>
    <mergeCell ref="N1022:N1026"/>
    <mergeCell ref="Q982:Q991"/>
    <mergeCell ref="Q980:Q981"/>
    <mergeCell ref="Q1022:Q1026"/>
    <mergeCell ref="Q904:Q905"/>
    <mergeCell ref="Q939:Q948"/>
    <mergeCell ref="U1022:U1026"/>
    <mergeCell ref="U939:U948"/>
    <mergeCell ref="C972:C979"/>
    <mergeCell ref="U1050:U1052"/>
    <mergeCell ref="U909:U910"/>
    <mergeCell ref="U998:U1000"/>
    <mergeCell ref="T970:T971"/>
    <mergeCell ref="H902:H903"/>
    <mergeCell ref="E998:E1000"/>
    <mergeCell ref="U1027:U1029"/>
    <mergeCell ref="T939:T948"/>
    <mergeCell ref="E1019:E1020"/>
    <mergeCell ref="O911:O912"/>
    <mergeCell ref="Q906:Q908"/>
    <mergeCell ref="O846:O848"/>
    <mergeCell ref="Q897:Q898"/>
    <mergeCell ref="N862:N864"/>
    <mergeCell ref="Q885:Q887"/>
    <mergeCell ref="Q891:Q892"/>
    <mergeCell ref="N852:N861"/>
    <mergeCell ref="K891:K892"/>
    <mergeCell ref="J878:J881"/>
    <mergeCell ref="J939:J948"/>
    <mergeCell ref="M992:M996"/>
    <mergeCell ref="H1030:H1032"/>
    <mergeCell ref="L972:L979"/>
    <mergeCell ref="G1027:G1029"/>
    <mergeCell ref="M902:M903"/>
    <mergeCell ref="J1030:J1032"/>
    <mergeCell ref="J970:J971"/>
    <mergeCell ref="L891:L892"/>
    <mergeCell ref="L893:L894"/>
    <mergeCell ref="P899:P901"/>
    <mergeCell ref="P878:P881"/>
    <mergeCell ref="U906:U908"/>
    <mergeCell ref="L798:L799"/>
    <mergeCell ref="T798:T799"/>
    <mergeCell ref="S716:S718"/>
    <mergeCell ref="S707:S709"/>
    <mergeCell ref="S743:S750"/>
    <mergeCell ref="D741:D742"/>
    <mergeCell ref="F741:F742"/>
    <mergeCell ref="D743:D750"/>
    <mergeCell ref="H743:H750"/>
    <mergeCell ref="R743:R750"/>
    <mergeCell ref="R751:R752"/>
    <mergeCell ref="Q738:Q740"/>
    <mergeCell ref="P791:P792"/>
    <mergeCell ref="R759:R760"/>
    <mergeCell ref="R762:R763"/>
    <mergeCell ref="D738:D740"/>
    <mergeCell ref="D766:D767"/>
    <mergeCell ref="Q743:Q750"/>
    <mergeCell ref="Q741:Q742"/>
    <mergeCell ref="J837:J840"/>
    <mergeCell ref="J869:J870"/>
    <mergeCell ref="J862:J864"/>
    <mergeCell ref="N869:N870"/>
    <mergeCell ref="P865:P866"/>
    <mergeCell ref="O878:O881"/>
    <mergeCell ref="N762:N763"/>
    <mergeCell ref="N759:N760"/>
    <mergeCell ref="R862:R864"/>
    <mergeCell ref="R849:R850"/>
    <mergeCell ref="A640:A641"/>
    <mergeCell ref="U822:U827"/>
    <mergeCell ref="W653:W655"/>
    <mergeCell ref="A707:A709"/>
    <mergeCell ref="B707:B709"/>
    <mergeCell ref="V659:V662"/>
    <mergeCell ref="T741:T742"/>
    <mergeCell ref="P810:P811"/>
    <mergeCell ref="P743:P750"/>
    <mergeCell ref="E653:E658"/>
    <mergeCell ref="R653:R658"/>
    <mergeCell ref="N668:N671"/>
    <mergeCell ref="N644:N646"/>
    <mergeCell ref="G700:G701"/>
    <mergeCell ref="H751:H752"/>
    <mergeCell ref="H766:H767"/>
    <mergeCell ref="G791:G792"/>
    <mergeCell ref="I751:I752"/>
    <mergeCell ref="G764:G765"/>
    <mergeCell ref="G753:G756"/>
    <mergeCell ref="I764:I765"/>
    <mergeCell ref="E716:E718"/>
    <mergeCell ref="K707:K709"/>
    <mergeCell ref="J644:J646"/>
    <mergeCell ref="M642:M643"/>
    <mergeCell ref="K764:K765"/>
    <mergeCell ref="O716:O718"/>
    <mergeCell ref="J668:J671"/>
    <mergeCell ref="I710:I713"/>
    <mergeCell ref="J702:J704"/>
    <mergeCell ref="G762:G763"/>
    <mergeCell ref="T738:T740"/>
    <mergeCell ref="O741:O742"/>
    <mergeCell ref="G738:G740"/>
    <mergeCell ref="H707:H709"/>
    <mergeCell ref="N721:P721"/>
    <mergeCell ref="N674:P674"/>
    <mergeCell ref="P659:P666"/>
    <mergeCell ref="K668:K671"/>
    <mergeCell ref="L653:L658"/>
    <mergeCell ref="P716:P718"/>
    <mergeCell ref="G741:G742"/>
    <mergeCell ref="N812:N813"/>
    <mergeCell ref="N722:P722"/>
    <mergeCell ref="F800:F801"/>
    <mergeCell ref="F798:F799"/>
    <mergeCell ref="I812:I813"/>
    <mergeCell ref="H849:H850"/>
    <mergeCell ref="X635:X637"/>
    <mergeCell ref="N768:N769"/>
    <mergeCell ref="O766:O767"/>
    <mergeCell ref="L716:L718"/>
    <mergeCell ref="R766:R767"/>
    <mergeCell ref="R791:R792"/>
    <mergeCell ref="Q668:Q671"/>
    <mergeCell ref="O644:O646"/>
    <mergeCell ref="N675:P675"/>
    <mergeCell ref="N677:P677"/>
    <mergeCell ref="S653:S658"/>
    <mergeCell ref="T653:T658"/>
    <mergeCell ref="O668:O671"/>
    <mergeCell ref="S668:S671"/>
    <mergeCell ref="I766:I767"/>
    <mergeCell ref="H753:H756"/>
    <mergeCell ref="D1110:D1111"/>
    <mergeCell ref="E181:E182"/>
    <mergeCell ref="E216:E217"/>
    <mergeCell ref="E318:E319"/>
    <mergeCell ref="E419:E420"/>
    <mergeCell ref="E185:E186"/>
    <mergeCell ref="E221:E222"/>
    <mergeCell ref="D181:D182"/>
    <mergeCell ref="D902:D903"/>
    <mergeCell ref="D939:D948"/>
    <mergeCell ref="D1015:D1018"/>
    <mergeCell ref="D702:D704"/>
    <mergeCell ref="D764:D765"/>
    <mergeCell ref="D950:D959"/>
    <mergeCell ref="D1022:D1026"/>
    <mergeCell ref="D970:D971"/>
    <mergeCell ref="D1030:D1032"/>
    <mergeCell ref="D590:D593"/>
    <mergeCell ref="D794:D796"/>
    <mergeCell ref="D187:D188"/>
    <mergeCell ref="D185:D186"/>
    <mergeCell ref="D564:D568"/>
    <mergeCell ref="D387:D388"/>
    <mergeCell ref="D358:D359"/>
    <mergeCell ref="E475:E476"/>
    <mergeCell ref="E471:E472"/>
    <mergeCell ref="E337:E338"/>
    <mergeCell ref="E842:E843"/>
    <mergeCell ref="E1110:E1111"/>
    <mergeCell ref="A314:X314"/>
    <mergeCell ref="A316:A317"/>
    <mergeCell ref="Q301:Q302"/>
    <mergeCell ref="Q1064:Q1065"/>
    <mergeCell ref="Q1058:Q1061"/>
    <mergeCell ref="G1058:G1061"/>
    <mergeCell ref="G1030:G1032"/>
    <mergeCell ref="K757:K758"/>
    <mergeCell ref="K791:K792"/>
    <mergeCell ref="J766:J767"/>
    <mergeCell ref="I814:I815"/>
    <mergeCell ref="D897:D898"/>
    <mergeCell ref="D878:D881"/>
    <mergeCell ref="J844:J845"/>
    <mergeCell ref="J852:J861"/>
    <mergeCell ref="J899:J901"/>
    <mergeCell ref="J904:J905"/>
    <mergeCell ref="J804:J809"/>
    <mergeCell ref="L794:L796"/>
    <mergeCell ref="M906:M908"/>
    <mergeCell ref="L844:L845"/>
    <mergeCell ref="D882:D883"/>
    <mergeCell ref="E970:E971"/>
    <mergeCell ref="F849:F850"/>
    <mergeCell ref="L1030:L1032"/>
    <mergeCell ref="O810:O811"/>
    <mergeCell ref="G950:G959"/>
    <mergeCell ref="L980:L981"/>
    <mergeCell ref="M810:M811"/>
    <mergeCell ref="M1053:M1054"/>
    <mergeCell ref="M844:M845"/>
    <mergeCell ref="E980:E981"/>
    <mergeCell ref="G798:G799"/>
    <mergeCell ref="L852:L861"/>
    <mergeCell ref="G891:G892"/>
    <mergeCell ref="H610:H619"/>
    <mergeCell ref="N680:P680"/>
    <mergeCell ref="J659:J666"/>
    <mergeCell ref="L697:L698"/>
    <mergeCell ref="L707:L709"/>
    <mergeCell ref="L741:L742"/>
    <mergeCell ref="D1097:D1101"/>
    <mergeCell ref="D642:D643"/>
    <mergeCell ref="E649:E650"/>
    <mergeCell ref="D697:D698"/>
    <mergeCell ref="H659:H666"/>
    <mergeCell ref="J738:J740"/>
    <mergeCell ref="E668:E671"/>
    <mergeCell ref="I753:I756"/>
    <mergeCell ref="E1022:E1026"/>
    <mergeCell ref="E700:E701"/>
    <mergeCell ref="E738:E740"/>
    <mergeCell ref="A737:X737"/>
    <mergeCell ref="L753:L756"/>
    <mergeCell ref="M743:M750"/>
    <mergeCell ref="H710:H713"/>
    <mergeCell ref="G804:G809"/>
    <mergeCell ref="Q757:Q758"/>
    <mergeCell ref="P764:P765"/>
    <mergeCell ref="J716:J718"/>
    <mergeCell ref="J707:J709"/>
    <mergeCell ref="N798:N799"/>
    <mergeCell ref="K751:K752"/>
    <mergeCell ref="K753:K756"/>
    <mergeCell ref="O802:O803"/>
    <mergeCell ref="S762:S763"/>
    <mergeCell ref="P762:P763"/>
    <mergeCell ref="K702:K704"/>
    <mergeCell ref="O707:O709"/>
    <mergeCell ref="P649:P650"/>
    <mergeCell ref="L1053:L1054"/>
    <mergeCell ref="K810:K811"/>
    <mergeCell ref="G897:G898"/>
    <mergeCell ref="J791:J792"/>
    <mergeCell ref="M768:M769"/>
    <mergeCell ref="M753:M756"/>
    <mergeCell ref="E707:E709"/>
    <mergeCell ref="K911:K912"/>
    <mergeCell ref="D1105:D1107"/>
    <mergeCell ref="I738:I740"/>
    <mergeCell ref="I700:I701"/>
    <mergeCell ref="G716:G718"/>
    <mergeCell ref="N681:P681"/>
    <mergeCell ref="N684:P684"/>
    <mergeCell ref="E659:E666"/>
    <mergeCell ref="P741:P742"/>
    <mergeCell ref="A735:X735"/>
    <mergeCell ref="I702:I704"/>
    <mergeCell ref="H653:H658"/>
    <mergeCell ref="O759:O760"/>
    <mergeCell ref="O700:O701"/>
    <mergeCell ref="G668:G671"/>
    <mergeCell ref="O653:O658"/>
    <mergeCell ref="W794:W795"/>
    <mergeCell ref="W755:W756"/>
    <mergeCell ref="I716:I718"/>
    <mergeCell ref="M762:M763"/>
    <mergeCell ref="K762:K763"/>
    <mergeCell ref="D849:D850"/>
    <mergeCell ref="T368:T369"/>
    <mergeCell ref="S478:S479"/>
    <mergeCell ref="T491:T494"/>
    <mergeCell ref="R564:R568"/>
    <mergeCell ref="Q530:Q531"/>
    <mergeCell ref="H1022:H1026"/>
    <mergeCell ref="G532:G533"/>
    <mergeCell ref="G540:G541"/>
    <mergeCell ref="D610:D619"/>
    <mergeCell ref="Q642:Q643"/>
    <mergeCell ref="R598:R602"/>
    <mergeCell ref="P598:P602"/>
    <mergeCell ref="U575:U587"/>
    <mergeCell ref="E546:E547"/>
    <mergeCell ref="G546:G547"/>
    <mergeCell ref="G642:G643"/>
    <mergeCell ref="G644:G646"/>
    <mergeCell ref="K598:K602"/>
    <mergeCell ref="F561:F562"/>
    <mergeCell ref="K635:K639"/>
    <mergeCell ref="K649:K650"/>
    <mergeCell ref="M653:M658"/>
    <mergeCell ref="E644:E646"/>
    <mergeCell ref="G564:G568"/>
    <mergeCell ref="I603:I606"/>
    <mergeCell ref="J575:J587"/>
    <mergeCell ref="L564:L568"/>
    <mergeCell ref="P594:P597"/>
    <mergeCell ref="H598:H602"/>
    <mergeCell ref="H575:H587"/>
    <mergeCell ref="N590:N593"/>
    <mergeCell ref="R594:R597"/>
    <mergeCell ref="O590:O593"/>
    <mergeCell ref="O564:O568"/>
    <mergeCell ref="M659:M666"/>
    <mergeCell ref="I561:I562"/>
    <mergeCell ref="W656:W658"/>
    <mergeCell ref="L540:L541"/>
    <mergeCell ref="L532:L533"/>
    <mergeCell ref="M461:M470"/>
    <mergeCell ref="K498:K499"/>
    <mergeCell ref="Q635:Q639"/>
    <mergeCell ref="S610:S619"/>
    <mergeCell ref="V598:V600"/>
    <mergeCell ref="Q607:Q609"/>
    <mergeCell ref="Q610:Q619"/>
    <mergeCell ref="T640:T641"/>
    <mergeCell ref="T642:T643"/>
    <mergeCell ref="V644:V645"/>
    <mergeCell ref="N475:N476"/>
    <mergeCell ref="N598:N602"/>
    <mergeCell ref="O532:O533"/>
    <mergeCell ref="P644:P646"/>
    <mergeCell ref="P588:P589"/>
    <mergeCell ref="K590:K593"/>
    <mergeCell ref="Q590:Q593"/>
    <mergeCell ref="T607:T609"/>
    <mergeCell ref="A631:X631"/>
    <mergeCell ref="U610:U619"/>
    <mergeCell ref="X575:X585"/>
    <mergeCell ref="R575:R587"/>
    <mergeCell ref="W601:W602"/>
    <mergeCell ref="R588:R589"/>
    <mergeCell ref="U590:U593"/>
    <mergeCell ref="F396:F397"/>
    <mergeCell ref="A385:X385"/>
    <mergeCell ref="J424:J425"/>
    <mergeCell ref="L456:L460"/>
    <mergeCell ref="E393:E394"/>
    <mergeCell ref="L343:L344"/>
    <mergeCell ref="L337:L338"/>
    <mergeCell ref="J343:J344"/>
    <mergeCell ref="T365:T366"/>
    <mergeCell ref="J387:J388"/>
    <mergeCell ref="K393:K394"/>
    <mergeCell ref="U456:U460"/>
    <mergeCell ref="S440:S441"/>
    <mergeCell ref="M478:M479"/>
    <mergeCell ref="F361:F362"/>
    <mergeCell ref="R491:R494"/>
    <mergeCell ref="U363:U364"/>
    <mergeCell ref="P461:P470"/>
    <mergeCell ref="I396:I397"/>
    <mergeCell ref="S361:S362"/>
    <mergeCell ref="U387:U388"/>
    <mergeCell ref="T404:T405"/>
    <mergeCell ref="T447:T448"/>
    <mergeCell ref="O461:O470"/>
    <mergeCell ref="N368:N369"/>
    <mergeCell ref="T483:T484"/>
    <mergeCell ref="N395:P395"/>
    <mergeCell ref="S337:S338"/>
    <mergeCell ref="V493:V494"/>
    <mergeCell ref="N387:N388"/>
    <mergeCell ref="H368:H369"/>
    <mergeCell ref="H417:H418"/>
    <mergeCell ref="W712:W713"/>
    <mergeCell ref="X638:X639"/>
    <mergeCell ref="L640:L641"/>
    <mergeCell ref="L642:L643"/>
    <mergeCell ref="W598:W600"/>
    <mergeCell ref="K766:K767"/>
    <mergeCell ref="O575:O587"/>
    <mergeCell ref="I607:I609"/>
    <mergeCell ref="X755:X756"/>
    <mergeCell ref="J607:J609"/>
    <mergeCell ref="R649:R650"/>
    <mergeCell ref="S649:S650"/>
    <mergeCell ref="L594:L597"/>
    <mergeCell ref="I564:I568"/>
    <mergeCell ref="I575:I587"/>
    <mergeCell ref="M716:M718"/>
    <mergeCell ref="I653:I658"/>
    <mergeCell ref="I644:I646"/>
    <mergeCell ref="K697:K698"/>
    <mergeCell ref="A621:X621"/>
    <mergeCell ref="X592:X593"/>
    <mergeCell ref="D710:D713"/>
    <mergeCell ref="D716:D718"/>
    <mergeCell ref="V712:V713"/>
    <mergeCell ref="D700:D701"/>
    <mergeCell ref="R741:R742"/>
    <mergeCell ref="P653:P658"/>
    <mergeCell ref="I707:I709"/>
    <mergeCell ref="O640:O641"/>
    <mergeCell ref="S594:S597"/>
    <mergeCell ref="K716:K718"/>
    <mergeCell ref="H640:H641"/>
    <mergeCell ref="S702:S704"/>
    <mergeCell ref="N659:N666"/>
    <mergeCell ref="X707:X708"/>
    <mergeCell ref="W707:W708"/>
    <mergeCell ref="L603:L606"/>
    <mergeCell ref="O607:O609"/>
    <mergeCell ref="S607:S609"/>
    <mergeCell ref="W610:W614"/>
    <mergeCell ref="W607:W608"/>
    <mergeCell ref="X603:X604"/>
    <mergeCell ref="M700:M701"/>
    <mergeCell ref="V707:V708"/>
    <mergeCell ref="W702:W703"/>
    <mergeCell ref="Q702:Q704"/>
    <mergeCell ref="R707:R709"/>
    <mergeCell ref="N697:N698"/>
    <mergeCell ref="V670:V671"/>
    <mergeCell ref="L668:L671"/>
    <mergeCell ref="X670:X671"/>
    <mergeCell ref="X644:X645"/>
    <mergeCell ref="P603:P606"/>
    <mergeCell ref="S659:S666"/>
    <mergeCell ref="R702:R704"/>
    <mergeCell ref="N607:N609"/>
    <mergeCell ref="Q659:Q666"/>
    <mergeCell ref="L610:L619"/>
    <mergeCell ref="W670:W671"/>
    <mergeCell ref="V702:V703"/>
    <mergeCell ref="V607:V608"/>
    <mergeCell ref="U668:U671"/>
    <mergeCell ref="R640:R641"/>
    <mergeCell ref="L635:L639"/>
    <mergeCell ref="U594:U597"/>
    <mergeCell ref="N316:P317"/>
    <mergeCell ref="Q564:Q568"/>
    <mergeCell ref="Q561:Q562"/>
    <mergeCell ref="Q546:Q547"/>
    <mergeCell ref="Q697:Q698"/>
    <mergeCell ref="V653:V655"/>
    <mergeCell ref="O588:O589"/>
    <mergeCell ref="Q478:Q479"/>
    <mergeCell ref="Q535:Q536"/>
    <mergeCell ref="Q498:Q499"/>
    <mergeCell ref="T635:T639"/>
    <mergeCell ref="S635:S639"/>
    <mergeCell ref="P635:P639"/>
    <mergeCell ref="O649:O650"/>
    <mergeCell ref="R532:R533"/>
    <mergeCell ref="A503:X503"/>
    <mergeCell ref="L358:L359"/>
    <mergeCell ref="X590:X591"/>
    <mergeCell ref="L607:L609"/>
    <mergeCell ref="G588:G589"/>
    <mergeCell ref="X668:X669"/>
    <mergeCell ref="T659:T666"/>
    <mergeCell ref="X702:X703"/>
    <mergeCell ref="T697:T698"/>
    <mergeCell ref="S697:S698"/>
    <mergeCell ref="Q649:Q650"/>
    <mergeCell ref="N255:N256"/>
    <mergeCell ref="N312:N313"/>
    <mergeCell ref="N305:N306"/>
    <mergeCell ref="R312:R313"/>
    <mergeCell ref="N315:P315"/>
    <mergeCell ref="U374:U375"/>
    <mergeCell ref="P419:P420"/>
    <mergeCell ref="Q361:Q362"/>
    <mergeCell ref="I475:I476"/>
    <mergeCell ref="A343:A344"/>
    <mergeCell ref="Q396:Q397"/>
    <mergeCell ref="I461:I470"/>
    <mergeCell ref="R337:R338"/>
    <mergeCell ref="N363:N364"/>
    <mergeCell ref="I347:I348"/>
    <mergeCell ref="I358:I359"/>
    <mergeCell ref="I337:I338"/>
    <mergeCell ref="M361:M362"/>
    <mergeCell ref="K456:K460"/>
    <mergeCell ref="K374:K375"/>
    <mergeCell ref="K368:K369"/>
    <mergeCell ref="K358:K359"/>
    <mergeCell ref="F368:F369"/>
    <mergeCell ref="T309:T310"/>
    <mergeCell ref="S305:S306"/>
    <mergeCell ref="R424:R425"/>
    <mergeCell ref="S343:S344"/>
    <mergeCell ref="O343:O344"/>
    <mergeCell ref="A347:A348"/>
    <mergeCell ref="S387:S388"/>
    <mergeCell ref="H442:H443"/>
    <mergeCell ref="J365:J366"/>
    <mergeCell ref="J1097:J1101"/>
    <mergeCell ref="J368:J369"/>
    <mergeCell ref="J491:J494"/>
    <mergeCell ref="A676:X676"/>
    <mergeCell ref="G816:G821"/>
    <mergeCell ref="J1058:J1061"/>
    <mergeCell ref="J1050:J1052"/>
    <mergeCell ref="L427:L428"/>
    <mergeCell ref="D1073:D1075"/>
    <mergeCell ref="S972:S979"/>
    <mergeCell ref="S893:S894"/>
    <mergeCell ref="S904:S905"/>
    <mergeCell ref="S902:S903"/>
    <mergeCell ref="S899:S901"/>
    <mergeCell ref="Q1030:Q1032"/>
    <mergeCell ref="M882:M883"/>
    <mergeCell ref="M871:M877"/>
    <mergeCell ref="X566:X568"/>
    <mergeCell ref="O635:O639"/>
    <mergeCell ref="L644:L646"/>
    <mergeCell ref="U607:U609"/>
    <mergeCell ref="Q603:Q606"/>
    <mergeCell ref="X753:X754"/>
    <mergeCell ref="W644:W645"/>
    <mergeCell ref="T644:T646"/>
    <mergeCell ref="U642:U643"/>
    <mergeCell ref="W596:W597"/>
    <mergeCell ref="W615:W619"/>
    <mergeCell ref="U603:U606"/>
    <mergeCell ref="E1090:E1093"/>
    <mergeCell ref="H1019:H1020"/>
    <mergeCell ref="L764:L765"/>
    <mergeCell ref="M6:M7"/>
    <mergeCell ref="J87:J88"/>
    <mergeCell ref="J121:J122"/>
    <mergeCell ref="J78:J79"/>
    <mergeCell ref="J101:J102"/>
    <mergeCell ref="J89:J90"/>
    <mergeCell ref="J84:J85"/>
    <mergeCell ref="J98:J99"/>
    <mergeCell ref="J131:J132"/>
    <mergeCell ref="J129:J130"/>
    <mergeCell ref="M49:M50"/>
    <mergeCell ref="M114:M115"/>
    <mergeCell ref="M101:M102"/>
    <mergeCell ref="M119:M120"/>
    <mergeCell ref="L91:L92"/>
    <mergeCell ref="J45:J46"/>
    <mergeCell ref="L94:L95"/>
    <mergeCell ref="M117:M118"/>
    <mergeCell ref="L6:L7"/>
    <mergeCell ref="L18:L19"/>
    <mergeCell ref="M43:M44"/>
    <mergeCell ref="M47:M48"/>
    <mergeCell ref="L14:L15"/>
    <mergeCell ref="K8:K9"/>
    <mergeCell ref="K22:K23"/>
    <mergeCell ref="J8:J9"/>
    <mergeCell ref="J22:J23"/>
    <mergeCell ref="L10:L11"/>
    <mergeCell ref="K89:K90"/>
    <mergeCell ref="K74:K75"/>
    <mergeCell ref="J105:J106"/>
    <mergeCell ref="J80:J81"/>
    <mergeCell ref="Q255:Q256"/>
    <mergeCell ref="P255:P256"/>
    <mergeCell ref="M530:M531"/>
    <mergeCell ref="V603:V604"/>
    <mergeCell ref="J37:J38"/>
    <mergeCell ref="L20:L21"/>
    <mergeCell ref="L22:L23"/>
    <mergeCell ref="M12:M13"/>
    <mergeCell ref="J27:J28"/>
    <mergeCell ref="T175:T176"/>
    <mergeCell ref="K216:K217"/>
    <mergeCell ref="K214:K215"/>
    <mergeCell ref="M8:M9"/>
    <mergeCell ref="L101:L102"/>
    <mergeCell ref="L57:L58"/>
    <mergeCell ref="L55:L56"/>
    <mergeCell ref="M22:M23"/>
    <mergeCell ref="M62:M63"/>
    <mergeCell ref="K98:K99"/>
    <mergeCell ref="K135:K136"/>
    <mergeCell ref="L192:L193"/>
    <mergeCell ref="N8:N9"/>
    <mergeCell ref="L8:L9"/>
    <mergeCell ref="L12:L13"/>
    <mergeCell ref="M10:M11"/>
    <mergeCell ref="M167:M168"/>
    <mergeCell ref="L177:L178"/>
    <mergeCell ref="R14:R15"/>
    <mergeCell ref="R10:R11"/>
    <mergeCell ref="R8:R9"/>
    <mergeCell ref="Q305:Q306"/>
    <mergeCell ref="R282:R283"/>
    <mergeCell ref="L98:L99"/>
    <mergeCell ref="K62:K63"/>
    <mergeCell ref="K55:K56"/>
    <mergeCell ref="K59:K60"/>
    <mergeCell ref="M129:M130"/>
    <mergeCell ref="J427:J428"/>
    <mergeCell ref="J305:J306"/>
    <mergeCell ref="K461:K470"/>
    <mergeCell ref="L305:L306"/>
    <mergeCell ref="K301:K302"/>
    <mergeCell ref="J165:J166"/>
    <mergeCell ref="J114:J115"/>
    <mergeCell ref="L196:L197"/>
    <mergeCell ref="L417:L418"/>
    <mergeCell ref="M318:M319"/>
    <mergeCell ref="L368:L369"/>
    <mergeCell ref="L277:L278"/>
    <mergeCell ref="L365:L366"/>
    <mergeCell ref="K87:K88"/>
    <mergeCell ref="L312:L313"/>
    <mergeCell ref="A439:X439"/>
    <mergeCell ref="J277:J278"/>
    <mergeCell ref="J442:J443"/>
    <mergeCell ref="A410:X410"/>
    <mergeCell ref="K419:K420"/>
    <mergeCell ref="K442:K443"/>
    <mergeCell ref="J119:J120"/>
    <mergeCell ref="J189:J190"/>
    <mergeCell ref="K173:K174"/>
    <mergeCell ref="K175:K176"/>
    <mergeCell ref="J223:J224"/>
    <mergeCell ref="L131:L132"/>
    <mergeCell ref="M41:M42"/>
    <mergeCell ref="R41:R42"/>
    <mergeCell ref="R39:R40"/>
    <mergeCell ref="R62:R63"/>
    <mergeCell ref="M301:M302"/>
    <mergeCell ref="L240:L241"/>
    <mergeCell ref="L194:L195"/>
    <mergeCell ref="L199:L200"/>
    <mergeCell ref="M133:M134"/>
    <mergeCell ref="M127:M128"/>
    <mergeCell ref="K53:K54"/>
    <mergeCell ref="J103:J104"/>
    <mergeCell ref="J41:J42"/>
    <mergeCell ref="Q57:Q58"/>
    <mergeCell ref="R51:R52"/>
    <mergeCell ref="R91:R92"/>
    <mergeCell ref="R45:R46"/>
    <mergeCell ref="M96:M97"/>
    <mergeCell ref="M94:M95"/>
    <mergeCell ref="M45:M46"/>
    <mergeCell ref="N39:N40"/>
    <mergeCell ref="J282:J283"/>
    <mergeCell ref="K125:K126"/>
    <mergeCell ref="J117:J118"/>
    <mergeCell ref="M55:M56"/>
    <mergeCell ref="M59:M60"/>
    <mergeCell ref="J96:J97"/>
    <mergeCell ref="L185:L186"/>
    <mergeCell ref="L183:L184"/>
    <mergeCell ref="L82:L83"/>
    <mergeCell ref="L84:L85"/>
    <mergeCell ref="L125:L126"/>
    <mergeCell ref="K82:K83"/>
    <mergeCell ref="J175:J176"/>
    <mergeCell ref="J187:J188"/>
    <mergeCell ref="I221:I222"/>
    <mergeCell ref="G194:G195"/>
    <mergeCell ref="I82:I83"/>
    <mergeCell ref="I101:I102"/>
    <mergeCell ref="I103:I104"/>
    <mergeCell ref="I131:I132"/>
    <mergeCell ref="I129:I130"/>
    <mergeCell ref="K133:K134"/>
    <mergeCell ref="I43:I44"/>
    <mergeCell ref="I94:I95"/>
    <mergeCell ref="I91:I92"/>
    <mergeCell ref="I117:I118"/>
    <mergeCell ref="I98:I99"/>
    <mergeCell ref="H185:H186"/>
    <mergeCell ref="K171:K172"/>
    <mergeCell ref="I105:I106"/>
    <mergeCell ref="I119:I120"/>
    <mergeCell ref="I84:I85"/>
    <mergeCell ref="I53:I54"/>
    <mergeCell ref="J125:J126"/>
    <mergeCell ref="J181:J182"/>
    <mergeCell ref="H89:H90"/>
    <mergeCell ref="J76:J77"/>
    <mergeCell ref="I51:I52"/>
    <mergeCell ref="H127:H128"/>
    <mergeCell ref="K127:K128"/>
    <mergeCell ref="J147:J148"/>
    <mergeCell ref="K114:K115"/>
    <mergeCell ref="J196:J197"/>
    <mergeCell ref="J1114:J1115"/>
    <mergeCell ref="U1110:U1111"/>
    <mergeCell ref="U1114:U1115"/>
    <mergeCell ref="G980:G981"/>
    <mergeCell ref="F911:F912"/>
    <mergeCell ref="G906:G908"/>
    <mergeCell ref="A1117:B1117"/>
    <mergeCell ref="N1072:P1072"/>
    <mergeCell ref="G970:G971"/>
    <mergeCell ref="J885:J887"/>
    <mergeCell ref="J911:J912"/>
    <mergeCell ref="K849:K850"/>
    <mergeCell ref="K816:K821"/>
    <mergeCell ref="K822:K827"/>
    <mergeCell ref="K837:K840"/>
    <mergeCell ref="K842:K843"/>
    <mergeCell ref="K846:K848"/>
    <mergeCell ref="J1110:J1111"/>
    <mergeCell ref="J1105:J1107"/>
    <mergeCell ref="T1053:T1054"/>
    <mergeCell ref="U1090:U1093"/>
    <mergeCell ref="U1056:U1057"/>
    <mergeCell ref="U982:U991"/>
    <mergeCell ref="U980:U981"/>
    <mergeCell ref="U1053:U1054"/>
    <mergeCell ref="K1066:K1067"/>
    <mergeCell ref="L1068:L1070"/>
    <mergeCell ref="D871:D877"/>
    <mergeCell ref="D844:D845"/>
    <mergeCell ref="Q1068:Q1070"/>
    <mergeCell ref="I1097:I1101"/>
    <mergeCell ref="T1066:T1067"/>
    <mergeCell ref="U14:U15"/>
    <mergeCell ref="S91:S92"/>
    <mergeCell ref="S78:S79"/>
    <mergeCell ref="H105:H106"/>
    <mergeCell ref="I37:I38"/>
    <mergeCell ref="N1119:P1119"/>
    <mergeCell ref="N998:P998"/>
    <mergeCell ref="A1071:B1071"/>
    <mergeCell ref="N1079:P1079"/>
    <mergeCell ref="N938:P938"/>
    <mergeCell ref="A1035:B1035"/>
    <mergeCell ref="N1038:P1038"/>
    <mergeCell ref="A997:B997"/>
    <mergeCell ref="A1046:X1046"/>
    <mergeCell ref="N1040:P1040"/>
    <mergeCell ref="N1001:P1001"/>
    <mergeCell ref="N1037:P1037"/>
    <mergeCell ref="A1039:B1039"/>
    <mergeCell ref="A1013:X1013"/>
    <mergeCell ref="N896:P896"/>
    <mergeCell ref="A1011:X1011"/>
    <mergeCell ref="N1036:P1036"/>
    <mergeCell ref="J992:J996"/>
    <mergeCell ref="U1068:U1070"/>
    <mergeCell ref="U1030:U1032"/>
    <mergeCell ref="U1097:U1101"/>
    <mergeCell ref="T902:T903"/>
    <mergeCell ref="R992:R996"/>
    <mergeCell ref="Q1097:Q1101"/>
    <mergeCell ref="Q1102:Q1104"/>
    <mergeCell ref="Q1105:Q1107"/>
    <mergeCell ref="T78:T79"/>
    <mergeCell ref="A3:X3"/>
    <mergeCell ref="A14:A15"/>
    <mergeCell ref="A16:A17"/>
    <mergeCell ref="A18:A19"/>
    <mergeCell ref="A20:A21"/>
    <mergeCell ref="A22:A23"/>
    <mergeCell ref="A27:A28"/>
    <mergeCell ref="I22:I23"/>
    <mergeCell ref="L39:L40"/>
    <mergeCell ref="L45:L46"/>
    <mergeCell ref="I20:I21"/>
    <mergeCell ref="L62:L63"/>
    <mergeCell ref="N14:N15"/>
    <mergeCell ref="L41:L42"/>
    <mergeCell ref="L27:L28"/>
    <mergeCell ref="L51:L52"/>
    <mergeCell ref="K10:K11"/>
    <mergeCell ref="J12:J13"/>
    <mergeCell ref="K14:K15"/>
    <mergeCell ref="K16:K17"/>
    <mergeCell ref="U6:U7"/>
    <mergeCell ref="U10:U11"/>
    <mergeCell ref="R27:R28"/>
    <mergeCell ref="R18:R19"/>
    <mergeCell ref="R16:R17"/>
    <mergeCell ref="I47:I48"/>
    <mergeCell ref="J43:J44"/>
    <mergeCell ref="R6:R7"/>
    <mergeCell ref="M27:M28"/>
    <mergeCell ref="K20:K21"/>
    <mergeCell ref="J20:J21"/>
    <mergeCell ref="J16:J17"/>
    <mergeCell ref="U37:U38"/>
    <mergeCell ref="U51:U52"/>
    <mergeCell ref="T84:T85"/>
    <mergeCell ref="S76:S77"/>
    <mergeCell ref="S87:S88"/>
    <mergeCell ref="T39:T40"/>
    <mergeCell ref="T47:T48"/>
    <mergeCell ref="Q47:Q48"/>
    <mergeCell ref="T89:T90"/>
    <mergeCell ref="M39:M40"/>
    <mergeCell ref="Q45:Q46"/>
    <mergeCell ref="R80:R81"/>
    <mergeCell ref="R82:R83"/>
    <mergeCell ref="R84:R85"/>
    <mergeCell ref="R89:R90"/>
    <mergeCell ref="R59:R60"/>
    <mergeCell ref="T101:T102"/>
    <mergeCell ref="U39:U40"/>
    <mergeCell ref="U74:U75"/>
    <mergeCell ref="U43:U44"/>
    <mergeCell ref="U59:U60"/>
    <mergeCell ref="U57:U58"/>
    <mergeCell ref="U47:U48"/>
    <mergeCell ref="T41:T42"/>
    <mergeCell ref="N101:N102"/>
    <mergeCell ref="M37:M38"/>
    <mergeCell ref="M51:M52"/>
    <mergeCell ref="R37:R38"/>
    <mergeCell ref="M78:M79"/>
    <mergeCell ref="S37:S38"/>
    <mergeCell ref="S53:S54"/>
    <mergeCell ref="S43:S44"/>
    <mergeCell ref="L175:L176"/>
    <mergeCell ref="L78:L79"/>
    <mergeCell ref="L59:L60"/>
    <mergeCell ref="T105:T106"/>
    <mergeCell ref="L43:L44"/>
    <mergeCell ref="L49:L50"/>
    <mergeCell ref="L74:L75"/>
    <mergeCell ref="R114:R115"/>
    <mergeCell ref="O165:O166"/>
    <mergeCell ref="O187:O188"/>
    <mergeCell ref="O125:O126"/>
    <mergeCell ref="N127:N128"/>
    <mergeCell ref="M225:M226"/>
    <mergeCell ref="T80:T81"/>
    <mergeCell ref="T96:T97"/>
    <mergeCell ref="M53:M54"/>
    <mergeCell ref="L80:L81"/>
    <mergeCell ref="T51:T52"/>
    <mergeCell ref="L147:L148"/>
    <mergeCell ref="R105:R106"/>
    <mergeCell ref="Q223:Q224"/>
    <mergeCell ref="Q163:Q164"/>
    <mergeCell ref="L119:L120"/>
    <mergeCell ref="M125:M126"/>
    <mergeCell ref="M214:M215"/>
    <mergeCell ref="L135:L136"/>
    <mergeCell ref="P131:P132"/>
    <mergeCell ref="Q127:Q128"/>
    <mergeCell ref="O119:O120"/>
    <mergeCell ref="Q135:Q136"/>
    <mergeCell ref="Q167:Q168"/>
    <mergeCell ref="Q171:Q172"/>
    <mergeCell ref="N238:P239"/>
    <mergeCell ref="P225:P226"/>
    <mergeCell ref="O255:O256"/>
    <mergeCell ref="N282:N283"/>
    <mergeCell ref="X878:X879"/>
    <mergeCell ref="J741:J742"/>
    <mergeCell ref="J794:J796"/>
    <mergeCell ref="K396:K397"/>
    <mergeCell ref="K417:K418"/>
    <mergeCell ref="S129:S130"/>
    <mergeCell ref="L285:L286"/>
    <mergeCell ref="H535:H536"/>
    <mergeCell ref="J235:J236"/>
    <mergeCell ref="H252:H253"/>
    <mergeCell ref="J316:J317"/>
    <mergeCell ref="J610:J619"/>
    <mergeCell ref="I588:I589"/>
    <mergeCell ref="I590:I593"/>
    <mergeCell ref="X605:X606"/>
    <mergeCell ref="X610:X614"/>
    <mergeCell ref="T598:T602"/>
    <mergeCell ref="S603:S606"/>
    <mergeCell ref="L282:L283"/>
    <mergeCell ref="L301:L302"/>
    <mergeCell ref="L219:L220"/>
    <mergeCell ref="O252:O253"/>
    <mergeCell ref="P173:P174"/>
    <mergeCell ref="H316:H317"/>
    <mergeCell ref="K309:K310"/>
    <mergeCell ref="K535:K536"/>
    <mergeCell ref="H305:H306"/>
    <mergeCell ref="H700:H701"/>
    <mergeCell ref="R235:R236"/>
    <mergeCell ref="L181:L182"/>
    <mergeCell ref="L189:L190"/>
    <mergeCell ref="L167:L168"/>
    <mergeCell ref="O909:O910"/>
    <mergeCell ref="Q1053:Q1054"/>
    <mergeCell ref="L970:L971"/>
    <mergeCell ref="N882:N883"/>
    <mergeCell ref="L309:L310"/>
    <mergeCell ref="K347:K348"/>
    <mergeCell ref="K644:K646"/>
    <mergeCell ref="K700:K701"/>
    <mergeCell ref="N753:N756"/>
    <mergeCell ref="I542:I544"/>
    <mergeCell ref="I368:I369"/>
    <mergeCell ref="L904:L905"/>
    <mergeCell ref="M1030:M1032"/>
    <mergeCell ref="L992:L996"/>
    <mergeCell ref="M1050:M1052"/>
    <mergeCell ref="M982:M991"/>
    <mergeCell ref="L998:L1000"/>
    <mergeCell ref="M495:M497"/>
    <mergeCell ref="J540:J541"/>
    <mergeCell ref="K343:K344"/>
    <mergeCell ref="J318:J319"/>
    <mergeCell ref="N624:P624"/>
    <mergeCell ref="P542:P544"/>
    <mergeCell ref="M387:M388"/>
    <mergeCell ref="L347:L348"/>
    <mergeCell ref="M316:M317"/>
    <mergeCell ref="K312:K313"/>
    <mergeCell ref="J530:J531"/>
    <mergeCell ref="F337:F338"/>
    <mergeCell ref="N347:P348"/>
    <mergeCell ref="L846:L848"/>
    <mergeCell ref="I846:I848"/>
    <mergeCell ref="J882:J883"/>
    <mergeCell ref="I668:I671"/>
    <mergeCell ref="K794:K796"/>
    <mergeCell ref="K738:K740"/>
    <mergeCell ref="K653:K658"/>
    <mergeCell ref="K741:K742"/>
    <mergeCell ref="J700:J701"/>
    <mergeCell ref="J753:J756"/>
    <mergeCell ref="N649:N650"/>
    <mergeCell ref="N710:N713"/>
    <mergeCell ref="N673:P673"/>
    <mergeCell ref="J542:J544"/>
    <mergeCell ref="A514:X514"/>
    <mergeCell ref="N461:N470"/>
    <mergeCell ref="K530:K531"/>
    <mergeCell ref="N716:N718"/>
    <mergeCell ref="K546:K547"/>
    <mergeCell ref="J498:J499"/>
    <mergeCell ref="L530:L531"/>
    <mergeCell ref="M475:M476"/>
    <mergeCell ref="L495:L497"/>
    <mergeCell ref="A488:X488"/>
    <mergeCell ref="K478:K479"/>
    <mergeCell ref="L590:L593"/>
    <mergeCell ref="W659:W662"/>
    <mergeCell ref="P535:P536"/>
    <mergeCell ref="S598:S602"/>
    <mergeCell ref="R610:R619"/>
    <mergeCell ref="X982:X991"/>
    <mergeCell ref="W1022:W1026"/>
    <mergeCell ref="C980:C981"/>
    <mergeCell ref="C906:C908"/>
    <mergeCell ref="M822:M827"/>
    <mergeCell ref="I899:I901"/>
    <mergeCell ref="O906:O908"/>
    <mergeCell ref="W939:W948"/>
    <mergeCell ref="U893:U894"/>
    <mergeCell ref="Q867:Q868"/>
    <mergeCell ref="V862:V863"/>
    <mergeCell ref="V839:V840"/>
    <mergeCell ref="V874:V877"/>
    <mergeCell ref="G865:G866"/>
    <mergeCell ref="G939:G948"/>
    <mergeCell ref="S939:S948"/>
    <mergeCell ref="I982:I991"/>
    <mergeCell ref="L837:L840"/>
    <mergeCell ref="L865:L866"/>
    <mergeCell ref="O865:O866"/>
    <mergeCell ref="L869:L870"/>
    <mergeCell ref="N878:N881"/>
    <mergeCell ref="U970:U971"/>
    <mergeCell ref="L1015:L1018"/>
    <mergeCell ref="D846:D848"/>
    <mergeCell ref="W970:W971"/>
    <mergeCell ref="R844:R845"/>
    <mergeCell ref="X839:X840"/>
    <mergeCell ref="M939:M948"/>
    <mergeCell ref="L906:L908"/>
    <mergeCell ref="M897:M898"/>
    <mergeCell ref="M878:M881"/>
    <mergeCell ref="A1030:A1032"/>
    <mergeCell ref="A1019:A1020"/>
    <mergeCell ref="A980:A981"/>
    <mergeCell ref="A982:A991"/>
    <mergeCell ref="A771:X771"/>
    <mergeCell ref="I759:I760"/>
    <mergeCell ref="U798:U799"/>
    <mergeCell ref="L804:L809"/>
    <mergeCell ref="A802:A803"/>
    <mergeCell ref="A794:A796"/>
    <mergeCell ref="A762:A763"/>
    <mergeCell ref="A764:A765"/>
    <mergeCell ref="A768:A769"/>
    <mergeCell ref="A800:A801"/>
    <mergeCell ref="A810:A811"/>
    <mergeCell ref="A899:A901"/>
    <mergeCell ref="A909:A910"/>
    <mergeCell ref="A906:A908"/>
    <mergeCell ref="A904:A905"/>
    <mergeCell ref="B980:B981"/>
    <mergeCell ref="A867:A868"/>
    <mergeCell ref="K852:K861"/>
    <mergeCell ref="K902:K903"/>
    <mergeCell ref="J972:J979"/>
    <mergeCell ref="A862:A864"/>
    <mergeCell ref="A893:A894"/>
    <mergeCell ref="A966:X966"/>
    <mergeCell ref="A869:A870"/>
    <mergeCell ref="S862:S864"/>
    <mergeCell ref="S871:S877"/>
    <mergeCell ref="S865:S866"/>
    <mergeCell ref="X822:X824"/>
    <mergeCell ref="A970:A971"/>
    <mergeCell ref="R909:R910"/>
    <mergeCell ref="J909:J910"/>
    <mergeCell ref="R939:R948"/>
    <mergeCell ref="L187:L188"/>
    <mergeCell ref="I225:I226"/>
    <mergeCell ref="A791:A792"/>
    <mergeCell ref="K607:K609"/>
    <mergeCell ref="I798:I799"/>
    <mergeCell ref="I800:I801"/>
    <mergeCell ref="J812:J813"/>
    <mergeCell ref="J802:J803"/>
    <mergeCell ref="K542:K544"/>
    <mergeCell ref="K475:K476"/>
    <mergeCell ref="K471:K472"/>
    <mergeCell ref="H212:H213"/>
    <mergeCell ref="R305:R306"/>
    <mergeCell ref="R309:R310"/>
    <mergeCell ref="K588:K589"/>
    <mergeCell ref="K225:K226"/>
    <mergeCell ref="M899:M901"/>
    <mergeCell ref="M904:M905"/>
    <mergeCell ref="M862:M864"/>
    <mergeCell ref="L842:L843"/>
    <mergeCell ref="M365:M366"/>
    <mergeCell ref="M837:M840"/>
    <mergeCell ref="L318:L319"/>
    <mergeCell ref="M337:M338"/>
    <mergeCell ref="K363:K364"/>
    <mergeCell ref="N653:N658"/>
    <mergeCell ref="N546:N547"/>
    <mergeCell ref="P223:P224"/>
    <mergeCell ref="K235:K236"/>
    <mergeCell ref="P192:P193"/>
    <mergeCell ref="L216:L217"/>
    <mergeCell ref="M212:M213"/>
    <mergeCell ref="L163:L164"/>
    <mergeCell ref="M235:M236"/>
    <mergeCell ref="K129:K130"/>
    <mergeCell ref="N227:N228"/>
    <mergeCell ref="O175:O176"/>
    <mergeCell ref="P133:P134"/>
    <mergeCell ref="P165:P166"/>
    <mergeCell ref="N169:N170"/>
    <mergeCell ref="K179:K180"/>
    <mergeCell ref="K169:K170"/>
    <mergeCell ref="K183:K184"/>
    <mergeCell ref="K196:K197"/>
    <mergeCell ref="K199:K200"/>
    <mergeCell ref="P141:P142"/>
    <mergeCell ref="M196:M197"/>
    <mergeCell ref="M194:M195"/>
    <mergeCell ref="K141:K142"/>
    <mergeCell ref="K143:K144"/>
    <mergeCell ref="K223:K224"/>
    <mergeCell ref="N135:N136"/>
    <mergeCell ref="N137:N138"/>
    <mergeCell ref="P177:P178"/>
    <mergeCell ref="L171:L172"/>
    <mergeCell ref="N194:N195"/>
    <mergeCell ref="N141:N142"/>
    <mergeCell ref="K187:K188"/>
    <mergeCell ref="M139:M140"/>
    <mergeCell ref="A146:X146"/>
    <mergeCell ref="Q14:Q15"/>
    <mergeCell ref="L53:L54"/>
    <mergeCell ref="R57:R58"/>
    <mergeCell ref="R87:R88"/>
    <mergeCell ref="R94:R95"/>
    <mergeCell ref="R12:R13"/>
    <mergeCell ref="R22:R23"/>
    <mergeCell ref="Q101:Q102"/>
    <mergeCell ref="L96:L97"/>
    <mergeCell ref="K27:K28"/>
    <mergeCell ref="L37:L38"/>
    <mergeCell ref="L47:L48"/>
    <mergeCell ref="L76:L77"/>
    <mergeCell ref="Q125:Q126"/>
    <mergeCell ref="M121:M122"/>
    <mergeCell ref="N163:N164"/>
    <mergeCell ref="L151:L152"/>
    <mergeCell ref="R125:R126"/>
    <mergeCell ref="Q51:Q52"/>
    <mergeCell ref="O14:O15"/>
    <mergeCell ref="P41:P42"/>
    <mergeCell ref="P59:P60"/>
    <mergeCell ref="R78:R79"/>
    <mergeCell ref="O84:O85"/>
    <mergeCell ref="O80:O81"/>
    <mergeCell ref="N91:N92"/>
    <mergeCell ref="P89:P90"/>
    <mergeCell ref="Q20:Q21"/>
    <mergeCell ref="Q41:Q42"/>
    <mergeCell ref="O103:P104"/>
    <mergeCell ref="Q22:Q23"/>
    <mergeCell ref="K12:K13"/>
    <mergeCell ref="K39:K40"/>
    <mergeCell ref="K41:K42"/>
    <mergeCell ref="K43:K44"/>
    <mergeCell ref="K45:K46"/>
    <mergeCell ref="K139:K140"/>
    <mergeCell ref="I181:I182"/>
    <mergeCell ref="R49:R50"/>
    <mergeCell ref="R76:R77"/>
    <mergeCell ref="R74:R75"/>
    <mergeCell ref="R53:R54"/>
    <mergeCell ref="K76:K77"/>
    <mergeCell ref="K101:K102"/>
    <mergeCell ref="K57:K58"/>
    <mergeCell ref="M76:M77"/>
    <mergeCell ref="M57:M58"/>
    <mergeCell ref="K96:K97"/>
    <mergeCell ref="L105:L106"/>
    <mergeCell ref="L103:L104"/>
    <mergeCell ref="K78:K79"/>
    <mergeCell ref="O45:O46"/>
    <mergeCell ref="Q165:Q166"/>
    <mergeCell ref="L149:L150"/>
    <mergeCell ref="P135:P136"/>
    <mergeCell ref="O135:O136"/>
    <mergeCell ref="J135:J136"/>
    <mergeCell ref="P181:P182"/>
    <mergeCell ref="R175:R176"/>
    <mergeCell ref="K149:K150"/>
    <mergeCell ref="N147:P148"/>
    <mergeCell ref="L137:L138"/>
    <mergeCell ref="M179:M180"/>
    <mergeCell ref="K147:K148"/>
    <mergeCell ref="M18:M19"/>
    <mergeCell ref="M14:M15"/>
    <mergeCell ref="M20:M21"/>
    <mergeCell ref="K18:K19"/>
    <mergeCell ref="R20:R21"/>
    <mergeCell ref="K51:K52"/>
    <mergeCell ref="L16:L17"/>
    <mergeCell ref="M16:M17"/>
    <mergeCell ref="Q98:Q99"/>
    <mergeCell ref="O101:P102"/>
    <mergeCell ref="N103:N104"/>
    <mergeCell ref="G125:G126"/>
    <mergeCell ref="G131:G132"/>
    <mergeCell ref="Q131:Q132"/>
    <mergeCell ref="O127:O128"/>
    <mergeCell ref="O133:O134"/>
    <mergeCell ref="N129:N130"/>
    <mergeCell ref="I14:I15"/>
    <mergeCell ref="L127:L128"/>
    <mergeCell ref="L133:L134"/>
    <mergeCell ref="O117:O118"/>
    <mergeCell ref="L129:L130"/>
    <mergeCell ref="L121:L122"/>
    <mergeCell ref="N105:P106"/>
    <mergeCell ref="Q117:Q118"/>
    <mergeCell ref="O129:O130"/>
    <mergeCell ref="Q105:Q106"/>
    <mergeCell ref="Q121:Q122"/>
    <mergeCell ref="I78:I79"/>
    <mergeCell ref="M131:M132"/>
    <mergeCell ref="I87:I88"/>
    <mergeCell ref="G127:G128"/>
    <mergeCell ref="I12:I13"/>
    <mergeCell ref="I27:I28"/>
    <mergeCell ref="K37:K38"/>
    <mergeCell ref="I149:I150"/>
    <mergeCell ref="J74:J75"/>
    <mergeCell ref="I139:I140"/>
    <mergeCell ref="I127:I128"/>
    <mergeCell ref="J39:J40"/>
    <mergeCell ref="K47:K48"/>
    <mergeCell ref="K80:K81"/>
    <mergeCell ref="I80:I81"/>
    <mergeCell ref="I114:I115"/>
    <mergeCell ref="K163:K164"/>
    <mergeCell ref="I179:I180"/>
    <mergeCell ref="I177:I178"/>
    <mergeCell ref="I189:I190"/>
    <mergeCell ref="I175:I176"/>
    <mergeCell ref="I185:I186"/>
    <mergeCell ref="J18:J19"/>
    <mergeCell ref="I16:I17"/>
    <mergeCell ref="K91:K92"/>
    <mergeCell ref="K94:K95"/>
    <mergeCell ref="I135:I136"/>
    <mergeCell ref="K151:K152"/>
    <mergeCell ref="K121:K122"/>
    <mergeCell ref="A111:X111"/>
    <mergeCell ref="U125:U126"/>
    <mergeCell ref="T129:T130"/>
    <mergeCell ref="U131:U132"/>
    <mergeCell ref="T127:T128"/>
    <mergeCell ref="U137:U138"/>
    <mergeCell ref="Q143:Q144"/>
    <mergeCell ref="S143:S144"/>
    <mergeCell ref="A162:X162"/>
    <mergeCell ref="A160:X160"/>
    <mergeCell ref="S147:S148"/>
    <mergeCell ref="T151:T152"/>
    <mergeCell ref="S137:S138"/>
    <mergeCell ref="Q149:Q150"/>
    <mergeCell ref="N133:N134"/>
    <mergeCell ref="P137:P138"/>
    <mergeCell ref="T205:T206"/>
    <mergeCell ref="U214:U215"/>
    <mergeCell ref="Q175:Q176"/>
    <mergeCell ref="A219:A220"/>
    <mergeCell ref="H149:H150"/>
    <mergeCell ref="H143:H144"/>
    <mergeCell ref="H137:H138"/>
    <mergeCell ref="J149:J150"/>
    <mergeCell ref="R149:R150"/>
    <mergeCell ref="R137:R138"/>
    <mergeCell ref="O169:O170"/>
    <mergeCell ref="P189:P190"/>
    <mergeCell ref="I143:I144"/>
    <mergeCell ref="J171:J172"/>
    <mergeCell ref="J151:J152"/>
    <mergeCell ref="J179:J180"/>
    <mergeCell ref="J177:J178"/>
    <mergeCell ref="J137:J138"/>
    <mergeCell ref="N139:N140"/>
    <mergeCell ref="N187:N188"/>
    <mergeCell ref="J192:J193"/>
    <mergeCell ref="K137:K138"/>
    <mergeCell ref="I173:I174"/>
    <mergeCell ref="A147:A148"/>
    <mergeCell ref="N179:N180"/>
    <mergeCell ref="N149:P150"/>
    <mergeCell ref="U163:U164"/>
    <mergeCell ref="T143:T144"/>
    <mergeCell ref="T149:T150"/>
    <mergeCell ref="A171:A172"/>
    <mergeCell ref="A179:A180"/>
    <mergeCell ref="Q169:Q170"/>
    <mergeCell ref="M289:M290"/>
    <mergeCell ref="K240:K241"/>
    <mergeCell ref="M223:M224"/>
    <mergeCell ref="L235:L236"/>
    <mergeCell ref="M192:M193"/>
    <mergeCell ref="M187:M188"/>
    <mergeCell ref="J233:J234"/>
    <mergeCell ref="I227:I228"/>
    <mergeCell ref="M199:M200"/>
    <mergeCell ref="H214:H215"/>
    <mergeCell ref="L223:L224"/>
    <mergeCell ref="K194:K195"/>
    <mergeCell ref="K212:K213"/>
    <mergeCell ref="I235:I236"/>
    <mergeCell ref="J163:J164"/>
    <mergeCell ref="I169:I170"/>
    <mergeCell ref="I171:I172"/>
    <mergeCell ref="K167:K168"/>
    <mergeCell ref="H171:H172"/>
    <mergeCell ref="J194:J195"/>
    <mergeCell ref="K177:K178"/>
    <mergeCell ref="I192:I193"/>
    <mergeCell ref="I187:I188"/>
    <mergeCell ref="K192:K193"/>
    <mergeCell ref="K238:K239"/>
    <mergeCell ref="L143:L144"/>
    <mergeCell ref="J214:J215"/>
    <mergeCell ref="I57:I58"/>
    <mergeCell ref="I62:I63"/>
    <mergeCell ref="J133:J134"/>
    <mergeCell ref="I121:I122"/>
    <mergeCell ref="K255:K256"/>
    <mergeCell ref="R43:R44"/>
    <mergeCell ref="R219:R220"/>
    <mergeCell ref="R221:R222"/>
    <mergeCell ref="R225:R226"/>
    <mergeCell ref="R167:R168"/>
    <mergeCell ref="R189:R190"/>
    <mergeCell ref="R173:R174"/>
    <mergeCell ref="I163:I164"/>
    <mergeCell ref="R127:R128"/>
    <mergeCell ref="R129:R130"/>
    <mergeCell ref="R131:R132"/>
    <mergeCell ref="R47:R48"/>
    <mergeCell ref="M87:M88"/>
    <mergeCell ref="M135:M136"/>
    <mergeCell ref="M80:M81"/>
    <mergeCell ref="M82:M83"/>
    <mergeCell ref="K49:K50"/>
    <mergeCell ref="J227:J228"/>
    <mergeCell ref="I240:I241"/>
    <mergeCell ref="R214:R215"/>
    <mergeCell ref="R171:R172"/>
    <mergeCell ref="R119:R120"/>
    <mergeCell ref="K189:K190"/>
    <mergeCell ref="R121:R122"/>
    <mergeCell ref="M105:M106"/>
    <mergeCell ref="N235:P236"/>
    <mergeCell ref="G318:G319"/>
    <mergeCell ref="I238:I239"/>
    <mergeCell ref="I343:I344"/>
    <mergeCell ref="S199:S200"/>
    <mergeCell ref="K427:K428"/>
    <mergeCell ref="H301:H302"/>
    <mergeCell ref="H374:H375"/>
    <mergeCell ref="J588:J589"/>
    <mergeCell ref="J590:J593"/>
    <mergeCell ref="J743:J750"/>
    <mergeCell ref="J649:J650"/>
    <mergeCell ref="L1094:L1095"/>
    <mergeCell ref="L1073:L1075"/>
    <mergeCell ref="L1102:L1104"/>
    <mergeCell ref="J337:J338"/>
    <mergeCell ref="J363:J364"/>
    <mergeCell ref="M532:M533"/>
    <mergeCell ref="N535:N536"/>
    <mergeCell ref="M640:M641"/>
    <mergeCell ref="M303:M304"/>
    <mergeCell ref="J419:J420"/>
    <mergeCell ref="J417:J418"/>
    <mergeCell ref="J475:J476"/>
    <mergeCell ref="J471:J472"/>
    <mergeCell ref="G590:G593"/>
    <mergeCell ref="J1056:J1057"/>
    <mergeCell ref="I1050:I1052"/>
    <mergeCell ref="G1053:G1054"/>
    <mergeCell ref="G846:G848"/>
    <mergeCell ref="M1114:M1115"/>
    <mergeCell ref="L1064:L1065"/>
    <mergeCell ref="L1097:L1101"/>
    <mergeCell ref="L1066:L1067"/>
    <mergeCell ref="L1058:L1061"/>
    <mergeCell ref="M1073:M1075"/>
    <mergeCell ref="L871:L877"/>
    <mergeCell ref="L902:L903"/>
    <mergeCell ref="L882:L883"/>
    <mergeCell ref="L911:L912"/>
    <mergeCell ref="M893:M894"/>
    <mergeCell ref="M1094:M1095"/>
    <mergeCell ref="M1022:M1026"/>
    <mergeCell ref="M1068:M1070"/>
    <mergeCell ref="L939:L948"/>
    <mergeCell ref="L897:L898"/>
    <mergeCell ref="L878:L881"/>
    <mergeCell ref="L885:L887"/>
    <mergeCell ref="M1064:M1065"/>
    <mergeCell ref="M1056:M1057"/>
    <mergeCell ref="L1056:L1057"/>
    <mergeCell ref="L950:L959"/>
    <mergeCell ref="L982:L991"/>
    <mergeCell ref="M970:M971"/>
    <mergeCell ref="K1114:K1115"/>
    <mergeCell ref="K804:K809"/>
    <mergeCell ref="A882:A883"/>
    <mergeCell ref="A871:A877"/>
    <mergeCell ref="K844:K845"/>
    <mergeCell ref="K950:K959"/>
    <mergeCell ref="M972:M979"/>
    <mergeCell ref="G992:G996"/>
    <mergeCell ref="H906:H908"/>
    <mergeCell ref="G998:G1000"/>
    <mergeCell ref="G1015:G1018"/>
    <mergeCell ref="G911:G912"/>
    <mergeCell ref="S906:S908"/>
    <mergeCell ref="C1019:C1020"/>
    <mergeCell ref="B982:B991"/>
    <mergeCell ref="B972:B979"/>
    <mergeCell ref="B1019:B1020"/>
    <mergeCell ref="A998:A1000"/>
    <mergeCell ref="A911:A912"/>
    <mergeCell ref="C897:C898"/>
    <mergeCell ref="M891:M892"/>
    <mergeCell ref="M849:M850"/>
    <mergeCell ref="C1064:C1065"/>
    <mergeCell ref="H1064:H1065"/>
    <mergeCell ref="D980:D981"/>
    <mergeCell ref="D982:D991"/>
    <mergeCell ref="C882:C883"/>
    <mergeCell ref="K897:K898"/>
    <mergeCell ref="K970:K971"/>
    <mergeCell ref="L1114:L1115"/>
    <mergeCell ref="L1110:L1111"/>
    <mergeCell ref="L1105:L1107"/>
    <mergeCell ref="X601:X602"/>
    <mergeCell ref="X598:X600"/>
    <mergeCell ref="V610:V614"/>
    <mergeCell ref="W663:W666"/>
    <mergeCell ref="K440:K441"/>
    <mergeCell ref="V638:V639"/>
    <mergeCell ref="J594:J597"/>
    <mergeCell ref="K603:K606"/>
    <mergeCell ref="G659:G666"/>
    <mergeCell ref="U309:U310"/>
    <mergeCell ref="K387:K388"/>
    <mergeCell ref="J532:J533"/>
    <mergeCell ref="N575:N587"/>
    <mergeCell ref="J461:J470"/>
    <mergeCell ref="N542:N544"/>
    <mergeCell ref="H590:H593"/>
    <mergeCell ref="L393:L394"/>
    <mergeCell ref="M393:M394"/>
    <mergeCell ref="J598:J602"/>
    <mergeCell ref="N398:P398"/>
    <mergeCell ref="P564:P568"/>
    <mergeCell ref="J535:J536"/>
    <mergeCell ref="L335:L336"/>
    <mergeCell ref="S312:S313"/>
    <mergeCell ref="P610:P619"/>
    <mergeCell ref="N640:N641"/>
    <mergeCell ref="K640:K641"/>
    <mergeCell ref="O598:O602"/>
    <mergeCell ref="L491:L494"/>
    <mergeCell ref="I427:I428"/>
    <mergeCell ref="L424:L425"/>
    <mergeCell ref="N561:N562"/>
    <mergeCell ref="W710:W711"/>
    <mergeCell ref="N738:N740"/>
    <mergeCell ref="W668:W669"/>
    <mergeCell ref="U707:U709"/>
    <mergeCell ref="I659:I666"/>
    <mergeCell ref="X615:X619"/>
    <mergeCell ref="X594:X595"/>
    <mergeCell ref="Q716:Q718"/>
    <mergeCell ref="T649:T650"/>
    <mergeCell ref="U659:U666"/>
    <mergeCell ref="N702:N704"/>
    <mergeCell ref="I530:I531"/>
    <mergeCell ref="A529:X529"/>
    <mergeCell ref="I456:I460"/>
    <mergeCell ref="T610:T619"/>
    <mergeCell ref="J456:J460"/>
    <mergeCell ref="X607:X608"/>
    <mergeCell ref="O702:O704"/>
    <mergeCell ref="A697:A698"/>
    <mergeCell ref="A720:X720"/>
    <mergeCell ref="U738:U740"/>
    <mergeCell ref="J697:J698"/>
    <mergeCell ref="E697:E698"/>
    <mergeCell ref="G702:G704"/>
    <mergeCell ref="G707:G709"/>
    <mergeCell ref="J564:J568"/>
    <mergeCell ref="Q640:Q641"/>
    <mergeCell ref="N603:N606"/>
    <mergeCell ref="U697:U698"/>
    <mergeCell ref="N700:N701"/>
    <mergeCell ref="S642:S643"/>
    <mergeCell ref="S644:S646"/>
    <mergeCell ref="U285:U286"/>
    <mergeCell ref="T361:T362"/>
    <mergeCell ref="Q337:Q338"/>
    <mergeCell ref="Q335:Q336"/>
    <mergeCell ref="R846:R848"/>
    <mergeCell ref="P844:P845"/>
    <mergeCell ref="P846:P848"/>
    <mergeCell ref="O862:O864"/>
    <mergeCell ref="O849:O850"/>
    <mergeCell ref="N871:N877"/>
    <mergeCell ref="E757:E758"/>
    <mergeCell ref="X819:X821"/>
    <mergeCell ref="I610:I619"/>
    <mergeCell ref="W635:W637"/>
    <mergeCell ref="I649:I650"/>
    <mergeCell ref="V596:V597"/>
    <mergeCell ref="P640:P641"/>
    <mergeCell ref="K610:K619"/>
    <mergeCell ref="K659:K666"/>
    <mergeCell ref="I546:I547"/>
    <mergeCell ref="X837:X838"/>
    <mergeCell ref="G822:G827"/>
    <mergeCell ref="L542:L544"/>
    <mergeCell ref="A560:X560"/>
    <mergeCell ref="A558:X558"/>
    <mergeCell ref="N552:P552"/>
    <mergeCell ref="A549:X549"/>
    <mergeCell ref="L849:L850"/>
    <mergeCell ref="D852:D861"/>
    <mergeCell ref="N842:N843"/>
    <mergeCell ref="I842:I843"/>
    <mergeCell ref="C862:C864"/>
    <mergeCell ref="J1027:J1029"/>
    <mergeCell ref="D899:D901"/>
    <mergeCell ref="I862:I864"/>
    <mergeCell ref="K885:K887"/>
    <mergeCell ref="K882:K883"/>
    <mergeCell ref="M1027:M1029"/>
    <mergeCell ref="M1019:M1020"/>
    <mergeCell ref="S759:S760"/>
    <mergeCell ref="M759:M760"/>
    <mergeCell ref="G794:G796"/>
    <mergeCell ref="L814:L815"/>
    <mergeCell ref="J762:J763"/>
    <mergeCell ref="Q1056:Q1057"/>
    <mergeCell ref="I998:I1000"/>
    <mergeCell ref="K865:K866"/>
    <mergeCell ref="K867:K868"/>
    <mergeCell ref="K869:K870"/>
    <mergeCell ref="P902:P903"/>
    <mergeCell ref="I885:I887"/>
    <mergeCell ref="N982:N991"/>
    <mergeCell ref="K906:K908"/>
    <mergeCell ref="K878:K881"/>
    <mergeCell ref="O902:O903"/>
    <mergeCell ref="K899:K901"/>
    <mergeCell ref="I902:I903"/>
    <mergeCell ref="J867:J868"/>
    <mergeCell ref="I891:I892"/>
    <mergeCell ref="D1053:D1054"/>
    <mergeCell ref="O844:O845"/>
    <mergeCell ref="O869:O870"/>
    <mergeCell ref="M802:M803"/>
    <mergeCell ref="D906:D908"/>
    <mergeCell ref="W807:W809"/>
    <mergeCell ref="V802:V803"/>
    <mergeCell ref="L738:L740"/>
    <mergeCell ref="O757:O758"/>
    <mergeCell ref="O738:O740"/>
    <mergeCell ref="W738:W739"/>
    <mergeCell ref="N723:P723"/>
    <mergeCell ref="L743:L750"/>
    <mergeCell ref="R738:R740"/>
    <mergeCell ref="L812:L813"/>
    <mergeCell ref="L802:L803"/>
    <mergeCell ref="N741:N742"/>
    <mergeCell ref="T751:T752"/>
    <mergeCell ref="V755:V756"/>
    <mergeCell ref="N751:N752"/>
    <mergeCell ref="A774:X774"/>
    <mergeCell ref="C802:C803"/>
    <mergeCell ref="C768:C769"/>
    <mergeCell ref="C753:C756"/>
    <mergeCell ref="B743:B750"/>
    <mergeCell ref="E759:E760"/>
    <mergeCell ref="D768:D769"/>
    <mergeCell ref="X805:X806"/>
    <mergeCell ref="E753:E756"/>
    <mergeCell ref="X794:X795"/>
    <mergeCell ref="X807:X809"/>
    <mergeCell ref="U741:U742"/>
    <mergeCell ref="A757:A758"/>
    <mergeCell ref="X802:X803"/>
    <mergeCell ref="O798:O799"/>
    <mergeCell ref="M764:M765"/>
    <mergeCell ref="J751:J752"/>
    <mergeCell ref="X816:X818"/>
    <mergeCell ref="R867:R868"/>
    <mergeCell ref="I837:I840"/>
    <mergeCell ref="I882:I883"/>
    <mergeCell ref="I794:I796"/>
    <mergeCell ref="I804:I809"/>
    <mergeCell ref="I816:I821"/>
    <mergeCell ref="T837:T840"/>
    <mergeCell ref="K871:K877"/>
    <mergeCell ref="M846:M848"/>
    <mergeCell ref="N867:N868"/>
    <mergeCell ref="N816:N821"/>
    <mergeCell ref="M816:M821"/>
    <mergeCell ref="R882:R883"/>
    <mergeCell ref="S844:S845"/>
    <mergeCell ref="R842:R843"/>
    <mergeCell ref="M804:M809"/>
    <mergeCell ref="M798:M799"/>
    <mergeCell ref="N865:N866"/>
    <mergeCell ref="Q882:Q883"/>
    <mergeCell ref="J800:J801"/>
    <mergeCell ref="O794:O796"/>
    <mergeCell ref="W805:W806"/>
    <mergeCell ref="L816:L821"/>
    <mergeCell ref="J822:J827"/>
    <mergeCell ref="N794:N796"/>
    <mergeCell ref="O804:O809"/>
    <mergeCell ref="X862:X863"/>
    <mergeCell ref="U878:U881"/>
    <mergeCell ref="K800:K801"/>
    <mergeCell ref="N849:N850"/>
    <mergeCell ref="L862:L864"/>
    <mergeCell ref="N1094:N1095"/>
    <mergeCell ref="N1056:N1057"/>
    <mergeCell ref="N1058:N1061"/>
    <mergeCell ref="N1064:N1065"/>
    <mergeCell ref="D998:D1000"/>
    <mergeCell ref="D1027:D1029"/>
    <mergeCell ref="D972:D979"/>
    <mergeCell ref="N1066:N1067"/>
    <mergeCell ref="K1019:K1020"/>
    <mergeCell ref="K972:K979"/>
    <mergeCell ref="K1053:K1054"/>
    <mergeCell ref="N1090:N1093"/>
    <mergeCell ref="K1073:K1075"/>
    <mergeCell ref="N1030:N1032"/>
    <mergeCell ref="C992:C996"/>
    <mergeCell ref="M1090:M1093"/>
    <mergeCell ref="Q1073:Q1075"/>
    <mergeCell ref="Q1066:Q1067"/>
    <mergeCell ref="D1094:D1095"/>
    <mergeCell ref="Q998:Q1000"/>
    <mergeCell ref="D1019:D1020"/>
    <mergeCell ref="J1068:J1070"/>
    <mergeCell ref="K1030:K1032"/>
    <mergeCell ref="M1066:M1067"/>
    <mergeCell ref="N1015:N1018"/>
    <mergeCell ref="N1019:N1020"/>
    <mergeCell ref="N1004:P1004"/>
    <mergeCell ref="N1027:N1029"/>
    <mergeCell ref="N1073:P1075"/>
    <mergeCell ref="J1066:J1067"/>
    <mergeCell ref="I992:I996"/>
    <mergeCell ref="K1068:K1070"/>
    <mergeCell ref="N1105:N1107"/>
    <mergeCell ref="K1027:K1029"/>
    <mergeCell ref="K982:K991"/>
    <mergeCell ref="K1064:K1065"/>
    <mergeCell ref="A932:X932"/>
    <mergeCell ref="A1053:A1054"/>
    <mergeCell ref="A950:A959"/>
    <mergeCell ref="A1022:A1026"/>
    <mergeCell ref="N1050:N1052"/>
    <mergeCell ref="L1022:L1026"/>
    <mergeCell ref="B1102:B1104"/>
    <mergeCell ref="D1090:D1093"/>
    <mergeCell ref="K1102:K1104"/>
    <mergeCell ref="K1094:K1095"/>
    <mergeCell ref="K1097:K1101"/>
    <mergeCell ref="K1022:K1026"/>
    <mergeCell ref="L1050:L1052"/>
    <mergeCell ref="E1064:E1065"/>
    <mergeCell ref="E1102:E1104"/>
    <mergeCell ref="G1068:G1070"/>
    <mergeCell ref="C1094:C1095"/>
    <mergeCell ref="C1068:C1070"/>
    <mergeCell ref="D1102:D1104"/>
    <mergeCell ref="D1056:D1057"/>
    <mergeCell ref="B1022:B1026"/>
    <mergeCell ref="B1030:B1032"/>
    <mergeCell ref="B992:B996"/>
    <mergeCell ref="J1094:J1095"/>
    <mergeCell ref="B1105:B1107"/>
    <mergeCell ref="B1090:B1093"/>
    <mergeCell ref="B1094:B1095"/>
    <mergeCell ref="B1097:B1101"/>
    <mergeCell ref="N1110:N1111"/>
    <mergeCell ref="N980:N981"/>
    <mergeCell ref="N1068:N1070"/>
    <mergeCell ref="B1110:B1111"/>
    <mergeCell ref="A1056:A1057"/>
    <mergeCell ref="N1097:N1101"/>
    <mergeCell ref="K1056:K1057"/>
    <mergeCell ref="K1058:K1061"/>
    <mergeCell ref="K1110:K1111"/>
    <mergeCell ref="M1105:M1107"/>
    <mergeCell ref="C1073:C1075"/>
    <mergeCell ref="M1058:M1061"/>
    <mergeCell ref="J1053:J1054"/>
    <mergeCell ref="J1064:J1065"/>
    <mergeCell ref="J1015:J1018"/>
    <mergeCell ref="M998:M1000"/>
    <mergeCell ref="M1015:M1018"/>
    <mergeCell ref="A1066:A1067"/>
    <mergeCell ref="A1058:A1061"/>
    <mergeCell ref="A992:A996"/>
    <mergeCell ref="A1090:A1093"/>
    <mergeCell ref="A1097:A1101"/>
    <mergeCell ref="J1073:J1075"/>
    <mergeCell ref="J1102:J1104"/>
    <mergeCell ref="D1068:D1070"/>
    <mergeCell ref="M1102:M1104"/>
    <mergeCell ref="G1102:G1104"/>
    <mergeCell ref="K1105:K1107"/>
    <mergeCell ref="M1097:M1101"/>
    <mergeCell ref="L1090:L1093"/>
    <mergeCell ref="M1110:M1111"/>
    <mergeCell ref="B1053:B1054"/>
    <mergeCell ref="A1114:A1115"/>
    <mergeCell ref="A1110:A1111"/>
    <mergeCell ref="A1105:A1107"/>
    <mergeCell ref="A1094:A1095"/>
    <mergeCell ref="A1073:A1075"/>
    <mergeCell ref="A1102:A1104"/>
    <mergeCell ref="B1114:B1115"/>
    <mergeCell ref="A1064:A1065"/>
    <mergeCell ref="A939:A948"/>
    <mergeCell ref="A1015:A1018"/>
    <mergeCell ref="B1050:B1052"/>
    <mergeCell ref="B1068:B1070"/>
    <mergeCell ref="A1050:A1052"/>
    <mergeCell ref="B1066:B1067"/>
    <mergeCell ref="B1064:B1065"/>
    <mergeCell ref="B1058:B1061"/>
    <mergeCell ref="B1056:B1057"/>
    <mergeCell ref="B1073:B1075"/>
    <mergeCell ref="B998:B1000"/>
    <mergeCell ref="B970:B971"/>
    <mergeCell ref="A1003:B1003"/>
    <mergeCell ref="A968:X968"/>
    <mergeCell ref="B950:B959"/>
    <mergeCell ref="S980:S981"/>
    <mergeCell ref="U992:U996"/>
    <mergeCell ref="U972:U979"/>
    <mergeCell ref="U1105:U1107"/>
    <mergeCell ref="U1094:U1095"/>
    <mergeCell ref="U1066:U1067"/>
    <mergeCell ref="U1058:U1061"/>
    <mergeCell ref="U1073:U1075"/>
    <mergeCell ref="U1102:U1104"/>
    <mergeCell ref="C10:C11"/>
    <mergeCell ref="B22:B23"/>
    <mergeCell ref="C6:C7"/>
    <mergeCell ref="C183:C184"/>
    <mergeCell ref="C171:C172"/>
    <mergeCell ref="C179:C180"/>
    <mergeCell ref="B219:B220"/>
    <mergeCell ref="B212:B213"/>
    <mergeCell ref="A423:X423"/>
    <mergeCell ref="I440:I441"/>
    <mergeCell ref="H424:H425"/>
    <mergeCell ref="I305:I306"/>
    <mergeCell ref="I309:I310"/>
    <mergeCell ref="A846:A848"/>
    <mergeCell ref="J865:J866"/>
    <mergeCell ref="J893:J894"/>
    <mergeCell ref="I871:I877"/>
    <mergeCell ref="I865:I866"/>
    <mergeCell ref="B6:B7"/>
    <mergeCell ref="B27:B28"/>
    <mergeCell ref="B76:B77"/>
    <mergeCell ref="L139:L140"/>
    <mergeCell ref="I10:I11"/>
    <mergeCell ref="C41:C42"/>
    <mergeCell ref="C45:C46"/>
    <mergeCell ref="C103:C104"/>
    <mergeCell ref="B39:B40"/>
    <mergeCell ref="B62:B63"/>
    <mergeCell ref="B59:B60"/>
    <mergeCell ref="E74:E75"/>
    <mergeCell ref="F147:F148"/>
    <mergeCell ref="F80:F81"/>
    <mergeCell ref="I49:I50"/>
    <mergeCell ref="J59:J60"/>
    <mergeCell ref="H129:H130"/>
    <mergeCell ref="F121:F122"/>
    <mergeCell ref="F133:F134"/>
    <mergeCell ref="F129:F130"/>
    <mergeCell ref="G137:G138"/>
    <mergeCell ref="G82:G83"/>
    <mergeCell ref="G80:G81"/>
    <mergeCell ref="G147:G148"/>
    <mergeCell ref="H133:H134"/>
    <mergeCell ref="H139:H140"/>
    <mergeCell ref="F59:F60"/>
    <mergeCell ref="H131:H132"/>
    <mergeCell ref="G117:G118"/>
    <mergeCell ref="G84:G85"/>
    <mergeCell ref="I55:I56"/>
    <mergeCell ref="G96:G97"/>
    <mergeCell ref="G121:G122"/>
    <mergeCell ref="H94:H95"/>
    <mergeCell ref="H78:H79"/>
    <mergeCell ref="H87:H88"/>
    <mergeCell ref="G76:G77"/>
    <mergeCell ref="H117:H118"/>
    <mergeCell ref="G105:G106"/>
    <mergeCell ref="G98:G99"/>
    <mergeCell ref="F103:F104"/>
    <mergeCell ref="J51:J52"/>
    <mergeCell ref="I96:I97"/>
    <mergeCell ref="I89:I90"/>
    <mergeCell ref="H147:H148"/>
    <mergeCell ref="I133:I134"/>
    <mergeCell ref="E6:E7"/>
    <mergeCell ref="F98:F99"/>
    <mergeCell ref="E103:E104"/>
    <mergeCell ref="G94:G95"/>
    <mergeCell ref="F151:F152"/>
    <mergeCell ref="I6:I7"/>
    <mergeCell ref="J49:J50"/>
    <mergeCell ref="J6:J7"/>
    <mergeCell ref="I125:I126"/>
    <mergeCell ref="I137:I138"/>
    <mergeCell ref="J53:J54"/>
    <mergeCell ref="J57:J58"/>
    <mergeCell ref="I8:I9"/>
    <mergeCell ref="I39:I40"/>
    <mergeCell ref="I18:I19"/>
    <mergeCell ref="I41:I42"/>
    <mergeCell ref="J91:J92"/>
    <mergeCell ref="J55:J56"/>
    <mergeCell ref="J94:J95"/>
    <mergeCell ref="J127:J128"/>
    <mergeCell ref="E151:E152"/>
    <mergeCell ref="H43:H44"/>
    <mergeCell ref="E119:E120"/>
    <mergeCell ref="E57:E58"/>
    <mergeCell ref="E121:E122"/>
    <mergeCell ref="H76:H77"/>
    <mergeCell ref="H62:H63"/>
    <mergeCell ref="E141:E142"/>
    <mergeCell ref="J10:J11"/>
    <mergeCell ref="J14:J15"/>
    <mergeCell ref="H6:H7"/>
    <mergeCell ref="G139:G140"/>
    <mergeCell ref="K6:K7"/>
    <mergeCell ref="A751:A752"/>
    <mergeCell ref="A891:A892"/>
    <mergeCell ref="A753:A756"/>
    <mergeCell ref="A812:A813"/>
    <mergeCell ref="C814:C815"/>
    <mergeCell ref="C812:C813"/>
    <mergeCell ref="C235:C236"/>
    <mergeCell ref="C252:C253"/>
    <mergeCell ref="C221:C222"/>
    <mergeCell ref="C225:C226"/>
    <mergeCell ref="C223:C224"/>
    <mergeCell ref="C187:C188"/>
    <mergeCell ref="A878:A881"/>
    <mergeCell ref="A804:A809"/>
    <mergeCell ref="A844:A845"/>
    <mergeCell ref="A759:A760"/>
    <mergeCell ref="A837:A840"/>
    <mergeCell ref="A695:X695"/>
    <mergeCell ref="X710:X711"/>
    <mergeCell ref="X825:X827"/>
    <mergeCell ref="M812:M813"/>
    <mergeCell ref="L659:L666"/>
    <mergeCell ref="S842:S843"/>
    <mergeCell ref="A766:A767"/>
    <mergeCell ref="W716:W717"/>
    <mergeCell ref="M869:M870"/>
    <mergeCell ref="R852:R861"/>
    <mergeCell ref="A743:A750"/>
    <mergeCell ref="J603:J606"/>
    <mergeCell ref="V601:V602"/>
    <mergeCell ref="K365:K366"/>
    <mergeCell ref="A897:A898"/>
    <mergeCell ref="I810:I811"/>
    <mergeCell ref="A798:A799"/>
    <mergeCell ref="B192:B193"/>
    <mergeCell ref="A235:A236"/>
    <mergeCell ref="A196:A197"/>
    <mergeCell ref="H196:H197"/>
    <mergeCell ref="K337:K338"/>
    <mergeCell ref="H312:H313"/>
    <mergeCell ref="J252:J253"/>
    <mergeCell ref="A902:A903"/>
    <mergeCell ref="A865:A866"/>
    <mergeCell ref="J810:J811"/>
    <mergeCell ref="L810:L811"/>
    <mergeCell ref="L800:L801"/>
    <mergeCell ref="J640:J641"/>
    <mergeCell ref="J642:J643"/>
    <mergeCell ref="K594:K597"/>
    <mergeCell ref="J768:J769"/>
    <mergeCell ref="J816:J821"/>
    <mergeCell ref="J653:J658"/>
    <mergeCell ref="L762:L763"/>
    <mergeCell ref="L700:L701"/>
    <mergeCell ref="I642:I643"/>
    <mergeCell ref="I640:I641"/>
    <mergeCell ref="I635:I639"/>
    <mergeCell ref="A822:A827"/>
    <mergeCell ref="A816:A821"/>
    <mergeCell ref="A885:A887"/>
    <mergeCell ref="A788:X788"/>
    <mergeCell ref="N775:P775"/>
    <mergeCell ref="N725:P725"/>
  </mergeCells>
  <printOptions horizontalCentered="1" verticalCentered="1"/>
  <pageMargins left="0" right="0" top="0" bottom="0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4"/>
  <sheetViews>
    <sheetView topLeftCell="A31" workbookViewId="0">
      <selection activeCell="E54" sqref="E54"/>
    </sheetView>
  </sheetViews>
  <sheetFormatPr defaultColWidth="9" defaultRowHeight="14"/>
  <cols>
    <col min="1" max="1" width="4.33203125" customWidth="1"/>
    <col min="2" max="3" width="11.5" style="235" customWidth="1"/>
    <col min="4" max="4" width="16.83203125" style="236" customWidth="1"/>
    <col min="5" max="5" width="11.5" style="235" customWidth="1"/>
    <col min="6" max="6" width="24.5" style="235" customWidth="1"/>
  </cols>
  <sheetData>
    <row r="1" spans="1:6">
      <c r="A1" s="980" t="s">
        <v>3210</v>
      </c>
      <c r="B1" s="980"/>
      <c r="C1" s="980"/>
      <c r="D1" s="980"/>
      <c r="E1" s="980"/>
      <c r="F1" s="980"/>
    </row>
    <row r="2" spans="1:6">
      <c r="A2" s="980"/>
      <c r="B2" s="980"/>
      <c r="C2" s="980"/>
      <c r="D2" s="980"/>
      <c r="E2" s="980"/>
      <c r="F2" s="980"/>
    </row>
    <row r="3" spans="1:6">
      <c r="A3" s="980"/>
      <c r="B3" s="980"/>
      <c r="C3" s="980"/>
      <c r="D3" s="980"/>
      <c r="E3" s="980"/>
      <c r="F3" s="980"/>
    </row>
    <row r="4" spans="1:6" s="237" customFormat="1" ht="22.5" customHeight="1">
      <c r="A4" s="238" t="s">
        <v>1</v>
      </c>
      <c r="B4" s="238" t="s">
        <v>3211</v>
      </c>
      <c r="C4" s="238" t="s">
        <v>3212</v>
      </c>
      <c r="D4" s="238" t="s">
        <v>3213</v>
      </c>
      <c r="E4" s="238" t="s">
        <v>3214</v>
      </c>
      <c r="F4" s="238" t="s">
        <v>3215</v>
      </c>
    </row>
    <row r="5" spans="1:6">
      <c r="A5" s="239">
        <v>1</v>
      </c>
      <c r="B5" s="202" t="s">
        <v>3216</v>
      </c>
      <c r="C5" s="240">
        <v>44585</v>
      </c>
      <c r="D5" s="241">
        <v>1394100</v>
      </c>
      <c r="E5" s="240">
        <v>44585</v>
      </c>
      <c r="F5" s="202" t="s">
        <v>3217</v>
      </c>
    </row>
    <row r="6" spans="1:6">
      <c r="A6" s="239">
        <v>2</v>
      </c>
      <c r="B6" s="202" t="s">
        <v>3218</v>
      </c>
      <c r="C6" s="240">
        <v>44585</v>
      </c>
      <c r="D6" s="241">
        <v>50000</v>
      </c>
      <c r="E6" s="240">
        <v>44585</v>
      </c>
      <c r="F6" s="202" t="s">
        <v>3217</v>
      </c>
    </row>
    <row r="7" spans="1:6">
      <c r="A7" s="239">
        <v>3</v>
      </c>
      <c r="B7" s="202">
        <v>1</v>
      </c>
      <c r="C7" s="240">
        <v>44616</v>
      </c>
      <c r="D7" s="241">
        <v>303547</v>
      </c>
      <c r="E7" s="240">
        <v>44609</v>
      </c>
      <c r="F7" s="202" t="s">
        <v>3219</v>
      </c>
    </row>
    <row r="8" spans="1:6">
      <c r="A8" s="239">
        <v>4</v>
      </c>
      <c r="B8" s="202">
        <v>2</v>
      </c>
      <c r="C8" s="240">
        <v>44644</v>
      </c>
      <c r="D8" s="241">
        <v>303547</v>
      </c>
      <c r="E8" s="240">
        <v>44628</v>
      </c>
      <c r="F8" s="202" t="s">
        <v>3219</v>
      </c>
    </row>
    <row r="9" spans="1:6">
      <c r="A9" s="239">
        <v>5</v>
      </c>
      <c r="B9" s="202">
        <v>3</v>
      </c>
      <c r="C9" s="240">
        <v>44675</v>
      </c>
      <c r="D9" s="241">
        <v>303547</v>
      </c>
      <c r="E9" s="240">
        <v>44653</v>
      </c>
      <c r="F9" s="202" t="s">
        <v>3219</v>
      </c>
    </row>
    <row r="10" spans="1:6">
      <c r="A10" s="239">
        <v>6</v>
      </c>
      <c r="B10" s="202">
        <v>4</v>
      </c>
      <c r="C10" s="240">
        <v>44705</v>
      </c>
      <c r="D10" s="241">
        <v>303547</v>
      </c>
      <c r="E10" s="240">
        <v>44685</v>
      </c>
      <c r="F10" s="202" t="s">
        <v>3219</v>
      </c>
    </row>
    <row r="11" spans="1:6">
      <c r="A11" s="239">
        <v>7</v>
      </c>
      <c r="B11" s="202">
        <v>5</v>
      </c>
      <c r="C11" s="240">
        <v>44736</v>
      </c>
      <c r="D11" s="241">
        <v>303547</v>
      </c>
      <c r="E11" s="240">
        <v>44723</v>
      </c>
      <c r="F11" s="202" t="s">
        <v>3219</v>
      </c>
    </row>
    <row r="12" spans="1:6">
      <c r="A12" s="239">
        <v>8</v>
      </c>
      <c r="B12" s="202">
        <v>6</v>
      </c>
      <c r="C12" s="240">
        <v>44766</v>
      </c>
      <c r="D12" s="241">
        <v>303547</v>
      </c>
      <c r="E12" s="240">
        <v>44746</v>
      </c>
      <c r="F12" s="202" t="s">
        <v>3219</v>
      </c>
    </row>
    <row r="13" spans="1:6">
      <c r="A13" s="239">
        <v>9</v>
      </c>
      <c r="B13" s="202">
        <v>7</v>
      </c>
      <c r="C13" s="240">
        <v>44797</v>
      </c>
      <c r="D13" s="241">
        <v>303547</v>
      </c>
      <c r="E13" s="240">
        <v>44774</v>
      </c>
      <c r="F13" s="202" t="s">
        <v>3220</v>
      </c>
    </row>
    <row r="14" spans="1:6">
      <c r="A14" s="239">
        <v>10</v>
      </c>
      <c r="B14" s="202">
        <v>8</v>
      </c>
      <c r="C14" s="240">
        <v>44828</v>
      </c>
      <c r="D14" s="241">
        <v>303547</v>
      </c>
      <c r="E14" s="240">
        <v>44810</v>
      </c>
      <c r="F14" s="202" t="s">
        <v>3220</v>
      </c>
    </row>
    <row r="15" spans="1:6">
      <c r="A15" s="239">
        <v>11</v>
      </c>
      <c r="B15" s="202">
        <v>9</v>
      </c>
      <c r="C15" s="240">
        <v>44858</v>
      </c>
      <c r="D15" s="241">
        <v>303547</v>
      </c>
      <c r="E15" s="240">
        <v>44846</v>
      </c>
      <c r="F15" s="202" t="s">
        <v>3220</v>
      </c>
    </row>
    <row r="16" spans="1:6">
      <c r="A16" s="239">
        <v>12</v>
      </c>
      <c r="B16" s="202">
        <v>10</v>
      </c>
      <c r="C16" s="240">
        <v>44889</v>
      </c>
      <c r="D16" s="241">
        <v>303547</v>
      </c>
      <c r="E16" s="240">
        <v>44886</v>
      </c>
      <c r="F16" s="202" t="s">
        <v>3220</v>
      </c>
    </row>
    <row r="17" spans="1:6">
      <c r="A17" s="239">
        <v>13</v>
      </c>
      <c r="B17" s="202">
        <v>11</v>
      </c>
      <c r="C17" s="240">
        <v>44919</v>
      </c>
      <c r="D17" s="241">
        <v>303547</v>
      </c>
      <c r="E17" s="240">
        <v>44900</v>
      </c>
      <c r="F17" s="202" t="s">
        <v>3220</v>
      </c>
    </row>
    <row r="18" spans="1:6">
      <c r="A18" s="239">
        <v>14</v>
      </c>
      <c r="B18" s="202">
        <v>12</v>
      </c>
      <c r="C18" s="240">
        <v>44950</v>
      </c>
      <c r="D18" s="241">
        <v>303547</v>
      </c>
      <c r="E18" s="240">
        <v>44933</v>
      </c>
      <c r="F18" s="202" t="s">
        <v>3220</v>
      </c>
    </row>
    <row r="19" spans="1:6">
      <c r="A19" s="239">
        <v>15</v>
      </c>
      <c r="B19" s="202">
        <v>13</v>
      </c>
      <c r="C19" s="240">
        <v>44981</v>
      </c>
      <c r="D19" s="241">
        <v>303547</v>
      </c>
      <c r="E19" s="240">
        <v>44967</v>
      </c>
      <c r="F19" s="202" t="s">
        <v>3220</v>
      </c>
    </row>
    <row r="20" spans="1:6">
      <c r="A20" s="239">
        <v>16</v>
      </c>
      <c r="B20" s="202">
        <v>14</v>
      </c>
      <c r="C20" s="240">
        <v>45009</v>
      </c>
      <c r="D20" s="241">
        <v>303547</v>
      </c>
      <c r="E20" s="240">
        <v>44991</v>
      </c>
      <c r="F20" s="202" t="s">
        <v>3220</v>
      </c>
    </row>
    <row r="21" spans="1:6">
      <c r="A21" s="239">
        <v>17</v>
      </c>
      <c r="B21" s="202">
        <v>15</v>
      </c>
      <c r="C21" s="240">
        <v>45040</v>
      </c>
      <c r="D21" s="241">
        <v>303547</v>
      </c>
      <c r="E21" s="240">
        <v>45018</v>
      </c>
      <c r="F21" s="202" t="s">
        <v>3220</v>
      </c>
    </row>
    <row r="22" spans="1:6">
      <c r="A22" s="239">
        <v>18</v>
      </c>
      <c r="B22" s="202">
        <v>16</v>
      </c>
      <c r="C22" s="240">
        <v>45070</v>
      </c>
      <c r="D22" s="241">
        <v>303547</v>
      </c>
      <c r="E22" s="240">
        <v>45052</v>
      </c>
      <c r="F22" s="202" t="s">
        <v>3220</v>
      </c>
    </row>
    <row r="23" spans="1:6">
      <c r="A23" s="239">
        <v>19</v>
      </c>
      <c r="B23" s="202">
        <v>17</v>
      </c>
      <c r="C23" s="240">
        <v>45101</v>
      </c>
      <c r="D23" s="241">
        <v>303547</v>
      </c>
      <c r="E23" s="240">
        <v>45078</v>
      </c>
      <c r="F23" s="202" t="s">
        <v>3220</v>
      </c>
    </row>
    <row r="24" spans="1:6">
      <c r="A24" s="239">
        <v>20</v>
      </c>
      <c r="B24" s="202">
        <v>18</v>
      </c>
      <c r="C24" s="240">
        <v>45131</v>
      </c>
      <c r="D24" s="241">
        <v>303547</v>
      </c>
      <c r="E24" s="240">
        <v>45128</v>
      </c>
      <c r="F24" s="202" t="s">
        <v>3220</v>
      </c>
    </row>
    <row r="25" spans="1:6">
      <c r="A25" s="239">
        <v>21</v>
      </c>
      <c r="B25" s="202">
        <v>19</v>
      </c>
      <c r="C25" s="240">
        <v>45162</v>
      </c>
      <c r="D25" s="241">
        <v>303547</v>
      </c>
      <c r="E25" s="240">
        <v>45140</v>
      </c>
      <c r="F25" s="202" t="s">
        <v>3220</v>
      </c>
    </row>
    <row r="26" spans="1:6">
      <c r="A26" s="239">
        <v>22</v>
      </c>
      <c r="B26" s="202">
        <v>20</v>
      </c>
      <c r="C26" s="240">
        <v>45193</v>
      </c>
      <c r="D26" s="241">
        <v>303547</v>
      </c>
      <c r="E26" s="202"/>
      <c r="F26" s="202" t="s">
        <v>3220</v>
      </c>
    </row>
    <row r="27" spans="1:6">
      <c r="A27" s="239">
        <v>23</v>
      </c>
      <c r="B27" s="202">
        <v>21</v>
      </c>
      <c r="C27" s="240">
        <v>45223</v>
      </c>
      <c r="D27" s="241">
        <v>303547</v>
      </c>
      <c r="E27" s="202"/>
      <c r="F27" s="202" t="s">
        <v>3220</v>
      </c>
    </row>
    <row r="28" spans="1:6">
      <c r="A28" s="239">
        <v>24</v>
      </c>
      <c r="B28" s="202">
        <v>22</v>
      </c>
      <c r="C28" s="240">
        <v>45254</v>
      </c>
      <c r="D28" s="241">
        <v>303547</v>
      </c>
      <c r="E28" s="202"/>
      <c r="F28" s="202" t="s">
        <v>3220</v>
      </c>
    </row>
    <row r="29" spans="1:6">
      <c r="A29" s="239">
        <v>25</v>
      </c>
      <c r="B29" s="202">
        <v>23</v>
      </c>
      <c r="C29" s="240">
        <v>45284</v>
      </c>
      <c r="D29" s="241">
        <v>303547</v>
      </c>
      <c r="E29" s="202"/>
      <c r="F29" s="202" t="s">
        <v>3220</v>
      </c>
    </row>
    <row r="30" spans="1:6">
      <c r="A30" s="239">
        <v>26</v>
      </c>
      <c r="B30" s="202">
        <v>24</v>
      </c>
      <c r="C30" s="240">
        <v>45315</v>
      </c>
      <c r="D30" s="241">
        <v>303547</v>
      </c>
      <c r="E30" s="202"/>
      <c r="F30" s="202" t="s">
        <v>3220</v>
      </c>
    </row>
    <row r="31" spans="1:6">
      <c r="A31" s="239">
        <v>27</v>
      </c>
      <c r="B31" s="202">
        <v>25</v>
      </c>
      <c r="C31" s="240">
        <v>45346</v>
      </c>
      <c r="D31" s="241">
        <v>303547</v>
      </c>
      <c r="E31" s="202"/>
      <c r="F31" s="202" t="s">
        <v>3220</v>
      </c>
    </row>
    <row r="32" spans="1:6">
      <c r="A32" s="239">
        <v>28</v>
      </c>
      <c r="B32" s="202">
        <v>26</v>
      </c>
      <c r="C32" s="240">
        <v>45375</v>
      </c>
      <c r="D32" s="241">
        <v>303547</v>
      </c>
      <c r="E32" s="202"/>
      <c r="F32" s="202" t="s">
        <v>3220</v>
      </c>
    </row>
    <row r="33" spans="1:6">
      <c r="A33" s="239">
        <v>29</v>
      </c>
      <c r="B33" s="202">
        <v>27</v>
      </c>
      <c r="C33" s="240">
        <v>45406</v>
      </c>
      <c r="D33" s="241">
        <v>303547</v>
      </c>
      <c r="E33" s="202"/>
      <c r="F33" s="202" t="s">
        <v>3220</v>
      </c>
    </row>
    <row r="34" spans="1:6">
      <c r="A34" s="239">
        <v>30</v>
      </c>
      <c r="B34" s="202">
        <v>28</v>
      </c>
      <c r="C34" s="240">
        <v>45436</v>
      </c>
      <c r="D34" s="241">
        <v>303547</v>
      </c>
      <c r="E34" s="202"/>
      <c r="F34" s="202" t="s">
        <v>3220</v>
      </c>
    </row>
    <row r="35" spans="1:6">
      <c r="A35" s="239">
        <v>31</v>
      </c>
      <c r="B35" s="202">
        <v>29</v>
      </c>
      <c r="C35" s="240">
        <v>45467</v>
      </c>
      <c r="D35" s="241">
        <v>303547</v>
      </c>
      <c r="E35" s="202"/>
      <c r="F35" s="202" t="s">
        <v>3220</v>
      </c>
    </row>
    <row r="36" spans="1:6">
      <c r="A36" s="239">
        <v>32</v>
      </c>
      <c r="B36" s="202">
        <v>30</v>
      </c>
      <c r="C36" s="240">
        <v>45497</v>
      </c>
      <c r="D36" s="241">
        <v>303547</v>
      </c>
      <c r="E36" s="202"/>
      <c r="F36" s="202" t="s">
        <v>3220</v>
      </c>
    </row>
    <row r="37" spans="1:6">
      <c r="A37" s="239">
        <v>33</v>
      </c>
      <c r="B37" s="202">
        <v>31</v>
      </c>
      <c r="C37" s="240">
        <v>45528</v>
      </c>
      <c r="D37" s="241">
        <v>303547</v>
      </c>
      <c r="E37" s="202"/>
      <c r="F37" s="202" t="s">
        <v>3220</v>
      </c>
    </row>
    <row r="38" spans="1:6">
      <c r="A38" s="239">
        <v>34</v>
      </c>
      <c r="B38" s="202">
        <v>32</v>
      </c>
      <c r="C38" s="240">
        <v>45559</v>
      </c>
      <c r="D38" s="241">
        <v>303547</v>
      </c>
      <c r="E38" s="202"/>
      <c r="F38" s="202" t="s">
        <v>3220</v>
      </c>
    </row>
    <row r="39" spans="1:6">
      <c r="A39" s="239">
        <v>35</v>
      </c>
      <c r="B39" s="202">
        <v>33</v>
      </c>
      <c r="C39" s="240">
        <v>45589</v>
      </c>
      <c r="D39" s="241">
        <v>303547</v>
      </c>
      <c r="E39" s="202"/>
      <c r="F39" s="202" t="s">
        <v>3220</v>
      </c>
    </row>
    <row r="40" spans="1:6">
      <c r="A40" s="239">
        <v>36</v>
      </c>
      <c r="B40" s="202">
        <v>34</v>
      </c>
      <c r="C40" s="240">
        <v>45620</v>
      </c>
      <c r="D40" s="241">
        <v>303547</v>
      </c>
      <c r="E40" s="202"/>
      <c r="F40" s="202" t="s">
        <v>3220</v>
      </c>
    </row>
    <row r="41" spans="1:6">
      <c r="A41" s="239">
        <v>37</v>
      </c>
      <c r="B41" s="202">
        <v>35</v>
      </c>
      <c r="C41" s="240">
        <v>45650</v>
      </c>
      <c r="D41" s="241">
        <v>303547</v>
      </c>
      <c r="E41" s="202"/>
      <c r="F41" s="202" t="s">
        <v>3220</v>
      </c>
    </row>
    <row r="42" spans="1:6">
      <c r="A42" s="239">
        <v>38</v>
      </c>
      <c r="B42" s="202">
        <v>36</v>
      </c>
      <c r="C42" s="240">
        <v>45650</v>
      </c>
      <c r="D42" s="241">
        <v>303547</v>
      </c>
      <c r="E42" s="202"/>
      <c r="F42" s="202" t="s">
        <v>3220</v>
      </c>
    </row>
    <row r="43" spans="1:6">
      <c r="A43" s="973" t="s">
        <v>3221</v>
      </c>
      <c r="B43" s="973"/>
      <c r="C43" s="973"/>
      <c r="D43" s="242">
        <f>SUM(D5:D41)</f>
        <v>12068245</v>
      </c>
      <c r="E43" s="974" t="s">
        <v>3222</v>
      </c>
      <c r="F43" s="975"/>
    </row>
    <row r="44" spans="1:6">
      <c r="A44" s="973" t="s">
        <v>3223</v>
      </c>
      <c r="B44" s="973"/>
      <c r="C44" s="973"/>
      <c r="D44" s="242"/>
      <c r="E44" s="976"/>
      <c r="F44" s="977"/>
    </row>
    <row r="45" spans="1:6">
      <c r="A45" s="973" t="s">
        <v>3224</v>
      </c>
      <c r="B45" s="973"/>
      <c r="C45" s="973"/>
      <c r="D45" s="242"/>
      <c r="E45" s="978"/>
      <c r="F45" s="979"/>
    </row>
    <row r="46" spans="1:6">
      <c r="D46" s="243"/>
    </row>
    <row r="47" spans="1:6">
      <c r="D47" s="243"/>
    </row>
    <row r="48" spans="1:6">
      <c r="D48" s="243"/>
    </row>
    <row r="49" spans="4:4">
      <c r="D49" s="243"/>
    </row>
    <row r="50" spans="4:4">
      <c r="D50" s="243"/>
    </row>
    <row r="51" spans="4:4">
      <c r="D51" s="243"/>
    </row>
    <row r="52" spans="4:4">
      <c r="D52" s="243"/>
    </row>
    <row r="53" spans="4:4">
      <c r="D53" s="243"/>
    </row>
    <row r="54" spans="4:4">
      <c r="D54" s="243"/>
    </row>
    <row r="55" spans="4:4">
      <c r="D55" s="243"/>
    </row>
    <row r="56" spans="4:4">
      <c r="D56" s="243"/>
    </row>
    <row r="57" spans="4:4">
      <c r="D57" s="243"/>
    </row>
    <row r="58" spans="4:4">
      <c r="D58" s="243"/>
    </row>
    <row r="59" spans="4:4">
      <c r="D59" s="243"/>
    </row>
    <row r="60" spans="4:4">
      <c r="D60" s="243"/>
    </row>
    <row r="61" spans="4:4">
      <c r="D61" s="243"/>
    </row>
    <row r="62" spans="4:4">
      <c r="D62" s="243"/>
    </row>
    <row r="63" spans="4:4">
      <c r="D63" s="243"/>
    </row>
    <row r="64" spans="4:4">
      <c r="D64" s="243"/>
    </row>
    <row r="65" spans="4:4">
      <c r="D65" s="243"/>
    </row>
    <row r="66" spans="4:4">
      <c r="D66" s="243"/>
    </row>
    <row r="67" spans="4:4">
      <c r="D67" s="243"/>
    </row>
    <row r="68" spans="4:4">
      <c r="D68" s="243"/>
    </row>
    <row r="69" spans="4:4">
      <c r="D69" s="243"/>
    </row>
    <row r="70" spans="4:4">
      <c r="D70" s="243"/>
    </row>
    <row r="71" spans="4:4">
      <c r="D71" s="243"/>
    </row>
    <row r="72" spans="4:4">
      <c r="D72" s="243"/>
    </row>
    <row r="73" spans="4:4">
      <c r="D73" s="243"/>
    </row>
    <row r="74" spans="4:4">
      <c r="D74" s="243"/>
    </row>
    <row r="75" spans="4:4">
      <c r="D75" s="243"/>
    </row>
    <row r="76" spans="4:4">
      <c r="D76" s="243"/>
    </row>
    <row r="77" spans="4:4">
      <c r="D77" s="243"/>
    </row>
    <row r="78" spans="4:4">
      <c r="D78" s="243"/>
    </row>
    <row r="79" spans="4:4">
      <c r="D79" s="243"/>
    </row>
    <row r="80" spans="4:4">
      <c r="D80" s="243"/>
    </row>
    <row r="81" spans="4:4">
      <c r="D81" s="243"/>
    </row>
    <row r="82" spans="4:4">
      <c r="D82" s="243"/>
    </row>
    <row r="83" spans="4:4">
      <c r="D83" s="243"/>
    </row>
    <row r="84" spans="4:4">
      <c r="D84" s="243"/>
    </row>
    <row r="85" spans="4:4">
      <c r="D85" s="243"/>
    </row>
    <row r="86" spans="4:4">
      <c r="D86" s="243"/>
    </row>
    <row r="87" spans="4:4">
      <c r="D87" s="243"/>
    </row>
    <row r="88" spans="4:4">
      <c r="D88" s="243"/>
    </row>
    <row r="89" spans="4:4">
      <c r="D89" s="243"/>
    </row>
    <row r="90" spans="4:4">
      <c r="D90" s="243"/>
    </row>
    <row r="91" spans="4:4">
      <c r="D91" s="243"/>
    </row>
    <row r="92" spans="4:4">
      <c r="D92" s="243"/>
    </row>
    <row r="93" spans="4:4">
      <c r="D93" s="243"/>
    </row>
    <row r="94" spans="4:4">
      <c r="D94" s="243"/>
    </row>
    <row r="95" spans="4:4">
      <c r="D95" s="243"/>
    </row>
    <row r="96" spans="4:4">
      <c r="D96" s="243"/>
    </row>
    <row r="97" spans="4:4">
      <c r="D97" s="243"/>
    </row>
    <row r="98" spans="4:4">
      <c r="D98" s="243"/>
    </row>
    <row r="99" spans="4:4">
      <c r="D99" s="243"/>
    </row>
    <row r="100" spans="4:4">
      <c r="D100" s="243"/>
    </row>
    <row r="101" spans="4:4">
      <c r="D101" s="243"/>
    </row>
    <row r="102" spans="4:4">
      <c r="D102" s="243"/>
    </row>
    <row r="103" spans="4:4">
      <c r="D103" s="243"/>
    </row>
    <row r="104" spans="4:4">
      <c r="D104" s="243"/>
    </row>
    <row r="105" spans="4:4">
      <c r="D105" s="243"/>
    </row>
    <row r="106" spans="4:4">
      <c r="D106" s="243"/>
    </row>
    <row r="107" spans="4:4">
      <c r="D107" s="243"/>
    </row>
    <row r="108" spans="4:4">
      <c r="D108" s="243"/>
    </row>
    <row r="109" spans="4:4">
      <c r="D109" s="243"/>
    </row>
    <row r="110" spans="4:4">
      <c r="D110" s="243"/>
    </row>
    <row r="111" spans="4:4">
      <c r="D111" s="243"/>
    </row>
    <row r="112" spans="4:4">
      <c r="D112" s="243"/>
    </row>
    <row r="113" spans="4:4">
      <c r="D113" s="243"/>
    </row>
    <row r="114" spans="4:4">
      <c r="D114" s="243"/>
    </row>
    <row r="115" spans="4:4">
      <c r="D115" s="243"/>
    </row>
    <row r="116" spans="4:4">
      <c r="D116" s="243"/>
    </row>
    <row r="117" spans="4:4">
      <c r="D117" s="243"/>
    </row>
    <row r="118" spans="4:4">
      <c r="D118" s="243"/>
    </row>
    <row r="119" spans="4:4">
      <c r="D119" s="243"/>
    </row>
    <row r="120" spans="4:4">
      <c r="D120" s="243"/>
    </row>
    <row r="121" spans="4:4">
      <c r="D121" s="243"/>
    </row>
    <row r="122" spans="4:4">
      <c r="D122" s="243"/>
    </row>
    <row r="123" spans="4:4">
      <c r="D123" s="243"/>
    </row>
    <row r="124" spans="4:4">
      <c r="D124" s="243"/>
    </row>
    <row r="125" spans="4:4">
      <c r="D125" s="243"/>
    </row>
    <row r="126" spans="4:4">
      <c r="D126" s="243"/>
    </row>
    <row r="127" spans="4:4">
      <c r="D127" s="243"/>
    </row>
    <row r="128" spans="4:4">
      <c r="D128" s="243"/>
    </row>
    <row r="129" spans="4:4">
      <c r="D129" s="243"/>
    </row>
    <row r="130" spans="4:4">
      <c r="D130" s="243"/>
    </row>
    <row r="131" spans="4:4">
      <c r="D131" s="243"/>
    </row>
    <row r="132" spans="4:4">
      <c r="D132" s="243"/>
    </row>
    <row r="133" spans="4:4">
      <c r="D133" s="243"/>
    </row>
    <row r="134" spans="4:4">
      <c r="D134" s="243"/>
    </row>
    <row r="135" spans="4:4">
      <c r="D135" s="243"/>
    </row>
    <row r="136" spans="4:4">
      <c r="D136" s="243"/>
    </row>
    <row r="137" spans="4:4">
      <c r="D137" s="243"/>
    </row>
    <row r="138" spans="4:4">
      <c r="D138" s="243"/>
    </row>
    <row r="139" spans="4:4">
      <c r="D139" s="243"/>
    </row>
    <row r="140" spans="4:4">
      <c r="D140" s="243"/>
    </row>
    <row r="141" spans="4:4">
      <c r="D141" s="243"/>
    </row>
    <row r="142" spans="4:4">
      <c r="D142" s="243"/>
    </row>
    <row r="143" spans="4:4">
      <c r="D143" s="243"/>
    </row>
    <row r="144" spans="4:4">
      <c r="D144" s="243"/>
    </row>
    <row r="145" spans="4:4">
      <c r="D145" s="243"/>
    </row>
    <row r="146" spans="4:4">
      <c r="D146" s="243"/>
    </row>
    <row r="147" spans="4:4">
      <c r="D147" s="243"/>
    </row>
    <row r="148" spans="4:4">
      <c r="D148" s="243"/>
    </row>
    <row r="149" spans="4:4">
      <c r="D149" s="243"/>
    </row>
    <row r="150" spans="4:4">
      <c r="D150" s="243"/>
    </row>
    <row r="151" spans="4:4">
      <c r="D151" s="243"/>
    </row>
    <row r="152" spans="4:4">
      <c r="D152" s="243"/>
    </row>
    <row r="153" spans="4:4">
      <c r="D153" s="243"/>
    </row>
    <row r="154" spans="4:4">
      <c r="D154" s="243"/>
    </row>
    <row r="155" spans="4:4">
      <c r="D155" s="243"/>
    </row>
    <row r="156" spans="4:4">
      <c r="D156" s="243"/>
    </row>
    <row r="157" spans="4:4">
      <c r="D157" s="243"/>
    </row>
    <row r="158" spans="4:4">
      <c r="D158" s="243"/>
    </row>
    <row r="159" spans="4:4">
      <c r="D159" s="243"/>
    </row>
    <row r="160" spans="4:4">
      <c r="D160" s="243"/>
    </row>
    <row r="161" spans="4:4">
      <c r="D161" s="243"/>
    </row>
    <row r="162" spans="4:4">
      <c r="D162" s="243"/>
    </row>
    <row r="163" spans="4:4">
      <c r="D163" s="243"/>
    </row>
    <row r="164" spans="4:4">
      <c r="D164" s="243"/>
    </row>
    <row r="165" spans="4:4">
      <c r="D165" s="243"/>
    </row>
    <row r="166" spans="4:4">
      <c r="D166" s="243"/>
    </row>
    <row r="167" spans="4:4">
      <c r="D167" s="243"/>
    </row>
    <row r="168" spans="4:4">
      <c r="D168" s="243"/>
    </row>
    <row r="169" spans="4:4">
      <c r="D169" s="243"/>
    </row>
    <row r="170" spans="4:4">
      <c r="D170" s="243"/>
    </row>
    <row r="171" spans="4:4">
      <c r="D171" s="243"/>
    </row>
    <row r="172" spans="4:4">
      <c r="D172" s="243"/>
    </row>
    <row r="173" spans="4:4">
      <c r="D173" s="243"/>
    </row>
    <row r="174" spans="4:4">
      <c r="D174" s="243"/>
    </row>
    <row r="175" spans="4:4">
      <c r="D175" s="243"/>
    </row>
    <row r="176" spans="4:4">
      <c r="D176" s="243"/>
    </row>
    <row r="177" spans="4:4">
      <c r="D177" s="243"/>
    </row>
    <row r="178" spans="4:4">
      <c r="D178" s="243"/>
    </row>
    <row r="179" spans="4:4">
      <c r="D179" s="243"/>
    </row>
    <row r="180" spans="4:4">
      <c r="D180" s="243"/>
    </row>
    <row r="181" spans="4:4">
      <c r="D181" s="243"/>
    </row>
    <row r="182" spans="4:4">
      <c r="D182" s="243"/>
    </row>
    <row r="183" spans="4:4">
      <c r="D183" s="243"/>
    </row>
    <row r="184" spans="4:4">
      <c r="D184" s="243"/>
    </row>
    <row r="185" spans="4:4">
      <c r="D185" s="243"/>
    </row>
    <row r="186" spans="4:4">
      <c r="D186" s="243"/>
    </row>
    <row r="187" spans="4:4">
      <c r="D187" s="243"/>
    </row>
    <row r="188" spans="4:4">
      <c r="D188" s="243"/>
    </row>
    <row r="189" spans="4:4">
      <c r="D189" s="243"/>
    </row>
    <row r="190" spans="4:4">
      <c r="D190" s="243"/>
    </row>
    <row r="191" spans="4:4">
      <c r="D191" s="243"/>
    </row>
    <row r="192" spans="4:4">
      <c r="D192" s="243"/>
    </row>
    <row r="193" spans="4:4">
      <c r="D193" s="243"/>
    </row>
    <row r="194" spans="4:4">
      <c r="D194" s="243"/>
    </row>
    <row r="195" spans="4:4">
      <c r="D195" s="243"/>
    </row>
    <row r="196" spans="4:4">
      <c r="D196" s="243"/>
    </row>
    <row r="197" spans="4:4">
      <c r="D197" s="243"/>
    </row>
    <row r="198" spans="4:4">
      <c r="D198" s="243"/>
    </row>
    <row r="199" spans="4:4">
      <c r="D199" s="243"/>
    </row>
    <row r="200" spans="4:4">
      <c r="D200" s="243"/>
    </row>
    <row r="201" spans="4:4">
      <c r="D201" s="243"/>
    </row>
    <row r="202" spans="4:4">
      <c r="D202" s="243"/>
    </row>
    <row r="203" spans="4:4">
      <c r="D203" s="243"/>
    </row>
    <row r="204" spans="4:4">
      <c r="D204" s="243"/>
    </row>
    <row r="205" spans="4:4">
      <c r="D205" s="243"/>
    </row>
    <row r="206" spans="4:4">
      <c r="D206" s="243"/>
    </row>
    <row r="207" spans="4:4">
      <c r="D207" s="243"/>
    </row>
    <row r="208" spans="4:4">
      <c r="D208" s="243"/>
    </row>
    <row r="209" spans="4:4">
      <c r="D209" s="243"/>
    </row>
    <row r="210" spans="4:4">
      <c r="D210" s="243"/>
    </row>
    <row r="211" spans="4:4">
      <c r="D211" s="243"/>
    </row>
    <row r="212" spans="4:4">
      <c r="D212" s="243"/>
    </row>
    <row r="213" spans="4:4">
      <c r="D213" s="243"/>
    </row>
    <row r="214" spans="4:4">
      <c r="D214" s="243"/>
    </row>
    <row r="215" spans="4:4">
      <c r="D215" s="243"/>
    </row>
    <row r="216" spans="4:4">
      <c r="D216" s="243"/>
    </row>
    <row r="217" spans="4:4">
      <c r="D217" s="243"/>
    </row>
    <row r="218" spans="4:4">
      <c r="D218" s="243"/>
    </row>
    <row r="219" spans="4:4">
      <c r="D219" s="243"/>
    </row>
    <row r="220" spans="4:4">
      <c r="D220" s="243"/>
    </row>
    <row r="221" spans="4:4">
      <c r="D221" s="243"/>
    </row>
    <row r="222" spans="4:4">
      <c r="D222" s="243"/>
    </row>
    <row r="223" spans="4:4">
      <c r="D223" s="243"/>
    </row>
    <row r="224" spans="4:4">
      <c r="D224" s="243"/>
    </row>
    <row r="225" spans="4:4">
      <c r="D225" s="243"/>
    </row>
    <row r="226" spans="4:4">
      <c r="D226" s="243"/>
    </row>
    <row r="227" spans="4:4">
      <c r="D227" s="243"/>
    </row>
    <row r="228" spans="4:4">
      <c r="D228" s="243"/>
    </row>
    <row r="229" spans="4:4">
      <c r="D229" s="243"/>
    </row>
    <row r="230" spans="4:4">
      <c r="D230" s="243"/>
    </row>
    <row r="231" spans="4:4">
      <c r="D231" s="243"/>
    </row>
    <row r="232" spans="4:4">
      <c r="D232" s="243"/>
    </row>
    <row r="233" spans="4:4">
      <c r="D233" s="243"/>
    </row>
    <row r="234" spans="4:4">
      <c r="D234" s="243"/>
    </row>
    <row r="235" spans="4:4">
      <c r="D235" s="243"/>
    </row>
    <row r="236" spans="4:4">
      <c r="D236" s="243"/>
    </row>
    <row r="237" spans="4:4">
      <c r="D237" s="243"/>
    </row>
    <row r="238" spans="4:4">
      <c r="D238" s="243"/>
    </row>
    <row r="239" spans="4:4">
      <c r="D239" s="243"/>
    </row>
    <row r="240" spans="4:4">
      <c r="D240" s="243"/>
    </row>
    <row r="241" spans="4:4">
      <c r="D241" s="243"/>
    </row>
    <row r="242" spans="4:4">
      <c r="D242" s="243"/>
    </row>
    <row r="243" spans="4:4">
      <c r="D243" s="243"/>
    </row>
    <row r="244" spans="4:4">
      <c r="D244" s="243"/>
    </row>
    <row r="245" spans="4:4">
      <c r="D245" s="243"/>
    </row>
    <row r="246" spans="4:4">
      <c r="D246" s="243"/>
    </row>
    <row r="247" spans="4:4">
      <c r="D247" s="243"/>
    </row>
    <row r="248" spans="4:4">
      <c r="D248" s="243"/>
    </row>
    <row r="249" spans="4:4">
      <c r="D249" s="243"/>
    </row>
    <row r="250" spans="4:4">
      <c r="D250" s="243"/>
    </row>
    <row r="251" spans="4:4">
      <c r="D251" s="243"/>
    </row>
    <row r="252" spans="4:4">
      <c r="D252" s="243"/>
    </row>
    <row r="253" spans="4:4">
      <c r="D253" s="243"/>
    </row>
    <row r="254" spans="4:4">
      <c r="D254" s="243"/>
    </row>
    <row r="255" spans="4:4">
      <c r="D255" s="243"/>
    </row>
    <row r="256" spans="4:4">
      <c r="D256" s="243"/>
    </row>
    <row r="257" spans="4:4">
      <c r="D257" s="243"/>
    </row>
    <row r="258" spans="4:4">
      <c r="D258" s="243"/>
    </row>
    <row r="259" spans="4:4">
      <c r="D259" s="243"/>
    </row>
    <row r="260" spans="4:4">
      <c r="D260" s="243"/>
    </row>
    <row r="261" spans="4:4">
      <c r="D261" s="243"/>
    </row>
    <row r="262" spans="4:4">
      <c r="D262" s="243"/>
    </row>
    <row r="263" spans="4:4">
      <c r="D263" s="243"/>
    </row>
    <row r="264" spans="4:4">
      <c r="D264" s="243"/>
    </row>
    <row r="265" spans="4:4">
      <c r="D265" s="243"/>
    </row>
    <row r="266" spans="4:4">
      <c r="D266" s="243"/>
    </row>
    <row r="267" spans="4:4">
      <c r="D267" s="243"/>
    </row>
    <row r="268" spans="4:4">
      <c r="D268" s="243"/>
    </row>
    <row r="269" spans="4:4">
      <c r="D269" s="243"/>
    </row>
    <row r="270" spans="4:4">
      <c r="D270" s="243"/>
    </row>
    <row r="271" spans="4:4">
      <c r="D271" s="243"/>
    </row>
    <row r="272" spans="4:4">
      <c r="D272" s="243"/>
    </row>
    <row r="273" spans="4:4">
      <c r="D273" s="243"/>
    </row>
    <row r="274" spans="4:4">
      <c r="D274" s="243"/>
    </row>
    <row r="275" spans="4:4">
      <c r="D275" s="243"/>
    </row>
    <row r="276" spans="4:4">
      <c r="D276" s="243"/>
    </row>
    <row r="277" spans="4:4">
      <c r="D277" s="243"/>
    </row>
    <row r="278" spans="4:4">
      <c r="D278" s="243"/>
    </row>
    <row r="279" spans="4:4">
      <c r="D279" s="243"/>
    </row>
    <row r="280" spans="4:4">
      <c r="D280" s="243"/>
    </row>
    <row r="281" spans="4:4">
      <c r="D281" s="243"/>
    </row>
    <row r="282" spans="4:4">
      <c r="D282" s="243"/>
    </row>
    <row r="283" spans="4:4">
      <c r="D283" s="243"/>
    </row>
    <row r="284" spans="4:4">
      <c r="D284" s="243"/>
    </row>
    <row r="285" spans="4:4">
      <c r="D285" s="243"/>
    </row>
    <row r="286" spans="4:4">
      <c r="D286" s="243"/>
    </row>
    <row r="287" spans="4:4">
      <c r="D287" s="243"/>
    </row>
    <row r="288" spans="4:4">
      <c r="D288" s="243"/>
    </row>
    <row r="289" spans="4:4">
      <c r="D289" s="243"/>
    </row>
    <row r="290" spans="4:4">
      <c r="D290" s="243"/>
    </row>
    <row r="291" spans="4:4">
      <c r="D291" s="243"/>
    </row>
    <row r="292" spans="4:4">
      <c r="D292" s="243"/>
    </row>
    <row r="293" spans="4:4">
      <c r="D293" s="243"/>
    </row>
    <row r="294" spans="4:4">
      <c r="D294" s="243"/>
    </row>
    <row r="295" spans="4:4">
      <c r="D295" s="243"/>
    </row>
    <row r="296" spans="4:4">
      <c r="D296" s="243"/>
    </row>
    <row r="297" spans="4:4">
      <c r="D297" s="243"/>
    </row>
    <row r="298" spans="4:4">
      <c r="D298" s="243"/>
    </row>
    <row r="299" spans="4:4">
      <c r="D299" s="243"/>
    </row>
    <row r="300" spans="4:4">
      <c r="D300" s="243"/>
    </row>
    <row r="301" spans="4:4">
      <c r="D301" s="243"/>
    </row>
    <row r="302" spans="4:4">
      <c r="D302" s="243"/>
    </row>
    <row r="303" spans="4:4">
      <c r="D303" s="243"/>
    </row>
    <row r="304" spans="4:4">
      <c r="D304" s="243"/>
    </row>
    <row r="305" spans="4:4">
      <c r="D305" s="243"/>
    </row>
    <row r="306" spans="4:4">
      <c r="D306" s="243"/>
    </row>
    <row r="307" spans="4:4">
      <c r="D307" s="243"/>
    </row>
    <row r="308" spans="4:4">
      <c r="D308" s="243"/>
    </row>
    <row r="309" spans="4:4">
      <c r="D309" s="243"/>
    </row>
    <row r="310" spans="4:4">
      <c r="D310" s="243"/>
    </row>
    <row r="311" spans="4:4">
      <c r="D311" s="243"/>
    </row>
    <row r="312" spans="4:4">
      <c r="D312" s="243"/>
    </row>
    <row r="313" spans="4:4">
      <c r="D313" s="243"/>
    </row>
    <row r="314" spans="4:4">
      <c r="D314" s="243"/>
    </row>
    <row r="315" spans="4:4">
      <c r="D315" s="243"/>
    </row>
    <row r="316" spans="4:4">
      <c r="D316" s="243"/>
    </row>
    <row r="317" spans="4:4">
      <c r="D317" s="243"/>
    </row>
    <row r="318" spans="4:4">
      <c r="D318" s="243"/>
    </row>
    <row r="319" spans="4:4">
      <c r="D319" s="243"/>
    </row>
    <row r="320" spans="4:4">
      <c r="D320" s="243"/>
    </row>
    <row r="321" spans="4:4">
      <c r="D321" s="243"/>
    </row>
    <row r="322" spans="4:4">
      <c r="D322" s="243"/>
    </row>
    <row r="323" spans="4:4">
      <c r="D323" s="243"/>
    </row>
    <row r="324" spans="4:4">
      <c r="D324" s="243"/>
    </row>
    <row r="325" spans="4:4">
      <c r="D325" s="243"/>
    </row>
    <row r="326" spans="4:4">
      <c r="D326" s="243"/>
    </row>
    <row r="327" spans="4:4">
      <c r="D327" s="243"/>
    </row>
    <row r="328" spans="4:4">
      <c r="D328" s="243"/>
    </row>
    <row r="329" spans="4:4">
      <c r="D329" s="243"/>
    </row>
    <row r="330" spans="4:4">
      <c r="D330" s="243"/>
    </row>
    <row r="331" spans="4:4">
      <c r="D331" s="243"/>
    </row>
    <row r="332" spans="4:4">
      <c r="D332" s="243"/>
    </row>
    <row r="333" spans="4:4">
      <c r="D333" s="243"/>
    </row>
    <row r="334" spans="4:4">
      <c r="D334" s="243"/>
    </row>
    <row r="335" spans="4:4">
      <c r="D335" s="243"/>
    </row>
    <row r="336" spans="4:4">
      <c r="D336" s="243"/>
    </row>
    <row r="337" spans="4:4">
      <c r="D337" s="243"/>
    </row>
    <row r="338" spans="4:4">
      <c r="D338" s="243"/>
    </row>
    <row r="339" spans="4:4">
      <c r="D339" s="243"/>
    </row>
    <row r="340" spans="4:4">
      <c r="D340" s="243"/>
    </row>
    <row r="341" spans="4:4">
      <c r="D341" s="243"/>
    </row>
    <row r="342" spans="4:4">
      <c r="D342" s="243"/>
    </row>
    <row r="343" spans="4:4">
      <c r="D343" s="243"/>
    </row>
    <row r="344" spans="4:4">
      <c r="D344" s="243"/>
    </row>
    <row r="345" spans="4:4">
      <c r="D345" s="243"/>
    </row>
    <row r="346" spans="4:4">
      <c r="D346" s="243"/>
    </row>
    <row r="347" spans="4:4">
      <c r="D347" s="243"/>
    </row>
    <row r="348" spans="4:4">
      <c r="D348" s="243"/>
    </row>
    <row r="349" spans="4:4">
      <c r="D349" s="243"/>
    </row>
    <row r="350" spans="4:4">
      <c r="D350" s="243"/>
    </row>
    <row r="351" spans="4:4">
      <c r="D351" s="243"/>
    </row>
    <row r="352" spans="4:4">
      <c r="D352" s="243"/>
    </row>
    <row r="353" spans="4:4">
      <c r="D353" s="243"/>
    </row>
    <row r="354" spans="4:4">
      <c r="D354" s="243"/>
    </row>
    <row r="355" spans="4:4">
      <c r="D355" s="243"/>
    </row>
    <row r="356" spans="4:4">
      <c r="D356" s="243"/>
    </row>
    <row r="357" spans="4:4">
      <c r="D357" s="243"/>
    </row>
    <row r="358" spans="4:4">
      <c r="D358" s="243"/>
    </row>
    <row r="359" spans="4:4">
      <c r="D359" s="243"/>
    </row>
    <row r="360" spans="4:4">
      <c r="D360" s="243"/>
    </row>
    <row r="361" spans="4:4">
      <c r="D361" s="243"/>
    </row>
    <row r="362" spans="4:4">
      <c r="D362" s="243"/>
    </row>
    <row r="363" spans="4:4">
      <c r="D363" s="243"/>
    </row>
    <row r="364" spans="4:4">
      <c r="D364" s="243"/>
    </row>
    <row r="365" spans="4:4">
      <c r="D365" s="243"/>
    </row>
    <row r="366" spans="4:4">
      <c r="D366" s="243"/>
    </row>
    <row r="367" spans="4:4">
      <c r="D367" s="243"/>
    </row>
    <row r="368" spans="4:4">
      <c r="D368" s="243"/>
    </row>
    <row r="369" spans="4:4">
      <c r="D369" s="243"/>
    </row>
    <row r="370" spans="4:4">
      <c r="D370" s="243"/>
    </row>
    <row r="371" spans="4:4">
      <c r="D371" s="243"/>
    </row>
    <row r="372" spans="4:4">
      <c r="D372" s="243"/>
    </row>
    <row r="373" spans="4:4">
      <c r="D373" s="243"/>
    </row>
    <row r="374" spans="4:4">
      <c r="D374" s="243"/>
    </row>
    <row r="375" spans="4:4">
      <c r="D375" s="243"/>
    </row>
    <row r="376" spans="4:4">
      <c r="D376" s="243"/>
    </row>
    <row r="377" spans="4:4">
      <c r="D377" s="243"/>
    </row>
    <row r="378" spans="4:4">
      <c r="D378" s="243"/>
    </row>
    <row r="379" spans="4:4">
      <c r="D379" s="243"/>
    </row>
    <row r="380" spans="4:4">
      <c r="D380" s="243"/>
    </row>
    <row r="381" spans="4:4">
      <c r="D381" s="243"/>
    </row>
    <row r="382" spans="4:4">
      <c r="D382" s="243"/>
    </row>
    <row r="383" spans="4:4">
      <c r="D383" s="243"/>
    </row>
    <row r="384" spans="4:4">
      <c r="D384" s="243"/>
    </row>
    <row r="385" spans="4:4">
      <c r="D385" s="243"/>
    </row>
    <row r="386" spans="4:4">
      <c r="D386" s="243"/>
    </row>
    <row r="387" spans="4:4">
      <c r="D387" s="243"/>
    </row>
    <row r="388" spans="4:4">
      <c r="D388" s="243"/>
    </row>
    <row r="389" spans="4:4">
      <c r="D389" s="243"/>
    </row>
    <row r="390" spans="4:4">
      <c r="D390" s="243"/>
    </row>
    <row r="391" spans="4:4">
      <c r="D391" s="243"/>
    </row>
    <row r="392" spans="4:4">
      <c r="D392" s="243"/>
    </row>
    <row r="393" spans="4:4">
      <c r="D393" s="243"/>
    </row>
    <row r="394" spans="4:4">
      <c r="D394" s="243"/>
    </row>
    <row r="395" spans="4:4">
      <c r="D395" s="243"/>
    </row>
    <row r="396" spans="4:4">
      <c r="D396" s="243"/>
    </row>
    <row r="397" spans="4:4">
      <c r="D397" s="243"/>
    </row>
    <row r="398" spans="4:4">
      <c r="D398" s="243"/>
    </row>
    <row r="399" spans="4:4">
      <c r="D399" s="243"/>
    </row>
    <row r="400" spans="4:4">
      <c r="D400" s="243"/>
    </row>
    <row r="401" spans="4:4">
      <c r="D401" s="243"/>
    </row>
    <row r="402" spans="4:4">
      <c r="D402" s="243"/>
    </row>
    <row r="403" spans="4:4">
      <c r="D403" s="243"/>
    </row>
    <row r="404" spans="4:4">
      <c r="D404" s="243"/>
    </row>
    <row r="405" spans="4:4">
      <c r="D405" s="243"/>
    </row>
    <row r="406" spans="4:4">
      <c r="D406" s="243"/>
    </row>
    <row r="407" spans="4:4">
      <c r="D407" s="243"/>
    </row>
    <row r="408" spans="4:4">
      <c r="D408" s="243"/>
    </row>
    <row r="409" spans="4:4">
      <c r="D409" s="243"/>
    </row>
    <row r="410" spans="4:4">
      <c r="D410" s="243"/>
    </row>
    <row r="411" spans="4:4">
      <c r="D411" s="243"/>
    </row>
    <row r="412" spans="4:4">
      <c r="D412" s="243"/>
    </row>
    <row r="413" spans="4:4">
      <c r="D413" s="243"/>
    </row>
    <row r="414" spans="4:4">
      <c r="D414" s="243"/>
    </row>
    <row r="415" spans="4:4">
      <c r="D415" s="243"/>
    </row>
    <row r="416" spans="4:4">
      <c r="D416" s="243"/>
    </row>
    <row r="417" spans="4:4">
      <c r="D417" s="243"/>
    </row>
    <row r="418" spans="4:4">
      <c r="D418" s="243"/>
    </row>
    <row r="419" spans="4:4">
      <c r="D419" s="243"/>
    </row>
    <row r="420" spans="4:4">
      <c r="D420" s="243"/>
    </row>
    <row r="421" spans="4:4">
      <c r="D421" s="243"/>
    </row>
    <row r="422" spans="4:4">
      <c r="D422" s="243"/>
    </row>
    <row r="423" spans="4:4">
      <c r="D423" s="243"/>
    </row>
    <row r="424" spans="4:4">
      <c r="D424" s="243"/>
    </row>
    <row r="425" spans="4:4">
      <c r="D425" s="243"/>
    </row>
    <row r="426" spans="4:4">
      <c r="D426" s="243"/>
    </row>
    <row r="427" spans="4:4">
      <c r="D427" s="243"/>
    </row>
    <row r="428" spans="4:4">
      <c r="D428" s="243"/>
    </row>
    <row r="429" spans="4:4">
      <c r="D429" s="243"/>
    </row>
    <row r="430" spans="4:4">
      <c r="D430" s="243"/>
    </row>
    <row r="431" spans="4:4">
      <c r="D431" s="243"/>
    </row>
    <row r="432" spans="4:4">
      <c r="D432" s="243"/>
    </row>
    <row r="433" spans="4:4">
      <c r="D433" s="243"/>
    </row>
    <row r="434" spans="4:4">
      <c r="D434" s="243"/>
    </row>
    <row r="435" spans="4:4">
      <c r="D435" s="243"/>
    </row>
    <row r="436" spans="4:4">
      <c r="D436" s="243"/>
    </row>
    <row r="437" spans="4:4">
      <c r="D437" s="243"/>
    </row>
    <row r="438" spans="4:4">
      <c r="D438" s="243"/>
    </row>
    <row r="439" spans="4:4">
      <c r="D439" s="243"/>
    </row>
    <row r="440" spans="4:4">
      <c r="D440" s="243"/>
    </row>
    <row r="441" spans="4:4">
      <c r="D441" s="243"/>
    </row>
    <row r="442" spans="4:4">
      <c r="D442" s="243"/>
    </row>
    <row r="443" spans="4:4">
      <c r="D443" s="243"/>
    </row>
    <row r="444" spans="4:4">
      <c r="D444" s="243"/>
    </row>
    <row r="445" spans="4:4">
      <c r="D445" s="243"/>
    </row>
    <row r="446" spans="4:4">
      <c r="D446" s="243"/>
    </row>
    <row r="447" spans="4:4">
      <c r="D447" s="243"/>
    </row>
    <row r="448" spans="4:4">
      <c r="D448" s="243"/>
    </row>
    <row r="449" spans="4:4">
      <c r="D449" s="243"/>
    </row>
    <row r="450" spans="4:4">
      <c r="D450" s="243"/>
    </row>
    <row r="451" spans="4:4">
      <c r="D451" s="243"/>
    </row>
    <row r="452" spans="4:4">
      <c r="D452" s="243"/>
    </row>
    <row r="453" spans="4:4">
      <c r="D453" s="243"/>
    </row>
    <row r="454" spans="4:4">
      <c r="D454" s="243"/>
    </row>
    <row r="455" spans="4:4">
      <c r="D455" s="243"/>
    </row>
    <row r="456" spans="4:4">
      <c r="D456" s="243"/>
    </row>
    <row r="457" spans="4:4">
      <c r="D457" s="243"/>
    </row>
    <row r="458" spans="4:4">
      <c r="D458" s="243"/>
    </row>
    <row r="459" spans="4:4">
      <c r="D459" s="243"/>
    </row>
    <row r="460" spans="4:4">
      <c r="D460" s="243"/>
    </row>
    <row r="461" spans="4:4">
      <c r="D461" s="243"/>
    </row>
    <row r="462" spans="4:4">
      <c r="D462" s="243"/>
    </row>
    <row r="463" spans="4:4">
      <c r="D463" s="243"/>
    </row>
    <row r="464" spans="4:4">
      <c r="D464" s="243"/>
    </row>
  </sheetData>
  <mergeCells count="5">
    <mergeCell ref="A43:C43"/>
    <mergeCell ref="A44:C44"/>
    <mergeCell ref="A45:C45"/>
    <mergeCell ref="E43:F45"/>
    <mergeCell ref="A1:F3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6"/>
  <sheetViews>
    <sheetView topLeftCell="A24" workbookViewId="0">
      <selection activeCell="E39" sqref="E39"/>
    </sheetView>
  </sheetViews>
  <sheetFormatPr defaultColWidth="9" defaultRowHeight="14"/>
  <cols>
    <col min="1" max="1" width="4.5" style="235" customWidth="1"/>
    <col min="2" max="2" width="11.5" style="235" customWidth="1"/>
    <col min="3" max="3" width="11.25" style="236" customWidth="1"/>
    <col min="4" max="4" width="11.5" style="235" customWidth="1"/>
    <col min="5" max="5" width="25.25" style="235" customWidth="1"/>
  </cols>
  <sheetData>
    <row r="1" spans="1:5">
      <c r="A1" s="981" t="s">
        <v>3225</v>
      </c>
      <c r="B1" s="981"/>
      <c r="C1" s="981"/>
      <c r="D1" s="981"/>
      <c r="E1" s="981"/>
    </row>
    <row r="2" spans="1:5">
      <c r="A2" s="981"/>
      <c r="B2" s="981"/>
      <c r="C2" s="981"/>
      <c r="D2" s="981"/>
      <c r="E2" s="981"/>
    </row>
    <row r="3" spans="1:5">
      <c r="A3" s="981"/>
      <c r="B3" s="981"/>
      <c r="C3" s="981"/>
      <c r="D3" s="981"/>
      <c r="E3" s="981"/>
    </row>
    <row r="4" spans="1:5" s="237" customFormat="1" ht="22.5" customHeight="1">
      <c r="A4" s="238" t="s">
        <v>1</v>
      </c>
      <c r="B4" s="238" t="s">
        <v>3212</v>
      </c>
      <c r="C4" s="238" t="s">
        <v>3213</v>
      </c>
      <c r="D4" s="238" t="s">
        <v>3214</v>
      </c>
      <c r="E4" s="238" t="s">
        <v>3215</v>
      </c>
    </row>
    <row r="5" spans="1:5">
      <c r="A5" s="202">
        <v>1</v>
      </c>
      <c r="B5" s="240">
        <v>44464</v>
      </c>
      <c r="C5" s="241">
        <v>169675</v>
      </c>
      <c r="D5" s="240">
        <v>44458</v>
      </c>
      <c r="E5" s="202" t="s">
        <v>3226</v>
      </c>
    </row>
    <row r="6" spans="1:5">
      <c r="A6" s="202">
        <v>2</v>
      </c>
      <c r="B6" s="240">
        <v>44494</v>
      </c>
      <c r="C6" s="241">
        <v>147745</v>
      </c>
      <c r="D6" s="240">
        <v>44488</v>
      </c>
      <c r="E6" s="202" t="s">
        <v>3226</v>
      </c>
    </row>
    <row r="7" spans="1:5">
      <c r="A7" s="202">
        <v>3</v>
      </c>
      <c r="B7" s="240">
        <v>44525</v>
      </c>
      <c r="C7" s="241">
        <v>189306</v>
      </c>
      <c r="D7" s="240">
        <v>44505</v>
      </c>
      <c r="E7" s="202" t="s">
        <v>3226</v>
      </c>
    </row>
    <row r="8" spans="1:5">
      <c r="A8" s="202">
        <v>4</v>
      </c>
      <c r="B8" s="240">
        <v>44555</v>
      </c>
      <c r="C8" s="241">
        <v>136280</v>
      </c>
      <c r="D8" s="240">
        <v>44535</v>
      </c>
      <c r="E8" s="202" t="s">
        <v>3226</v>
      </c>
    </row>
    <row r="9" spans="1:5">
      <c r="A9" s="202">
        <v>5</v>
      </c>
      <c r="B9" s="240">
        <v>44586</v>
      </c>
      <c r="C9" s="241">
        <v>147745</v>
      </c>
      <c r="D9" s="240">
        <v>44566</v>
      </c>
      <c r="E9" s="202" t="s">
        <v>3226</v>
      </c>
    </row>
    <row r="10" spans="1:5">
      <c r="A10" s="202">
        <v>6</v>
      </c>
      <c r="B10" s="240">
        <v>44617</v>
      </c>
      <c r="C10" s="241">
        <v>142013</v>
      </c>
      <c r="D10" s="240">
        <v>44597</v>
      </c>
      <c r="E10" s="202" t="s">
        <v>3226</v>
      </c>
    </row>
    <row r="11" spans="1:5">
      <c r="A11" s="202">
        <v>7</v>
      </c>
      <c r="B11" s="240">
        <v>44645</v>
      </c>
      <c r="C11" s="241">
        <v>134847</v>
      </c>
      <c r="D11" s="240">
        <v>44625</v>
      </c>
      <c r="E11" s="202" t="s">
        <v>3226</v>
      </c>
    </row>
    <row r="12" spans="1:5">
      <c r="A12" s="202">
        <v>8</v>
      </c>
      <c r="B12" s="240">
        <v>44676</v>
      </c>
      <c r="C12" s="241">
        <v>147611</v>
      </c>
      <c r="D12" s="240">
        <v>44656</v>
      </c>
      <c r="E12" s="202" t="s">
        <v>3226</v>
      </c>
    </row>
    <row r="13" spans="1:5">
      <c r="A13" s="202">
        <v>9</v>
      </c>
      <c r="B13" s="240">
        <v>44706</v>
      </c>
      <c r="C13" s="241">
        <v>154911</v>
      </c>
      <c r="D13" s="240">
        <v>44686</v>
      </c>
      <c r="E13" s="202" t="s">
        <v>3226</v>
      </c>
    </row>
    <row r="14" spans="1:5">
      <c r="A14" s="202">
        <v>10</v>
      </c>
      <c r="B14" s="240">
        <v>44737</v>
      </c>
      <c r="C14" s="241">
        <v>188006</v>
      </c>
      <c r="D14" s="240">
        <v>44733</v>
      </c>
      <c r="E14" s="202" t="s">
        <v>3226</v>
      </c>
    </row>
    <row r="15" spans="1:5">
      <c r="A15" s="202">
        <v>11</v>
      </c>
      <c r="B15" s="240">
        <v>44767</v>
      </c>
      <c r="C15" s="241">
        <v>146312</v>
      </c>
      <c r="D15" s="240">
        <v>44747</v>
      </c>
      <c r="E15" s="202" t="s">
        <v>3226</v>
      </c>
    </row>
    <row r="16" spans="1:5">
      <c r="A16" s="202">
        <v>12</v>
      </c>
      <c r="B16" s="240">
        <v>44798</v>
      </c>
      <c r="C16" s="241">
        <v>167809</v>
      </c>
      <c r="D16" s="240">
        <v>44778</v>
      </c>
      <c r="E16" s="202" t="s">
        <v>3226</v>
      </c>
    </row>
    <row r="17" spans="1:5">
      <c r="A17" s="202">
        <v>13</v>
      </c>
      <c r="B17" s="240">
        <v>44829</v>
      </c>
      <c r="C17" s="241">
        <v>174974</v>
      </c>
      <c r="D17" s="240">
        <v>44809</v>
      </c>
      <c r="E17" s="202" t="s">
        <v>3226</v>
      </c>
    </row>
    <row r="18" spans="1:5">
      <c r="A18" s="202">
        <v>14</v>
      </c>
      <c r="B18" s="240">
        <v>44859</v>
      </c>
      <c r="C18" s="241">
        <v>179274</v>
      </c>
      <c r="D18" s="240">
        <v>44839</v>
      </c>
      <c r="E18" s="202" t="s">
        <v>3226</v>
      </c>
    </row>
    <row r="19" spans="1:5">
      <c r="A19" s="202">
        <v>15</v>
      </c>
      <c r="B19" s="240">
        <v>44890</v>
      </c>
      <c r="C19" s="241">
        <v>192172</v>
      </c>
      <c r="D19" s="240">
        <v>44870</v>
      </c>
      <c r="E19" s="202" t="s">
        <v>3226</v>
      </c>
    </row>
    <row r="20" spans="1:5">
      <c r="A20" s="202">
        <v>16</v>
      </c>
      <c r="B20" s="240">
        <v>44920</v>
      </c>
      <c r="C20" s="241">
        <v>169675</v>
      </c>
      <c r="D20" s="240">
        <v>44900</v>
      </c>
      <c r="E20" s="202" t="s">
        <v>3226</v>
      </c>
    </row>
    <row r="21" spans="1:5">
      <c r="A21" s="202">
        <v>17</v>
      </c>
      <c r="B21" s="240">
        <v>44951</v>
      </c>
      <c r="C21" s="241">
        <v>179274</v>
      </c>
      <c r="D21" s="240">
        <v>44566</v>
      </c>
      <c r="E21" s="202" t="s">
        <v>3226</v>
      </c>
    </row>
    <row r="22" spans="1:5">
      <c r="A22" s="202">
        <v>18</v>
      </c>
      <c r="B22" s="240">
        <v>44982</v>
      </c>
      <c r="C22" s="241">
        <v>169242</v>
      </c>
      <c r="D22" s="240">
        <v>44597</v>
      </c>
      <c r="E22" s="202" t="s">
        <v>3226</v>
      </c>
    </row>
    <row r="23" spans="1:5">
      <c r="A23" s="202">
        <v>19</v>
      </c>
      <c r="B23" s="240">
        <v>45010</v>
      </c>
      <c r="C23" s="241">
        <v>176408</v>
      </c>
      <c r="D23" s="240">
        <v>44625</v>
      </c>
      <c r="E23" s="202" t="s">
        <v>3226</v>
      </c>
    </row>
    <row r="24" spans="1:5">
      <c r="A24" s="202">
        <v>20</v>
      </c>
      <c r="B24" s="240">
        <v>45041</v>
      </c>
      <c r="C24" s="241">
        <v>174974</v>
      </c>
      <c r="D24" s="240">
        <v>44656</v>
      </c>
      <c r="E24" s="202" t="s">
        <v>3226</v>
      </c>
    </row>
    <row r="25" spans="1:5">
      <c r="A25" s="202">
        <v>21</v>
      </c>
      <c r="B25" s="240">
        <v>45071</v>
      </c>
      <c r="C25" s="241">
        <v>173541</v>
      </c>
      <c r="D25" s="240">
        <v>44686</v>
      </c>
      <c r="E25" s="202" t="s">
        <v>3226</v>
      </c>
    </row>
    <row r="26" spans="1:5">
      <c r="A26" s="202">
        <v>22</v>
      </c>
      <c r="B26" s="240">
        <v>45102</v>
      </c>
      <c r="C26" s="241">
        <v>160643</v>
      </c>
      <c r="D26" s="240">
        <v>44717</v>
      </c>
      <c r="E26" s="202" t="s">
        <v>3226</v>
      </c>
    </row>
    <row r="27" spans="1:5">
      <c r="A27" s="202">
        <v>23</v>
      </c>
      <c r="B27" s="240">
        <v>45132</v>
      </c>
      <c r="C27" s="241">
        <v>253796</v>
      </c>
      <c r="D27" s="240">
        <v>44747</v>
      </c>
      <c r="E27" s="202" t="s">
        <v>3226</v>
      </c>
    </row>
    <row r="28" spans="1:5">
      <c r="A28" s="202">
        <v>24</v>
      </c>
      <c r="B28" s="240">
        <v>45163</v>
      </c>
      <c r="C28" s="241"/>
      <c r="D28" s="202"/>
      <c r="E28" s="202" t="s">
        <v>3226</v>
      </c>
    </row>
    <row r="29" spans="1:5">
      <c r="A29" s="202">
        <v>25</v>
      </c>
      <c r="B29" s="240">
        <v>45194</v>
      </c>
      <c r="C29" s="241"/>
      <c r="D29" s="202"/>
      <c r="E29" s="202" t="s">
        <v>3226</v>
      </c>
    </row>
    <row r="30" spans="1:5">
      <c r="A30" s="202">
        <v>26</v>
      </c>
      <c r="B30" s="240">
        <v>45224</v>
      </c>
      <c r="C30" s="241"/>
      <c r="D30" s="202"/>
      <c r="E30" s="202" t="s">
        <v>3226</v>
      </c>
    </row>
    <row r="31" spans="1:5">
      <c r="A31" s="202">
        <v>27</v>
      </c>
      <c r="B31" s="240">
        <v>45255</v>
      </c>
      <c r="C31" s="241"/>
      <c r="D31" s="202"/>
      <c r="E31" s="202" t="s">
        <v>3226</v>
      </c>
    </row>
    <row r="32" spans="1:5">
      <c r="A32" s="202">
        <v>28</v>
      </c>
      <c r="B32" s="240">
        <v>45285</v>
      </c>
      <c r="C32" s="241"/>
      <c r="D32" s="202"/>
      <c r="E32" s="202" t="s">
        <v>3226</v>
      </c>
    </row>
    <row r="33" spans="1:5">
      <c r="A33" s="202">
        <v>29</v>
      </c>
      <c r="B33" s="240">
        <v>45316</v>
      </c>
      <c r="C33" s="241"/>
      <c r="D33" s="202"/>
      <c r="E33" s="202" t="s">
        <v>3226</v>
      </c>
    </row>
    <row r="34" spans="1:5">
      <c r="A34" s="202">
        <v>30</v>
      </c>
      <c r="B34" s="240">
        <v>45347</v>
      </c>
      <c r="C34" s="241"/>
      <c r="D34" s="202"/>
      <c r="E34" s="202" t="s">
        <v>3226</v>
      </c>
    </row>
    <row r="35" spans="1:5">
      <c r="A35" s="202">
        <v>31</v>
      </c>
      <c r="B35" s="240">
        <v>45376</v>
      </c>
      <c r="C35" s="241"/>
      <c r="D35" s="202"/>
      <c r="E35" s="202" t="s">
        <v>3226</v>
      </c>
    </row>
    <row r="36" spans="1:5">
      <c r="A36" s="202">
        <v>32</v>
      </c>
      <c r="B36" s="240">
        <v>45407</v>
      </c>
      <c r="C36" s="241"/>
      <c r="D36" s="202"/>
      <c r="E36" s="202" t="s">
        <v>3226</v>
      </c>
    </row>
    <row r="37" spans="1:5">
      <c r="A37" s="202">
        <v>33</v>
      </c>
      <c r="B37" s="240">
        <v>45437</v>
      </c>
      <c r="C37" s="241"/>
      <c r="D37" s="202"/>
      <c r="E37" s="202" t="s">
        <v>3226</v>
      </c>
    </row>
    <row r="38" spans="1:5">
      <c r="A38" s="202">
        <v>34</v>
      </c>
      <c r="B38" s="240">
        <v>45468</v>
      </c>
      <c r="C38" s="241"/>
      <c r="D38" s="202"/>
      <c r="E38" s="202" t="s">
        <v>3226</v>
      </c>
    </row>
    <row r="39" spans="1:5">
      <c r="A39" s="202">
        <v>35</v>
      </c>
      <c r="B39" s="240">
        <v>45498</v>
      </c>
      <c r="C39" s="241"/>
      <c r="D39" s="202"/>
      <c r="E39" s="202" t="s">
        <v>3226</v>
      </c>
    </row>
    <row r="40" spans="1:5">
      <c r="A40" s="202">
        <v>36</v>
      </c>
      <c r="B40" s="240">
        <v>45529</v>
      </c>
      <c r="C40" s="241"/>
      <c r="D40" s="202"/>
      <c r="E40" s="202" t="s">
        <v>3226</v>
      </c>
    </row>
    <row r="41" spans="1:5">
      <c r="A41" s="202">
        <v>37</v>
      </c>
      <c r="B41" s="240">
        <v>45560</v>
      </c>
      <c r="C41" s="241"/>
      <c r="D41" s="202"/>
      <c r="E41" s="202" t="s">
        <v>3226</v>
      </c>
    </row>
    <row r="42" spans="1:5">
      <c r="A42" s="202">
        <v>38</v>
      </c>
      <c r="B42" s="240">
        <v>45590</v>
      </c>
      <c r="C42" s="241"/>
      <c r="D42" s="202"/>
      <c r="E42" s="202" t="s">
        <v>3226</v>
      </c>
    </row>
    <row r="43" spans="1:5">
      <c r="A43" s="202">
        <v>39</v>
      </c>
      <c r="B43" s="240">
        <v>45621</v>
      </c>
      <c r="C43" s="241"/>
      <c r="D43" s="202"/>
      <c r="E43" s="202" t="s">
        <v>3226</v>
      </c>
    </row>
    <row r="44" spans="1:5">
      <c r="A44" s="202">
        <v>40</v>
      </c>
      <c r="B44" s="240">
        <v>45651</v>
      </c>
      <c r="C44" s="241"/>
      <c r="D44" s="202"/>
      <c r="E44" s="202" t="s">
        <v>3226</v>
      </c>
    </row>
    <row r="45" spans="1:5">
      <c r="C45" s="243"/>
    </row>
    <row r="46" spans="1:5">
      <c r="C46" s="244">
        <f>SUM(C5:C44)</f>
        <v>3876233</v>
      </c>
    </row>
    <row r="47" spans="1:5">
      <c r="C47" s="243"/>
    </row>
    <row r="48" spans="1:5">
      <c r="C48" s="243"/>
    </row>
    <row r="49" spans="3:3">
      <c r="C49" s="243"/>
    </row>
    <row r="50" spans="3:3">
      <c r="C50" s="243"/>
    </row>
    <row r="51" spans="3:3">
      <c r="C51" s="243"/>
    </row>
    <row r="52" spans="3:3">
      <c r="C52" s="243"/>
    </row>
    <row r="53" spans="3:3">
      <c r="C53" s="243"/>
    </row>
    <row r="54" spans="3:3">
      <c r="C54" s="243"/>
    </row>
    <row r="55" spans="3:3">
      <c r="C55" s="243"/>
    </row>
    <row r="56" spans="3:3">
      <c r="C56" s="243"/>
    </row>
    <row r="57" spans="3:3">
      <c r="C57" s="243"/>
    </row>
    <row r="58" spans="3:3">
      <c r="C58" s="243"/>
    </row>
    <row r="59" spans="3:3">
      <c r="C59" s="243"/>
    </row>
    <row r="60" spans="3:3">
      <c r="C60" s="243"/>
    </row>
    <row r="61" spans="3:3">
      <c r="C61" s="243"/>
    </row>
    <row r="62" spans="3:3">
      <c r="C62" s="243"/>
    </row>
    <row r="63" spans="3:3">
      <c r="C63" s="243"/>
    </row>
    <row r="64" spans="3:3">
      <c r="C64" s="243"/>
    </row>
    <row r="65" spans="3:3">
      <c r="C65" s="243"/>
    </row>
    <row r="66" spans="3:3">
      <c r="C66" s="243"/>
    </row>
    <row r="67" spans="3:3">
      <c r="C67" s="243"/>
    </row>
    <row r="68" spans="3:3">
      <c r="C68" s="243"/>
    </row>
    <row r="69" spans="3:3">
      <c r="C69" s="243"/>
    </row>
    <row r="70" spans="3:3">
      <c r="C70" s="243"/>
    </row>
    <row r="71" spans="3:3">
      <c r="C71" s="243"/>
    </row>
    <row r="72" spans="3:3">
      <c r="C72" s="243"/>
    </row>
    <row r="73" spans="3:3">
      <c r="C73" s="243"/>
    </row>
    <row r="74" spans="3:3">
      <c r="C74" s="243"/>
    </row>
    <row r="75" spans="3:3">
      <c r="C75" s="243"/>
    </row>
    <row r="76" spans="3:3">
      <c r="C76" s="243"/>
    </row>
    <row r="77" spans="3:3">
      <c r="C77" s="243"/>
    </row>
    <row r="78" spans="3:3">
      <c r="C78" s="243"/>
    </row>
    <row r="79" spans="3:3">
      <c r="C79" s="243"/>
    </row>
    <row r="80" spans="3:3">
      <c r="C80" s="243"/>
    </row>
    <row r="81" spans="3:3">
      <c r="C81" s="243"/>
    </row>
    <row r="82" spans="3:3">
      <c r="C82" s="243"/>
    </row>
    <row r="83" spans="3:3">
      <c r="C83" s="243"/>
    </row>
    <row r="84" spans="3:3">
      <c r="C84" s="243"/>
    </row>
    <row r="85" spans="3:3">
      <c r="C85" s="243"/>
    </row>
    <row r="86" spans="3:3">
      <c r="C86" s="243"/>
    </row>
    <row r="87" spans="3:3">
      <c r="C87" s="243"/>
    </row>
    <row r="88" spans="3:3">
      <c r="C88" s="243"/>
    </row>
    <row r="89" spans="3:3">
      <c r="C89" s="243"/>
    </row>
    <row r="90" spans="3:3">
      <c r="C90" s="243"/>
    </row>
    <row r="91" spans="3:3">
      <c r="C91" s="243"/>
    </row>
    <row r="92" spans="3:3">
      <c r="C92" s="243"/>
    </row>
    <row r="93" spans="3:3">
      <c r="C93" s="243"/>
    </row>
    <row r="94" spans="3:3">
      <c r="C94" s="243"/>
    </row>
    <row r="95" spans="3:3">
      <c r="C95" s="243"/>
    </row>
    <row r="96" spans="3:3">
      <c r="C96" s="243"/>
    </row>
    <row r="97" spans="3:3">
      <c r="C97" s="243"/>
    </row>
    <row r="98" spans="3:3">
      <c r="C98" s="243"/>
    </row>
    <row r="99" spans="3:3">
      <c r="C99" s="243"/>
    </row>
    <row r="100" spans="3:3">
      <c r="C100" s="243"/>
    </row>
    <row r="101" spans="3:3">
      <c r="C101" s="243"/>
    </row>
    <row r="102" spans="3:3">
      <c r="C102" s="243"/>
    </row>
    <row r="103" spans="3:3">
      <c r="C103" s="243"/>
    </row>
    <row r="104" spans="3:3">
      <c r="C104" s="243"/>
    </row>
    <row r="105" spans="3:3">
      <c r="C105" s="243"/>
    </row>
    <row r="106" spans="3:3">
      <c r="C106" s="243"/>
    </row>
    <row r="107" spans="3:3">
      <c r="C107" s="243"/>
    </row>
    <row r="108" spans="3:3">
      <c r="C108" s="243"/>
    </row>
    <row r="109" spans="3:3">
      <c r="C109" s="243"/>
    </row>
    <row r="110" spans="3:3">
      <c r="C110" s="243"/>
    </row>
    <row r="111" spans="3:3">
      <c r="C111" s="243"/>
    </row>
    <row r="112" spans="3:3">
      <c r="C112" s="243"/>
    </row>
    <row r="113" spans="3:3">
      <c r="C113" s="243"/>
    </row>
    <row r="114" spans="3:3">
      <c r="C114" s="243"/>
    </row>
    <row r="115" spans="3:3">
      <c r="C115" s="243"/>
    </row>
    <row r="116" spans="3:3">
      <c r="C116" s="243"/>
    </row>
    <row r="117" spans="3:3">
      <c r="C117" s="243"/>
    </row>
    <row r="118" spans="3:3">
      <c r="C118" s="243"/>
    </row>
    <row r="119" spans="3:3">
      <c r="C119" s="243"/>
    </row>
    <row r="120" spans="3:3">
      <c r="C120" s="243"/>
    </row>
    <row r="121" spans="3:3">
      <c r="C121" s="243"/>
    </row>
    <row r="122" spans="3:3">
      <c r="C122" s="243"/>
    </row>
    <row r="123" spans="3:3">
      <c r="C123" s="243"/>
    </row>
    <row r="124" spans="3:3">
      <c r="C124" s="243"/>
    </row>
    <row r="125" spans="3:3">
      <c r="C125" s="243"/>
    </row>
    <row r="126" spans="3:3">
      <c r="C126" s="243"/>
    </row>
    <row r="127" spans="3:3">
      <c r="C127" s="243"/>
    </row>
    <row r="128" spans="3:3">
      <c r="C128" s="243"/>
    </row>
    <row r="129" spans="3:3">
      <c r="C129" s="243"/>
    </row>
    <row r="130" spans="3:3">
      <c r="C130" s="243"/>
    </row>
    <row r="131" spans="3:3">
      <c r="C131" s="243"/>
    </row>
    <row r="132" spans="3:3">
      <c r="C132" s="243"/>
    </row>
    <row r="133" spans="3:3">
      <c r="C133" s="243"/>
    </row>
    <row r="134" spans="3:3">
      <c r="C134" s="243"/>
    </row>
    <row r="135" spans="3:3">
      <c r="C135" s="243"/>
    </row>
    <row r="136" spans="3:3">
      <c r="C136" s="243"/>
    </row>
    <row r="137" spans="3:3">
      <c r="C137" s="243"/>
    </row>
    <row r="138" spans="3:3">
      <c r="C138" s="243"/>
    </row>
    <row r="139" spans="3:3">
      <c r="C139" s="243"/>
    </row>
    <row r="140" spans="3:3">
      <c r="C140" s="243"/>
    </row>
    <row r="141" spans="3:3">
      <c r="C141" s="243"/>
    </row>
    <row r="142" spans="3:3">
      <c r="C142" s="243"/>
    </row>
    <row r="143" spans="3:3">
      <c r="C143" s="243"/>
    </row>
    <row r="144" spans="3:3">
      <c r="C144" s="243"/>
    </row>
    <row r="145" spans="3:3">
      <c r="C145" s="243"/>
    </row>
    <row r="146" spans="3:3">
      <c r="C146" s="243"/>
    </row>
    <row r="147" spans="3:3">
      <c r="C147" s="243"/>
    </row>
    <row r="148" spans="3:3">
      <c r="C148" s="243"/>
    </row>
    <row r="149" spans="3:3">
      <c r="C149" s="243"/>
    </row>
    <row r="150" spans="3:3">
      <c r="C150" s="243"/>
    </row>
    <row r="151" spans="3:3">
      <c r="C151" s="243"/>
    </row>
    <row r="152" spans="3:3">
      <c r="C152" s="243"/>
    </row>
    <row r="153" spans="3:3">
      <c r="C153" s="243"/>
    </row>
    <row r="154" spans="3:3">
      <c r="C154" s="243"/>
    </row>
    <row r="155" spans="3:3">
      <c r="C155" s="243"/>
    </row>
    <row r="156" spans="3:3">
      <c r="C156" s="243"/>
    </row>
    <row r="157" spans="3:3">
      <c r="C157" s="243"/>
    </row>
    <row r="158" spans="3:3">
      <c r="C158" s="243"/>
    </row>
    <row r="159" spans="3:3">
      <c r="C159" s="243"/>
    </row>
    <row r="160" spans="3:3">
      <c r="C160" s="243"/>
    </row>
    <row r="161" spans="3:3">
      <c r="C161" s="243"/>
    </row>
    <row r="162" spans="3:3">
      <c r="C162" s="243"/>
    </row>
    <row r="163" spans="3:3">
      <c r="C163" s="243"/>
    </row>
    <row r="164" spans="3:3">
      <c r="C164" s="243"/>
    </row>
    <row r="165" spans="3:3">
      <c r="C165" s="243"/>
    </row>
    <row r="166" spans="3:3">
      <c r="C166" s="243"/>
    </row>
    <row r="167" spans="3:3">
      <c r="C167" s="243"/>
    </row>
    <row r="168" spans="3:3">
      <c r="C168" s="243"/>
    </row>
    <row r="169" spans="3:3">
      <c r="C169" s="243"/>
    </row>
    <row r="170" spans="3:3">
      <c r="C170" s="243"/>
    </row>
    <row r="171" spans="3:3">
      <c r="C171" s="243"/>
    </row>
    <row r="172" spans="3:3">
      <c r="C172" s="243"/>
    </row>
    <row r="173" spans="3:3">
      <c r="C173" s="243"/>
    </row>
    <row r="174" spans="3:3">
      <c r="C174" s="243"/>
    </row>
    <row r="175" spans="3:3">
      <c r="C175" s="243"/>
    </row>
    <row r="176" spans="3:3">
      <c r="C176" s="243"/>
    </row>
    <row r="177" spans="3:3">
      <c r="C177" s="243"/>
    </row>
    <row r="178" spans="3:3">
      <c r="C178" s="243"/>
    </row>
    <row r="179" spans="3:3">
      <c r="C179" s="243"/>
    </row>
    <row r="180" spans="3:3">
      <c r="C180" s="243"/>
    </row>
    <row r="181" spans="3:3">
      <c r="C181" s="243"/>
    </row>
    <row r="182" spans="3:3">
      <c r="C182" s="243"/>
    </row>
    <row r="183" spans="3:3">
      <c r="C183" s="243"/>
    </row>
    <row r="184" spans="3:3">
      <c r="C184" s="243"/>
    </row>
    <row r="185" spans="3:3">
      <c r="C185" s="243"/>
    </row>
    <row r="186" spans="3:3">
      <c r="C186" s="243"/>
    </row>
    <row r="187" spans="3:3">
      <c r="C187" s="243"/>
    </row>
    <row r="188" spans="3:3">
      <c r="C188" s="243"/>
    </row>
    <row r="189" spans="3:3">
      <c r="C189" s="243"/>
    </row>
    <row r="190" spans="3:3">
      <c r="C190" s="243"/>
    </row>
    <row r="191" spans="3:3">
      <c r="C191" s="243"/>
    </row>
    <row r="192" spans="3:3">
      <c r="C192" s="243"/>
    </row>
    <row r="193" spans="3:3">
      <c r="C193" s="243"/>
    </row>
    <row r="194" spans="3:3">
      <c r="C194" s="243"/>
    </row>
    <row r="195" spans="3:3">
      <c r="C195" s="243"/>
    </row>
    <row r="196" spans="3:3">
      <c r="C196" s="243"/>
    </row>
    <row r="197" spans="3:3">
      <c r="C197" s="243"/>
    </row>
    <row r="198" spans="3:3">
      <c r="C198" s="243"/>
    </row>
    <row r="199" spans="3:3">
      <c r="C199" s="243"/>
    </row>
    <row r="200" spans="3:3">
      <c r="C200" s="243"/>
    </row>
    <row r="201" spans="3:3">
      <c r="C201" s="243"/>
    </row>
    <row r="202" spans="3:3">
      <c r="C202" s="243"/>
    </row>
    <row r="203" spans="3:3">
      <c r="C203" s="243"/>
    </row>
    <row r="204" spans="3:3">
      <c r="C204" s="243"/>
    </row>
    <row r="205" spans="3:3">
      <c r="C205" s="243"/>
    </row>
    <row r="206" spans="3:3">
      <c r="C206" s="243"/>
    </row>
    <row r="207" spans="3:3">
      <c r="C207" s="243"/>
    </row>
    <row r="208" spans="3:3">
      <c r="C208" s="243"/>
    </row>
    <row r="209" spans="3:3">
      <c r="C209" s="243"/>
    </row>
    <row r="210" spans="3:3">
      <c r="C210" s="243"/>
    </row>
    <row r="211" spans="3:3">
      <c r="C211" s="243"/>
    </row>
    <row r="212" spans="3:3">
      <c r="C212" s="243"/>
    </row>
    <row r="213" spans="3:3">
      <c r="C213" s="243"/>
    </row>
    <row r="214" spans="3:3">
      <c r="C214" s="243"/>
    </row>
    <row r="215" spans="3:3">
      <c r="C215" s="243"/>
    </row>
    <row r="216" spans="3:3">
      <c r="C216" s="243"/>
    </row>
    <row r="217" spans="3:3">
      <c r="C217" s="243"/>
    </row>
    <row r="218" spans="3:3">
      <c r="C218" s="243"/>
    </row>
    <row r="219" spans="3:3">
      <c r="C219" s="243"/>
    </row>
    <row r="220" spans="3:3">
      <c r="C220" s="243"/>
    </row>
    <row r="221" spans="3:3">
      <c r="C221" s="243"/>
    </row>
    <row r="222" spans="3:3">
      <c r="C222" s="243"/>
    </row>
    <row r="223" spans="3:3">
      <c r="C223" s="243"/>
    </row>
    <row r="224" spans="3:3">
      <c r="C224" s="243"/>
    </row>
    <row r="225" spans="3:3">
      <c r="C225" s="243"/>
    </row>
    <row r="226" spans="3:3">
      <c r="C226" s="243"/>
    </row>
    <row r="227" spans="3:3">
      <c r="C227" s="243"/>
    </row>
    <row r="228" spans="3:3">
      <c r="C228" s="243"/>
    </row>
    <row r="229" spans="3:3">
      <c r="C229" s="243"/>
    </row>
    <row r="230" spans="3:3">
      <c r="C230" s="243"/>
    </row>
    <row r="231" spans="3:3">
      <c r="C231" s="243"/>
    </row>
    <row r="232" spans="3:3">
      <c r="C232" s="243"/>
    </row>
    <row r="233" spans="3:3">
      <c r="C233" s="243"/>
    </row>
    <row r="234" spans="3:3">
      <c r="C234" s="243"/>
    </row>
    <row r="235" spans="3:3">
      <c r="C235" s="243"/>
    </row>
    <row r="236" spans="3:3">
      <c r="C236" s="243"/>
    </row>
    <row r="237" spans="3:3">
      <c r="C237" s="243"/>
    </row>
    <row r="238" spans="3:3">
      <c r="C238" s="243"/>
    </row>
    <row r="239" spans="3:3">
      <c r="C239" s="243"/>
    </row>
    <row r="240" spans="3:3">
      <c r="C240" s="243"/>
    </row>
    <row r="241" spans="3:3">
      <c r="C241" s="243"/>
    </row>
    <row r="242" spans="3:3">
      <c r="C242" s="243"/>
    </row>
    <row r="243" spans="3:3">
      <c r="C243" s="243"/>
    </row>
    <row r="244" spans="3:3">
      <c r="C244" s="243"/>
    </row>
    <row r="245" spans="3:3">
      <c r="C245" s="243"/>
    </row>
    <row r="246" spans="3:3">
      <c r="C246" s="243"/>
    </row>
    <row r="247" spans="3:3">
      <c r="C247" s="243"/>
    </row>
    <row r="248" spans="3:3">
      <c r="C248" s="243"/>
    </row>
    <row r="249" spans="3:3">
      <c r="C249" s="243"/>
    </row>
    <row r="250" spans="3:3">
      <c r="C250" s="243"/>
    </row>
    <row r="251" spans="3:3">
      <c r="C251" s="243"/>
    </row>
    <row r="252" spans="3:3">
      <c r="C252" s="243"/>
    </row>
    <row r="253" spans="3:3">
      <c r="C253" s="243"/>
    </row>
    <row r="254" spans="3:3">
      <c r="C254" s="243"/>
    </row>
    <row r="255" spans="3:3">
      <c r="C255" s="243"/>
    </row>
    <row r="256" spans="3:3">
      <c r="C256" s="243"/>
    </row>
    <row r="257" spans="3:3">
      <c r="C257" s="243"/>
    </row>
    <row r="258" spans="3:3">
      <c r="C258" s="243"/>
    </row>
    <row r="259" spans="3:3">
      <c r="C259" s="243"/>
    </row>
    <row r="260" spans="3:3">
      <c r="C260" s="243"/>
    </row>
    <row r="261" spans="3:3">
      <c r="C261" s="243"/>
    </row>
    <row r="262" spans="3:3">
      <c r="C262" s="243"/>
    </row>
    <row r="263" spans="3:3">
      <c r="C263" s="243"/>
    </row>
    <row r="264" spans="3:3">
      <c r="C264" s="243"/>
    </row>
    <row r="265" spans="3:3">
      <c r="C265" s="243"/>
    </row>
    <row r="266" spans="3:3">
      <c r="C266" s="243"/>
    </row>
    <row r="267" spans="3:3">
      <c r="C267" s="243"/>
    </row>
    <row r="268" spans="3:3">
      <c r="C268" s="243"/>
    </row>
    <row r="269" spans="3:3">
      <c r="C269" s="243"/>
    </row>
    <row r="270" spans="3:3">
      <c r="C270" s="243"/>
    </row>
    <row r="271" spans="3:3">
      <c r="C271" s="243"/>
    </row>
    <row r="272" spans="3:3">
      <c r="C272" s="243"/>
    </row>
    <row r="273" spans="3:3">
      <c r="C273" s="243"/>
    </row>
    <row r="274" spans="3:3">
      <c r="C274" s="243"/>
    </row>
    <row r="275" spans="3:3">
      <c r="C275" s="243"/>
    </row>
    <row r="276" spans="3:3">
      <c r="C276" s="243"/>
    </row>
    <row r="277" spans="3:3">
      <c r="C277" s="243"/>
    </row>
    <row r="278" spans="3:3">
      <c r="C278" s="243"/>
    </row>
    <row r="279" spans="3:3">
      <c r="C279" s="243"/>
    </row>
    <row r="280" spans="3:3">
      <c r="C280" s="243"/>
    </row>
    <row r="281" spans="3:3">
      <c r="C281" s="243"/>
    </row>
    <row r="282" spans="3:3">
      <c r="C282" s="243"/>
    </row>
    <row r="283" spans="3:3">
      <c r="C283" s="243"/>
    </row>
    <row r="284" spans="3:3">
      <c r="C284" s="243"/>
    </row>
    <row r="285" spans="3:3">
      <c r="C285" s="243"/>
    </row>
    <row r="286" spans="3:3">
      <c r="C286" s="243"/>
    </row>
    <row r="287" spans="3:3">
      <c r="C287" s="243"/>
    </row>
    <row r="288" spans="3:3">
      <c r="C288" s="243"/>
    </row>
    <row r="289" spans="3:3">
      <c r="C289" s="243"/>
    </row>
    <row r="290" spans="3:3">
      <c r="C290" s="243"/>
    </row>
    <row r="291" spans="3:3">
      <c r="C291" s="243"/>
    </row>
    <row r="292" spans="3:3">
      <c r="C292" s="243"/>
    </row>
    <row r="293" spans="3:3">
      <c r="C293" s="243"/>
    </row>
    <row r="294" spans="3:3">
      <c r="C294" s="243"/>
    </row>
    <row r="295" spans="3:3">
      <c r="C295" s="243"/>
    </row>
    <row r="296" spans="3:3">
      <c r="C296" s="243"/>
    </row>
    <row r="297" spans="3:3">
      <c r="C297" s="243"/>
    </row>
    <row r="298" spans="3:3">
      <c r="C298" s="243"/>
    </row>
    <row r="299" spans="3:3">
      <c r="C299" s="243"/>
    </row>
    <row r="300" spans="3:3">
      <c r="C300" s="243"/>
    </row>
    <row r="301" spans="3:3">
      <c r="C301" s="243"/>
    </row>
    <row r="302" spans="3:3">
      <c r="C302" s="243"/>
    </row>
    <row r="303" spans="3:3">
      <c r="C303" s="243"/>
    </row>
    <row r="304" spans="3:3">
      <c r="C304" s="243"/>
    </row>
    <row r="305" spans="3:3">
      <c r="C305" s="243"/>
    </row>
    <row r="306" spans="3:3">
      <c r="C306" s="243"/>
    </row>
    <row r="307" spans="3:3">
      <c r="C307" s="243"/>
    </row>
    <row r="308" spans="3:3">
      <c r="C308" s="243"/>
    </row>
    <row r="309" spans="3:3">
      <c r="C309" s="243"/>
    </row>
    <row r="310" spans="3:3">
      <c r="C310" s="243"/>
    </row>
    <row r="311" spans="3:3">
      <c r="C311" s="243"/>
    </row>
    <row r="312" spans="3:3">
      <c r="C312" s="243"/>
    </row>
    <row r="313" spans="3:3">
      <c r="C313" s="243"/>
    </row>
    <row r="314" spans="3:3">
      <c r="C314" s="243"/>
    </row>
    <row r="315" spans="3:3">
      <c r="C315" s="243"/>
    </row>
    <row r="316" spans="3:3">
      <c r="C316" s="243"/>
    </row>
    <row r="317" spans="3:3">
      <c r="C317" s="243"/>
    </row>
    <row r="318" spans="3:3">
      <c r="C318" s="243"/>
    </row>
    <row r="319" spans="3:3">
      <c r="C319" s="243"/>
    </row>
    <row r="320" spans="3:3">
      <c r="C320" s="243"/>
    </row>
    <row r="321" spans="3:3">
      <c r="C321" s="243"/>
    </row>
    <row r="322" spans="3:3">
      <c r="C322" s="243"/>
    </row>
    <row r="323" spans="3:3">
      <c r="C323" s="243"/>
    </row>
    <row r="324" spans="3:3">
      <c r="C324" s="243"/>
    </row>
    <row r="325" spans="3:3">
      <c r="C325" s="243"/>
    </row>
    <row r="326" spans="3:3">
      <c r="C326" s="243"/>
    </row>
    <row r="327" spans="3:3">
      <c r="C327" s="243"/>
    </row>
    <row r="328" spans="3:3">
      <c r="C328" s="243"/>
    </row>
    <row r="329" spans="3:3">
      <c r="C329" s="243"/>
    </row>
    <row r="330" spans="3:3">
      <c r="C330" s="243"/>
    </row>
    <row r="331" spans="3:3">
      <c r="C331" s="243"/>
    </row>
    <row r="332" spans="3:3">
      <c r="C332" s="243"/>
    </row>
    <row r="333" spans="3:3">
      <c r="C333" s="243"/>
    </row>
    <row r="334" spans="3:3">
      <c r="C334" s="243"/>
    </row>
    <row r="335" spans="3:3">
      <c r="C335" s="243"/>
    </row>
    <row r="336" spans="3:3">
      <c r="C336" s="243"/>
    </row>
    <row r="337" spans="3:3">
      <c r="C337" s="243"/>
    </row>
    <row r="338" spans="3:3">
      <c r="C338" s="243"/>
    </row>
    <row r="339" spans="3:3">
      <c r="C339" s="243"/>
    </row>
    <row r="340" spans="3:3">
      <c r="C340" s="243"/>
    </row>
    <row r="341" spans="3:3">
      <c r="C341" s="243"/>
    </row>
    <row r="342" spans="3:3">
      <c r="C342" s="243"/>
    </row>
    <row r="343" spans="3:3">
      <c r="C343" s="243"/>
    </row>
    <row r="344" spans="3:3">
      <c r="C344" s="243"/>
    </row>
    <row r="345" spans="3:3">
      <c r="C345" s="243"/>
    </row>
    <row r="346" spans="3:3">
      <c r="C346" s="243"/>
    </row>
    <row r="347" spans="3:3">
      <c r="C347" s="243"/>
    </row>
    <row r="348" spans="3:3">
      <c r="C348" s="243"/>
    </row>
    <row r="349" spans="3:3">
      <c r="C349" s="243"/>
    </row>
    <row r="350" spans="3:3">
      <c r="C350" s="243"/>
    </row>
    <row r="351" spans="3:3">
      <c r="C351" s="243"/>
    </row>
    <row r="352" spans="3:3">
      <c r="C352" s="243"/>
    </row>
    <row r="353" spans="3:3">
      <c r="C353" s="243"/>
    </row>
    <row r="354" spans="3:3">
      <c r="C354" s="243"/>
    </row>
    <row r="355" spans="3:3">
      <c r="C355" s="243"/>
    </row>
    <row r="356" spans="3:3">
      <c r="C356" s="243"/>
    </row>
    <row r="357" spans="3:3">
      <c r="C357" s="243"/>
    </row>
    <row r="358" spans="3:3">
      <c r="C358" s="243"/>
    </row>
    <row r="359" spans="3:3">
      <c r="C359" s="243"/>
    </row>
    <row r="360" spans="3:3">
      <c r="C360" s="243"/>
    </row>
    <row r="361" spans="3:3">
      <c r="C361" s="243"/>
    </row>
    <row r="362" spans="3:3">
      <c r="C362" s="243"/>
    </row>
    <row r="363" spans="3:3">
      <c r="C363" s="243"/>
    </row>
    <row r="364" spans="3:3">
      <c r="C364" s="243"/>
    </row>
    <row r="365" spans="3:3">
      <c r="C365" s="243"/>
    </row>
    <row r="366" spans="3:3">
      <c r="C366" s="243"/>
    </row>
    <row r="367" spans="3:3">
      <c r="C367" s="243"/>
    </row>
    <row r="368" spans="3:3">
      <c r="C368" s="243"/>
    </row>
    <row r="369" spans="3:3">
      <c r="C369" s="243"/>
    </row>
    <row r="370" spans="3:3">
      <c r="C370" s="243"/>
    </row>
    <row r="371" spans="3:3">
      <c r="C371" s="243"/>
    </row>
    <row r="372" spans="3:3">
      <c r="C372" s="243"/>
    </row>
    <row r="373" spans="3:3">
      <c r="C373" s="243"/>
    </row>
    <row r="374" spans="3:3">
      <c r="C374" s="243"/>
    </row>
    <row r="375" spans="3:3">
      <c r="C375" s="243"/>
    </row>
    <row r="376" spans="3:3">
      <c r="C376" s="243"/>
    </row>
    <row r="377" spans="3:3">
      <c r="C377" s="243"/>
    </row>
    <row r="378" spans="3:3">
      <c r="C378" s="243"/>
    </row>
    <row r="379" spans="3:3">
      <c r="C379" s="243"/>
    </row>
    <row r="380" spans="3:3">
      <c r="C380" s="243"/>
    </row>
    <row r="381" spans="3:3">
      <c r="C381" s="243"/>
    </row>
    <row r="382" spans="3:3">
      <c r="C382" s="243"/>
    </row>
    <row r="383" spans="3:3">
      <c r="C383" s="243"/>
    </row>
    <row r="384" spans="3:3">
      <c r="C384" s="243"/>
    </row>
    <row r="385" spans="3:3">
      <c r="C385" s="243"/>
    </row>
    <row r="386" spans="3:3">
      <c r="C386" s="243"/>
    </row>
    <row r="387" spans="3:3">
      <c r="C387" s="243"/>
    </row>
    <row r="388" spans="3:3">
      <c r="C388" s="243"/>
    </row>
    <row r="389" spans="3:3">
      <c r="C389" s="243"/>
    </row>
    <row r="390" spans="3:3">
      <c r="C390" s="243"/>
    </row>
    <row r="391" spans="3:3">
      <c r="C391" s="243"/>
    </row>
    <row r="392" spans="3:3">
      <c r="C392" s="243"/>
    </row>
    <row r="393" spans="3:3">
      <c r="C393" s="243"/>
    </row>
    <row r="394" spans="3:3">
      <c r="C394" s="243"/>
    </row>
    <row r="395" spans="3:3">
      <c r="C395" s="243"/>
    </row>
    <row r="396" spans="3:3">
      <c r="C396" s="243"/>
    </row>
    <row r="397" spans="3:3">
      <c r="C397" s="243"/>
    </row>
    <row r="398" spans="3:3">
      <c r="C398" s="243"/>
    </row>
    <row r="399" spans="3:3">
      <c r="C399" s="243"/>
    </row>
    <row r="400" spans="3:3">
      <c r="C400" s="243"/>
    </row>
    <row r="401" spans="3:3">
      <c r="C401" s="243"/>
    </row>
    <row r="402" spans="3:3">
      <c r="C402" s="243"/>
    </row>
    <row r="403" spans="3:3">
      <c r="C403" s="243"/>
    </row>
    <row r="404" spans="3:3">
      <c r="C404" s="243"/>
    </row>
    <row r="405" spans="3:3">
      <c r="C405" s="243"/>
    </row>
    <row r="406" spans="3:3">
      <c r="C406" s="243"/>
    </row>
    <row r="407" spans="3:3">
      <c r="C407" s="243"/>
    </row>
    <row r="408" spans="3:3">
      <c r="C408" s="243"/>
    </row>
    <row r="409" spans="3:3">
      <c r="C409" s="243"/>
    </row>
    <row r="410" spans="3:3">
      <c r="C410" s="243"/>
    </row>
    <row r="411" spans="3:3">
      <c r="C411" s="243"/>
    </row>
    <row r="412" spans="3:3">
      <c r="C412" s="243"/>
    </row>
    <row r="413" spans="3:3">
      <c r="C413" s="243"/>
    </row>
    <row r="414" spans="3:3">
      <c r="C414" s="243"/>
    </row>
    <row r="415" spans="3:3">
      <c r="C415" s="243"/>
    </row>
    <row r="416" spans="3:3">
      <c r="C416" s="243"/>
    </row>
    <row r="417" spans="3:3">
      <c r="C417" s="243"/>
    </row>
    <row r="418" spans="3:3">
      <c r="C418" s="243"/>
    </row>
    <row r="419" spans="3:3">
      <c r="C419" s="243"/>
    </row>
    <row r="420" spans="3:3">
      <c r="C420" s="243"/>
    </row>
    <row r="421" spans="3:3">
      <c r="C421" s="243"/>
    </row>
    <row r="422" spans="3:3">
      <c r="C422" s="243"/>
    </row>
    <row r="423" spans="3:3">
      <c r="C423" s="243"/>
    </row>
    <row r="424" spans="3:3">
      <c r="C424" s="243"/>
    </row>
    <row r="425" spans="3:3">
      <c r="C425" s="243"/>
    </row>
    <row r="426" spans="3:3">
      <c r="C426" s="243"/>
    </row>
    <row r="427" spans="3:3">
      <c r="C427" s="243"/>
    </row>
    <row r="428" spans="3:3">
      <c r="C428" s="243"/>
    </row>
    <row r="429" spans="3:3">
      <c r="C429" s="243"/>
    </row>
    <row r="430" spans="3:3">
      <c r="C430" s="243"/>
    </row>
    <row r="431" spans="3:3">
      <c r="C431" s="243"/>
    </row>
    <row r="432" spans="3:3">
      <c r="C432" s="243"/>
    </row>
    <row r="433" spans="3:3">
      <c r="C433" s="243"/>
    </row>
    <row r="434" spans="3:3">
      <c r="C434" s="243"/>
    </row>
    <row r="435" spans="3:3">
      <c r="C435" s="243"/>
    </row>
    <row r="436" spans="3:3">
      <c r="C436" s="243"/>
    </row>
    <row r="437" spans="3:3">
      <c r="C437" s="243"/>
    </row>
    <row r="438" spans="3:3">
      <c r="C438" s="243"/>
    </row>
    <row r="439" spans="3:3">
      <c r="C439" s="243"/>
    </row>
    <row r="440" spans="3:3">
      <c r="C440" s="243"/>
    </row>
    <row r="441" spans="3:3">
      <c r="C441" s="243"/>
    </row>
    <row r="442" spans="3:3">
      <c r="C442" s="243"/>
    </row>
    <row r="443" spans="3:3">
      <c r="C443" s="243"/>
    </row>
    <row r="444" spans="3:3">
      <c r="C444" s="243"/>
    </row>
    <row r="445" spans="3:3">
      <c r="C445" s="243"/>
    </row>
    <row r="446" spans="3:3">
      <c r="C446" s="243"/>
    </row>
    <row r="447" spans="3:3">
      <c r="C447" s="243"/>
    </row>
    <row r="448" spans="3:3">
      <c r="C448" s="243"/>
    </row>
    <row r="449" spans="3:3">
      <c r="C449" s="243"/>
    </row>
    <row r="450" spans="3:3">
      <c r="C450" s="243"/>
    </row>
    <row r="451" spans="3:3">
      <c r="C451" s="243"/>
    </row>
    <row r="452" spans="3:3">
      <c r="C452" s="243"/>
    </row>
    <row r="453" spans="3:3">
      <c r="C453" s="243"/>
    </row>
    <row r="454" spans="3:3">
      <c r="C454" s="243"/>
    </row>
    <row r="455" spans="3:3">
      <c r="C455" s="243"/>
    </row>
    <row r="456" spans="3:3">
      <c r="C456" s="243"/>
    </row>
    <row r="457" spans="3:3">
      <c r="C457" s="243"/>
    </row>
    <row r="458" spans="3:3">
      <c r="C458" s="243"/>
    </row>
    <row r="459" spans="3:3">
      <c r="C459" s="243"/>
    </row>
    <row r="460" spans="3:3">
      <c r="C460" s="243"/>
    </row>
    <row r="461" spans="3:3">
      <c r="C461" s="243"/>
    </row>
    <row r="462" spans="3:3">
      <c r="C462" s="243"/>
    </row>
    <row r="463" spans="3:3">
      <c r="C463" s="243"/>
    </row>
    <row r="464" spans="3:3">
      <c r="C464" s="243"/>
    </row>
    <row r="465" spans="3:3">
      <c r="C465" s="243"/>
    </row>
    <row r="466" spans="3:3">
      <c r="C466" s="243"/>
    </row>
  </sheetData>
  <mergeCells count="1">
    <mergeCell ref="A1:E3"/>
  </mergeCells>
  <pageMargins left="0.69930555555555596" right="0.69930555555555596" top="0.75" bottom="0.75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5"/>
  <sheetViews>
    <sheetView topLeftCell="A46" workbookViewId="0">
      <selection sqref="A1:E56"/>
    </sheetView>
  </sheetViews>
  <sheetFormatPr defaultColWidth="9" defaultRowHeight="14"/>
  <cols>
    <col min="1" max="1" width="6.08203125" style="235" customWidth="1"/>
    <col min="2" max="2" width="17.25" style="235" customWidth="1"/>
    <col min="3" max="3" width="16.83203125" style="236" customWidth="1"/>
    <col min="4" max="4" width="11.5" style="235" customWidth="1"/>
    <col min="5" max="5" width="22.25" style="235" customWidth="1"/>
  </cols>
  <sheetData>
    <row r="1" spans="1:5">
      <c r="A1" s="982" t="s">
        <v>3227</v>
      </c>
      <c r="B1" s="982"/>
      <c r="C1" s="982"/>
      <c r="D1" s="982"/>
      <c r="E1" s="982"/>
    </row>
    <row r="2" spans="1:5">
      <c r="A2" s="982"/>
      <c r="B2" s="982"/>
      <c r="C2" s="982"/>
      <c r="D2" s="982"/>
      <c r="E2" s="982"/>
    </row>
    <row r="3" spans="1:5">
      <c r="A3" s="982"/>
      <c r="B3" s="982"/>
      <c r="C3" s="982"/>
      <c r="D3" s="982"/>
      <c r="E3" s="982"/>
    </row>
    <row r="4" spans="1:5" s="237" customFormat="1" ht="22.5" customHeight="1">
      <c r="A4" s="245" t="s">
        <v>1</v>
      </c>
      <c r="B4" s="245" t="s">
        <v>3212</v>
      </c>
      <c r="C4" s="245" t="s">
        <v>3213</v>
      </c>
      <c r="D4" s="245" t="s">
        <v>3214</v>
      </c>
      <c r="E4" s="245" t="s">
        <v>3215</v>
      </c>
    </row>
    <row r="5" spans="1:5">
      <c r="A5" s="246">
        <v>1</v>
      </c>
      <c r="B5" s="247" t="s">
        <v>40</v>
      </c>
      <c r="C5" s="248">
        <v>55000</v>
      </c>
      <c r="D5" s="247">
        <v>44391</v>
      </c>
      <c r="E5" s="246" t="s">
        <v>3228</v>
      </c>
    </row>
    <row r="6" spans="1:5">
      <c r="A6" s="246">
        <v>2</v>
      </c>
      <c r="B6" s="247" t="s">
        <v>40</v>
      </c>
      <c r="C6" s="248">
        <v>60500</v>
      </c>
      <c r="D6" s="247">
        <v>44391</v>
      </c>
      <c r="E6" s="246" t="s">
        <v>3229</v>
      </c>
    </row>
    <row r="7" spans="1:5">
      <c r="A7" s="246">
        <v>3</v>
      </c>
      <c r="B7" s="246" t="s">
        <v>40</v>
      </c>
      <c r="C7" s="248">
        <v>55000</v>
      </c>
      <c r="D7" s="247">
        <v>44446</v>
      </c>
      <c r="E7" s="246" t="s">
        <v>3230</v>
      </c>
    </row>
    <row r="8" spans="1:5">
      <c r="A8" s="246">
        <v>4</v>
      </c>
      <c r="B8" s="247">
        <v>44459</v>
      </c>
      <c r="C8" s="248">
        <v>347404</v>
      </c>
      <c r="D8" s="247">
        <v>44446</v>
      </c>
      <c r="E8" s="246" t="s">
        <v>3231</v>
      </c>
    </row>
    <row r="9" spans="1:5">
      <c r="A9" s="246">
        <v>5</v>
      </c>
      <c r="B9" s="247">
        <v>44489</v>
      </c>
      <c r="C9" s="248">
        <v>701887</v>
      </c>
      <c r="D9" s="247">
        <v>44477</v>
      </c>
      <c r="E9" s="246" t="s">
        <v>3231</v>
      </c>
    </row>
    <row r="10" spans="1:5">
      <c r="A10" s="246">
        <v>6</v>
      </c>
      <c r="B10" s="247">
        <v>44520</v>
      </c>
      <c r="C10" s="248">
        <v>649650</v>
      </c>
      <c r="D10" s="247">
        <v>44505</v>
      </c>
      <c r="E10" s="246" t="s">
        <v>3231</v>
      </c>
    </row>
    <row r="11" spans="1:5">
      <c r="A11" s="246">
        <v>7</v>
      </c>
      <c r="B11" s="247">
        <v>44550</v>
      </c>
      <c r="C11" s="248">
        <v>477806</v>
      </c>
      <c r="D11" s="247">
        <v>44539</v>
      </c>
      <c r="E11" s="246" t="s">
        <v>3231</v>
      </c>
    </row>
    <row r="12" spans="1:5">
      <c r="A12" s="246">
        <v>8</v>
      </c>
      <c r="B12" s="247">
        <v>44581</v>
      </c>
      <c r="C12" s="248">
        <v>568447</v>
      </c>
      <c r="D12" s="247">
        <v>44567</v>
      </c>
      <c r="E12" s="246" t="s">
        <v>3231</v>
      </c>
    </row>
    <row r="13" spans="1:5">
      <c r="A13" s="246">
        <v>9</v>
      </c>
      <c r="B13" s="247">
        <v>44597</v>
      </c>
      <c r="C13" s="248">
        <v>385000</v>
      </c>
      <c r="D13" s="247">
        <v>44597</v>
      </c>
      <c r="E13" s="246" t="s">
        <v>3232</v>
      </c>
    </row>
    <row r="14" spans="1:5">
      <c r="A14" s="246">
        <v>10</v>
      </c>
      <c r="B14" s="247">
        <v>44612</v>
      </c>
      <c r="C14" s="248">
        <v>603896</v>
      </c>
      <c r="D14" s="247">
        <v>44597</v>
      </c>
      <c r="E14" s="246" t="s">
        <v>3231</v>
      </c>
    </row>
    <row r="15" spans="1:5">
      <c r="A15" s="246">
        <v>11</v>
      </c>
      <c r="B15" s="247">
        <v>44640</v>
      </c>
      <c r="C15" s="248">
        <v>584992</v>
      </c>
      <c r="D15" s="247">
        <v>44628</v>
      </c>
      <c r="E15" s="246" t="s">
        <v>3231</v>
      </c>
    </row>
    <row r="16" spans="1:5">
      <c r="A16" s="246">
        <v>12</v>
      </c>
      <c r="B16" s="247">
        <v>44671</v>
      </c>
      <c r="C16" s="248">
        <v>549804</v>
      </c>
      <c r="D16" s="247">
        <v>44653</v>
      </c>
      <c r="E16" s="246" t="s">
        <v>3231</v>
      </c>
    </row>
    <row r="17" spans="1:5">
      <c r="A17" s="246">
        <v>13</v>
      </c>
      <c r="B17" s="247">
        <v>44691</v>
      </c>
      <c r="C17" s="248">
        <v>55000</v>
      </c>
      <c r="D17" s="247">
        <v>44691</v>
      </c>
      <c r="E17" s="246" t="s">
        <v>3229</v>
      </c>
    </row>
    <row r="18" spans="1:5">
      <c r="A18" s="246">
        <v>14</v>
      </c>
      <c r="B18" s="247">
        <v>44701</v>
      </c>
      <c r="C18" s="248">
        <v>531933</v>
      </c>
      <c r="D18" s="247">
        <v>44691</v>
      </c>
      <c r="E18" s="246" t="s">
        <v>3231</v>
      </c>
    </row>
    <row r="19" spans="1:5">
      <c r="A19" s="246">
        <v>15</v>
      </c>
      <c r="B19" s="247">
        <v>44720</v>
      </c>
      <c r="C19" s="248">
        <v>99900</v>
      </c>
      <c r="D19" s="247">
        <v>44704</v>
      </c>
      <c r="E19" s="246" t="s">
        <v>3229</v>
      </c>
    </row>
    <row r="20" spans="1:5">
      <c r="A20" s="246">
        <v>16</v>
      </c>
      <c r="B20" s="247">
        <v>44732</v>
      </c>
      <c r="C20" s="248">
        <v>784790</v>
      </c>
      <c r="D20" s="247">
        <v>44718</v>
      </c>
      <c r="E20" s="246" t="s">
        <v>3231</v>
      </c>
    </row>
    <row r="21" spans="1:5">
      <c r="A21" s="246">
        <v>17</v>
      </c>
      <c r="B21" s="247">
        <v>44762</v>
      </c>
      <c r="C21" s="248">
        <v>2149808</v>
      </c>
      <c r="D21" s="247">
        <v>44746</v>
      </c>
      <c r="E21" s="246" t="s">
        <v>3233</v>
      </c>
    </row>
    <row r="22" spans="1:5">
      <c r="A22" s="246">
        <v>18</v>
      </c>
      <c r="B22" s="247">
        <v>44793</v>
      </c>
      <c r="C22" s="248">
        <v>852398</v>
      </c>
      <c r="D22" s="247">
        <v>44780</v>
      </c>
      <c r="E22" s="246" t="s">
        <v>3231</v>
      </c>
    </row>
    <row r="23" spans="1:5">
      <c r="A23" s="246">
        <v>19</v>
      </c>
      <c r="B23" s="247">
        <v>44824</v>
      </c>
      <c r="C23" s="248">
        <v>904148</v>
      </c>
      <c r="D23" s="247">
        <v>44810</v>
      </c>
      <c r="E23" s="246" t="s">
        <v>3231</v>
      </c>
    </row>
    <row r="24" spans="1:5">
      <c r="A24" s="246">
        <v>20</v>
      </c>
      <c r="B24" s="247">
        <v>44854</v>
      </c>
      <c r="C24" s="248">
        <v>2294269</v>
      </c>
      <c r="D24" s="247">
        <v>44846</v>
      </c>
      <c r="E24" s="246" t="s">
        <v>3233</v>
      </c>
    </row>
    <row r="25" spans="1:5">
      <c r="A25" s="246">
        <v>21</v>
      </c>
      <c r="B25" s="247">
        <v>44885</v>
      </c>
      <c r="C25" s="248">
        <v>792708</v>
      </c>
      <c r="D25" s="247">
        <v>44881</v>
      </c>
      <c r="E25" s="246" t="s">
        <v>3231</v>
      </c>
    </row>
    <row r="26" spans="1:5">
      <c r="A26" s="246">
        <v>22</v>
      </c>
      <c r="B26" s="247">
        <v>44915</v>
      </c>
      <c r="C26" s="248">
        <v>709620</v>
      </c>
      <c r="D26" s="247">
        <v>44899</v>
      </c>
      <c r="E26" s="246" t="s">
        <v>3231</v>
      </c>
    </row>
    <row r="27" spans="1:5">
      <c r="A27" s="246">
        <v>23</v>
      </c>
      <c r="B27" s="247">
        <v>44946</v>
      </c>
      <c r="C27" s="248">
        <v>2114765</v>
      </c>
      <c r="D27" s="247">
        <v>44931</v>
      </c>
      <c r="E27" s="246" t="s">
        <v>3233</v>
      </c>
    </row>
    <row r="28" spans="1:5">
      <c r="A28" s="246">
        <v>24</v>
      </c>
      <c r="B28" s="247">
        <v>44977</v>
      </c>
      <c r="C28" s="248">
        <v>592727</v>
      </c>
      <c r="D28" s="247">
        <v>44967</v>
      </c>
      <c r="E28" s="246" t="s">
        <v>3231</v>
      </c>
    </row>
    <row r="29" spans="1:5">
      <c r="A29" s="246">
        <v>25</v>
      </c>
      <c r="B29" s="247">
        <v>45005</v>
      </c>
      <c r="C29" s="248">
        <v>748255</v>
      </c>
      <c r="D29" s="247">
        <v>44991</v>
      </c>
      <c r="E29" s="246" t="s">
        <v>3231</v>
      </c>
    </row>
    <row r="30" spans="1:5">
      <c r="A30" s="246">
        <v>26</v>
      </c>
      <c r="B30" s="247">
        <v>45025</v>
      </c>
      <c r="C30" s="248">
        <v>359640</v>
      </c>
      <c r="D30" s="247">
        <v>45019</v>
      </c>
      <c r="E30" s="246" t="s">
        <v>3234</v>
      </c>
    </row>
    <row r="31" spans="1:5">
      <c r="A31" s="246">
        <v>27</v>
      </c>
      <c r="B31" s="247">
        <v>45036</v>
      </c>
      <c r="C31" s="248">
        <v>1915558</v>
      </c>
      <c r="D31" s="247">
        <v>45031</v>
      </c>
      <c r="E31" s="246" t="s">
        <v>3233</v>
      </c>
    </row>
    <row r="32" spans="1:5">
      <c r="A32" s="246">
        <v>28</v>
      </c>
      <c r="B32" s="247">
        <v>45045</v>
      </c>
      <c r="C32" s="248">
        <v>388500</v>
      </c>
      <c r="D32" s="247">
        <v>45045</v>
      </c>
      <c r="E32" s="246" t="s">
        <v>3232</v>
      </c>
    </row>
    <row r="33" spans="1:5">
      <c r="A33" s="246">
        <v>29</v>
      </c>
      <c r="B33" s="247">
        <v>45066</v>
      </c>
      <c r="C33" s="248">
        <v>593672</v>
      </c>
      <c r="D33" s="247">
        <v>45052</v>
      </c>
      <c r="E33" s="246" t="s">
        <v>3231</v>
      </c>
    </row>
    <row r="34" spans="1:5">
      <c r="A34" s="246">
        <v>30</v>
      </c>
      <c r="B34" s="247">
        <v>45097</v>
      </c>
      <c r="C34" s="248">
        <v>794231</v>
      </c>
      <c r="D34" s="247">
        <v>45087</v>
      </c>
      <c r="E34" s="246" t="s">
        <v>3231</v>
      </c>
    </row>
    <row r="35" spans="1:5">
      <c r="A35" s="246">
        <v>31</v>
      </c>
      <c r="B35" s="247">
        <v>45127</v>
      </c>
      <c r="C35" s="248">
        <v>2188366</v>
      </c>
      <c r="D35" s="247">
        <v>45140</v>
      </c>
      <c r="E35" s="246" t="s">
        <v>3233</v>
      </c>
    </row>
    <row r="36" spans="1:5">
      <c r="A36" s="246">
        <v>32</v>
      </c>
      <c r="B36" s="247">
        <v>45158</v>
      </c>
      <c r="C36" s="248"/>
      <c r="D36" s="246"/>
      <c r="E36" s="246" t="s">
        <v>3231</v>
      </c>
    </row>
    <row r="37" spans="1:5">
      <c r="A37" s="246">
        <v>33</v>
      </c>
      <c r="B37" s="247">
        <v>45189</v>
      </c>
      <c r="C37" s="248"/>
      <c r="D37" s="246"/>
      <c r="E37" s="246" t="s">
        <v>3231</v>
      </c>
    </row>
    <row r="38" spans="1:5">
      <c r="A38" s="246">
        <v>34</v>
      </c>
      <c r="B38" s="247">
        <v>45219</v>
      </c>
      <c r="C38" s="248"/>
      <c r="D38" s="246"/>
      <c r="E38" s="246" t="s">
        <v>3233</v>
      </c>
    </row>
    <row r="39" spans="1:5">
      <c r="A39" s="246">
        <v>35</v>
      </c>
      <c r="B39" s="247">
        <v>45250</v>
      </c>
      <c r="C39" s="248"/>
      <c r="D39" s="246"/>
      <c r="E39" s="246" t="s">
        <v>3231</v>
      </c>
    </row>
    <row r="40" spans="1:5">
      <c r="A40" s="246">
        <v>36</v>
      </c>
      <c r="B40" s="247">
        <v>45280</v>
      </c>
      <c r="C40" s="248"/>
      <c r="D40" s="246"/>
      <c r="E40" s="246" t="s">
        <v>3231</v>
      </c>
    </row>
    <row r="41" spans="1:5">
      <c r="A41" s="246">
        <v>37</v>
      </c>
      <c r="B41" s="247">
        <v>45311</v>
      </c>
      <c r="C41" s="248"/>
      <c r="D41" s="246"/>
      <c r="E41" s="246" t="s">
        <v>3233</v>
      </c>
    </row>
    <row r="42" spans="1:5">
      <c r="A42" s="246">
        <v>38</v>
      </c>
      <c r="B42" s="247">
        <v>45342</v>
      </c>
      <c r="C42" s="248"/>
      <c r="D42" s="246"/>
      <c r="E42" s="246" t="s">
        <v>3231</v>
      </c>
    </row>
    <row r="43" spans="1:5">
      <c r="A43" s="246">
        <v>39</v>
      </c>
      <c r="B43" s="247">
        <v>45371</v>
      </c>
      <c r="C43" s="248"/>
      <c r="D43" s="246"/>
      <c r="E43" s="246" t="s">
        <v>3231</v>
      </c>
    </row>
    <row r="44" spans="1:5">
      <c r="A44" s="246">
        <v>40</v>
      </c>
      <c r="B44" s="247">
        <v>45402</v>
      </c>
      <c r="C44" s="248"/>
      <c r="D44" s="246"/>
      <c r="E44" s="246" t="s">
        <v>3233</v>
      </c>
    </row>
    <row r="45" spans="1:5">
      <c r="A45" s="246">
        <v>41</v>
      </c>
      <c r="B45" s="247">
        <v>45432</v>
      </c>
      <c r="C45" s="248"/>
      <c r="D45" s="246"/>
      <c r="E45" s="246" t="s">
        <v>3231</v>
      </c>
    </row>
    <row r="46" spans="1:5">
      <c r="A46" s="246">
        <v>42</v>
      </c>
      <c r="B46" s="247">
        <v>45463</v>
      </c>
      <c r="C46" s="248"/>
      <c r="D46" s="246"/>
      <c r="E46" s="246" t="s">
        <v>3231</v>
      </c>
    </row>
    <row r="47" spans="1:5">
      <c r="A47" s="246">
        <v>43</v>
      </c>
      <c r="B47" s="247">
        <v>45493</v>
      </c>
      <c r="C47" s="248"/>
      <c r="D47" s="246"/>
      <c r="E47" s="246" t="s">
        <v>3233</v>
      </c>
    </row>
    <row r="48" spans="1:5">
      <c r="A48" s="246">
        <v>44</v>
      </c>
      <c r="B48" s="247">
        <v>45524</v>
      </c>
      <c r="C48" s="248"/>
      <c r="D48" s="246"/>
      <c r="E48" s="246" t="s">
        <v>3231</v>
      </c>
    </row>
    <row r="49" spans="1:5">
      <c r="A49" s="246">
        <v>45</v>
      </c>
      <c r="B49" s="247">
        <v>45555</v>
      </c>
      <c r="C49" s="248"/>
      <c r="D49" s="246"/>
      <c r="E49" s="246" t="s">
        <v>3231</v>
      </c>
    </row>
    <row r="50" spans="1:5">
      <c r="A50" s="246">
        <v>46</v>
      </c>
      <c r="B50" s="247">
        <v>45585</v>
      </c>
      <c r="C50" s="248"/>
      <c r="D50" s="246"/>
      <c r="E50" s="246" t="s">
        <v>3233</v>
      </c>
    </row>
    <row r="51" spans="1:5">
      <c r="A51" s="246">
        <v>47</v>
      </c>
      <c r="B51" s="247">
        <v>45616</v>
      </c>
      <c r="C51" s="248"/>
      <c r="D51" s="246"/>
      <c r="E51" s="246" t="s">
        <v>3231</v>
      </c>
    </row>
    <row r="52" spans="1:5">
      <c r="A52" s="246">
        <v>48</v>
      </c>
      <c r="B52" s="247">
        <v>45646</v>
      </c>
      <c r="C52" s="248"/>
      <c r="D52" s="246"/>
      <c r="E52" s="246" t="s">
        <v>3231</v>
      </c>
    </row>
    <row r="53" spans="1:5">
      <c r="C53" s="243"/>
    </row>
    <row r="54" spans="1:5">
      <c r="C54" s="243"/>
    </row>
    <row r="55" spans="1:5">
      <c r="B55" s="249" t="s">
        <v>3235</v>
      </c>
      <c r="C55" s="250">
        <f>SUM(C5:C52)</f>
        <v>23909674</v>
      </c>
    </row>
    <row r="56" spans="1:5">
      <c r="C56" s="243"/>
    </row>
    <row r="57" spans="1:5">
      <c r="C57" s="243"/>
    </row>
    <row r="58" spans="1:5">
      <c r="C58" s="243"/>
    </row>
    <row r="59" spans="1:5">
      <c r="C59" s="243"/>
    </row>
    <row r="60" spans="1:5">
      <c r="C60" s="243"/>
    </row>
    <row r="61" spans="1:5">
      <c r="C61" s="243"/>
    </row>
    <row r="62" spans="1:5">
      <c r="C62" s="243"/>
    </row>
    <row r="63" spans="1:5">
      <c r="C63" s="243"/>
    </row>
    <row r="64" spans="1:5">
      <c r="C64" s="243"/>
    </row>
    <row r="65" spans="3:3">
      <c r="C65" s="243"/>
    </row>
    <row r="66" spans="3:3">
      <c r="C66" s="243"/>
    </row>
    <row r="67" spans="3:3">
      <c r="C67" s="243"/>
    </row>
    <row r="68" spans="3:3">
      <c r="C68" s="243"/>
    </row>
    <row r="69" spans="3:3">
      <c r="C69" s="243"/>
    </row>
    <row r="70" spans="3:3">
      <c r="C70" s="243"/>
    </row>
    <row r="71" spans="3:3">
      <c r="C71" s="243"/>
    </row>
    <row r="72" spans="3:3">
      <c r="C72" s="243"/>
    </row>
    <row r="73" spans="3:3">
      <c r="C73" s="243"/>
    </row>
    <row r="74" spans="3:3">
      <c r="C74" s="243"/>
    </row>
    <row r="75" spans="3:3">
      <c r="C75" s="243"/>
    </row>
    <row r="76" spans="3:3">
      <c r="C76" s="243"/>
    </row>
    <row r="77" spans="3:3">
      <c r="C77" s="243"/>
    </row>
    <row r="78" spans="3:3">
      <c r="C78" s="243"/>
    </row>
    <row r="79" spans="3:3">
      <c r="C79" s="243"/>
    </row>
    <row r="80" spans="3:3">
      <c r="C80" s="243"/>
    </row>
    <row r="81" spans="3:3">
      <c r="C81" s="243"/>
    </row>
    <row r="82" spans="3:3">
      <c r="C82" s="243"/>
    </row>
    <row r="83" spans="3:3">
      <c r="C83" s="243"/>
    </row>
    <row r="84" spans="3:3">
      <c r="C84" s="243"/>
    </row>
    <row r="85" spans="3:3">
      <c r="C85" s="243"/>
    </row>
    <row r="86" spans="3:3">
      <c r="C86" s="243"/>
    </row>
    <row r="87" spans="3:3">
      <c r="C87" s="243"/>
    </row>
    <row r="88" spans="3:3">
      <c r="C88" s="243"/>
    </row>
    <row r="89" spans="3:3">
      <c r="C89" s="243"/>
    </row>
    <row r="90" spans="3:3">
      <c r="C90" s="243"/>
    </row>
    <row r="91" spans="3:3">
      <c r="C91" s="243"/>
    </row>
    <row r="92" spans="3:3">
      <c r="C92" s="243"/>
    </row>
    <row r="93" spans="3:3">
      <c r="C93" s="243"/>
    </row>
    <row r="94" spans="3:3">
      <c r="C94" s="243"/>
    </row>
    <row r="95" spans="3:3">
      <c r="C95" s="243"/>
    </row>
    <row r="96" spans="3:3">
      <c r="C96" s="243"/>
    </row>
    <row r="97" spans="3:3">
      <c r="C97" s="243"/>
    </row>
    <row r="98" spans="3:3">
      <c r="C98" s="243"/>
    </row>
    <row r="99" spans="3:3">
      <c r="C99" s="243"/>
    </row>
    <row r="100" spans="3:3">
      <c r="C100" s="243"/>
    </row>
    <row r="101" spans="3:3">
      <c r="C101" s="243"/>
    </row>
    <row r="102" spans="3:3">
      <c r="C102" s="243"/>
    </row>
    <row r="103" spans="3:3">
      <c r="C103" s="243"/>
    </row>
    <row r="104" spans="3:3">
      <c r="C104" s="243"/>
    </row>
    <row r="105" spans="3:3">
      <c r="C105" s="243"/>
    </row>
    <row r="106" spans="3:3">
      <c r="C106" s="243"/>
    </row>
    <row r="107" spans="3:3">
      <c r="C107" s="243"/>
    </row>
    <row r="108" spans="3:3">
      <c r="C108" s="243"/>
    </row>
    <row r="109" spans="3:3">
      <c r="C109" s="243"/>
    </row>
    <row r="110" spans="3:3">
      <c r="C110" s="243"/>
    </row>
    <row r="111" spans="3:3">
      <c r="C111" s="243"/>
    </row>
    <row r="112" spans="3:3">
      <c r="C112" s="243"/>
    </row>
    <row r="113" spans="3:3">
      <c r="C113" s="243"/>
    </row>
    <row r="114" spans="3:3">
      <c r="C114" s="243"/>
    </row>
    <row r="115" spans="3:3">
      <c r="C115" s="243"/>
    </row>
    <row r="116" spans="3:3">
      <c r="C116" s="243"/>
    </row>
    <row r="117" spans="3:3">
      <c r="C117" s="243"/>
    </row>
    <row r="118" spans="3:3">
      <c r="C118" s="243"/>
    </row>
    <row r="119" spans="3:3">
      <c r="C119" s="243"/>
    </row>
    <row r="120" spans="3:3">
      <c r="C120" s="243"/>
    </row>
    <row r="121" spans="3:3">
      <c r="C121" s="243"/>
    </row>
    <row r="122" spans="3:3">
      <c r="C122" s="243"/>
    </row>
    <row r="123" spans="3:3">
      <c r="C123" s="243"/>
    </row>
    <row r="124" spans="3:3">
      <c r="C124" s="243"/>
    </row>
    <row r="125" spans="3:3">
      <c r="C125" s="243"/>
    </row>
    <row r="126" spans="3:3">
      <c r="C126" s="243"/>
    </row>
    <row r="127" spans="3:3">
      <c r="C127" s="243"/>
    </row>
    <row r="128" spans="3:3">
      <c r="C128" s="243"/>
    </row>
    <row r="129" spans="3:3">
      <c r="C129" s="243"/>
    </row>
    <row r="130" spans="3:3">
      <c r="C130" s="243"/>
    </row>
    <row r="131" spans="3:3">
      <c r="C131" s="243"/>
    </row>
    <row r="132" spans="3:3">
      <c r="C132" s="243"/>
    </row>
    <row r="133" spans="3:3">
      <c r="C133" s="243"/>
    </row>
    <row r="134" spans="3:3">
      <c r="C134" s="243"/>
    </row>
    <row r="135" spans="3:3">
      <c r="C135" s="243"/>
    </row>
    <row r="136" spans="3:3">
      <c r="C136" s="243"/>
    </row>
    <row r="137" spans="3:3">
      <c r="C137" s="243"/>
    </row>
    <row r="138" spans="3:3">
      <c r="C138" s="243"/>
    </row>
    <row r="139" spans="3:3">
      <c r="C139" s="243"/>
    </row>
    <row r="140" spans="3:3">
      <c r="C140" s="243"/>
    </row>
    <row r="141" spans="3:3">
      <c r="C141" s="243"/>
    </row>
    <row r="142" spans="3:3">
      <c r="C142" s="243"/>
    </row>
    <row r="143" spans="3:3">
      <c r="C143" s="243"/>
    </row>
    <row r="144" spans="3:3">
      <c r="C144" s="243"/>
    </row>
    <row r="145" spans="3:3">
      <c r="C145" s="243"/>
    </row>
    <row r="146" spans="3:3">
      <c r="C146" s="243"/>
    </row>
    <row r="147" spans="3:3">
      <c r="C147" s="243"/>
    </row>
    <row r="148" spans="3:3">
      <c r="C148" s="243"/>
    </row>
    <row r="149" spans="3:3">
      <c r="C149" s="243"/>
    </row>
    <row r="150" spans="3:3">
      <c r="C150" s="243"/>
    </row>
    <row r="151" spans="3:3">
      <c r="C151" s="243"/>
    </row>
    <row r="152" spans="3:3">
      <c r="C152" s="243"/>
    </row>
    <row r="153" spans="3:3">
      <c r="C153" s="243"/>
    </row>
    <row r="154" spans="3:3">
      <c r="C154" s="243"/>
    </row>
    <row r="155" spans="3:3">
      <c r="C155" s="243"/>
    </row>
    <row r="156" spans="3:3">
      <c r="C156" s="243"/>
    </row>
    <row r="157" spans="3:3">
      <c r="C157" s="243"/>
    </row>
    <row r="158" spans="3:3">
      <c r="C158" s="243"/>
    </row>
    <row r="159" spans="3:3">
      <c r="C159" s="243"/>
    </row>
    <row r="160" spans="3:3">
      <c r="C160" s="243"/>
    </row>
    <row r="161" spans="3:3">
      <c r="C161" s="243"/>
    </row>
    <row r="162" spans="3:3">
      <c r="C162" s="243"/>
    </row>
    <row r="163" spans="3:3">
      <c r="C163" s="243"/>
    </row>
    <row r="164" spans="3:3">
      <c r="C164" s="243"/>
    </row>
    <row r="165" spans="3:3">
      <c r="C165" s="243"/>
    </row>
    <row r="166" spans="3:3">
      <c r="C166" s="243"/>
    </row>
    <row r="167" spans="3:3">
      <c r="C167" s="243"/>
    </row>
    <row r="168" spans="3:3">
      <c r="C168" s="243"/>
    </row>
    <row r="169" spans="3:3">
      <c r="C169" s="243"/>
    </row>
    <row r="170" spans="3:3">
      <c r="C170" s="243"/>
    </row>
    <row r="171" spans="3:3">
      <c r="C171" s="243"/>
    </row>
    <row r="172" spans="3:3">
      <c r="C172" s="243"/>
    </row>
    <row r="173" spans="3:3">
      <c r="C173" s="243"/>
    </row>
    <row r="174" spans="3:3">
      <c r="C174" s="243"/>
    </row>
    <row r="175" spans="3:3">
      <c r="C175" s="243"/>
    </row>
    <row r="176" spans="3:3">
      <c r="C176" s="243"/>
    </row>
    <row r="177" spans="3:3">
      <c r="C177" s="243"/>
    </row>
    <row r="178" spans="3:3">
      <c r="C178" s="243"/>
    </row>
    <row r="179" spans="3:3">
      <c r="C179" s="243"/>
    </row>
    <row r="180" spans="3:3">
      <c r="C180" s="243"/>
    </row>
    <row r="181" spans="3:3">
      <c r="C181" s="243"/>
    </row>
    <row r="182" spans="3:3">
      <c r="C182" s="243"/>
    </row>
    <row r="183" spans="3:3">
      <c r="C183" s="243"/>
    </row>
    <row r="184" spans="3:3">
      <c r="C184" s="243"/>
    </row>
    <row r="185" spans="3:3">
      <c r="C185" s="243"/>
    </row>
    <row r="186" spans="3:3">
      <c r="C186" s="243"/>
    </row>
    <row r="187" spans="3:3">
      <c r="C187" s="243"/>
    </row>
    <row r="188" spans="3:3">
      <c r="C188" s="243"/>
    </row>
    <row r="189" spans="3:3">
      <c r="C189" s="243"/>
    </row>
    <row r="190" spans="3:3">
      <c r="C190" s="243"/>
    </row>
    <row r="191" spans="3:3">
      <c r="C191" s="243"/>
    </row>
    <row r="192" spans="3:3">
      <c r="C192" s="243"/>
    </row>
    <row r="193" spans="3:3">
      <c r="C193" s="243"/>
    </row>
    <row r="194" spans="3:3">
      <c r="C194" s="243"/>
    </row>
    <row r="195" spans="3:3">
      <c r="C195" s="243"/>
    </row>
    <row r="196" spans="3:3">
      <c r="C196" s="243"/>
    </row>
    <row r="197" spans="3:3">
      <c r="C197" s="243"/>
    </row>
    <row r="198" spans="3:3">
      <c r="C198" s="243"/>
    </row>
    <row r="199" spans="3:3">
      <c r="C199" s="243"/>
    </row>
    <row r="200" spans="3:3">
      <c r="C200" s="243"/>
    </row>
    <row r="201" spans="3:3">
      <c r="C201" s="243"/>
    </row>
    <row r="202" spans="3:3">
      <c r="C202" s="243"/>
    </row>
    <row r="203" spans="3:3">
      <c r="C203" s="243"/>
    </row>
    <row r="204" spans="3:3">
      <c r="C204" s="243"/>
    </row>
    <row r="205" spans="3:3">
      <c r="C205" s="243"/>
    </row>
    <row r="206" spans="3:3">
      <c r="C206" s="243"/>
    </row>
    <row r="207" spans="3:3">
      <c r="C207" s="243"/>
    </row>
    <row r="208" spans="3:3">
      <c r="C208" s="243"/>
    </row>
    <row r="209" spans="3:3">
      <c r="C209" s="243"/>
    </row>
    <row r="210" spans="3:3">
      <c r="C210" s="243"/>
    </row>
    <row r="211" spans="3:3">
      <c r="C211" s="243"/>
    </row>
    <row r="212" spans="3:3">
      <c r="C212" s="243"/>
    </row>
    <row r="213" spans="3:3">
      <c r="C213" s="243"/>
    </row>
    <row r="214" spans="3:3">
      <c r="C214" s="243"/>
    </row>
    <row r="215" spans="3:3">
      <c r="C215" s="243"/>
    </row>
    <row r="216" spans="3:3">
      <c r="C216" s="243"/>
    </row>
    <row r="217" spans="3:3">
      <c r="C217" s="243"/>
    </row>
    <row r="218" spans="3:3">
      <c r="C218" s="243"/>
    </row>
    <row r="219" spans="3:3">
      <c r="C219" s="243"/>
    </row>
    <row r="220" spans="3:3">
      <c r="C220" s="243"/>
    </row>
    <row r="221" spans="3:3">
      <c r="C221" s="243"/>
    </row>
    <row r="222" spans="3:3">
      <c r="C222" s="243"/>
    </row>
    <row r="223" spans="3:3">
      <c r="C223" s="243"/>
    </row>
    <row r="224" spans="3:3">
      <c r="C224" s="243"/>
    </row>
    <row r="225" spans="3:3">
      <c r="C225" s="243"/>
    </row>
    <row r="226" spans="3:3">
      <c r="C226" s="243"/>
    </row>
    <row r="227" spans="3:3">
      <c r="C227" s="243"/>
    </row>
    <row r="228" spans="3:3">
      <c r="C228" s="243"/>
    </row>
    <row r="229" spans="3:3">
      <c r="C229" s="243"/>
    </row>
    <row r="230" spans="3:3">
      <c r="C230" s="243"/>
    </row>
    <row r="231" spans="3:3">
      <c r="C231" s="243"/>
    </row>
    <row r="232" spans="3:3">
      <c r="C232" s="243"/>
    </row>
    <row r="233" spans="3:3">
      <c r="C233" s="243"/>
    </row>
    <row r="234" spans="3:3">
      <c r="C234" s="243"/>
    </row>
    <row r="235" spans="3:3">
      <c r="C235" s="243"/>
    </row>
    <row r="236" spans="3:3">
      <c r="C236" s="243"/>
    </row>
    <row r="237" spans="3:3">
      <c r="C237" s="243"/>
    </row>
    <row r="238" spans="3:3">
      <c r="C238" s="243"/>
    </row>
    <row r="239" spans="3:3">
      <c r="C239" s="243"/>
    </row>
    <row r="240" spans="3:3">
      <c r="C240" s="243"/>
    </row>
    <row r="241" spans="3:3">
      <c r="C241" s="243"/>
    </row>
    <row r="242" spans="3:3">
      <c r="C242" s="243"/>
    </row>
    <row r="243" spans="3:3">
      <c r="C243" s="243"/>
    </row>
    <row r="244" spans="3:3">
      <c r="C244" s="243"/>
    </row>
    <row r="245" spans="3:3">
      <c r="C245" s="243"/>
    </row>
    <row r="246" spans="3:3">
      <c r="C246" s="243"/>
    </row>
    <row r="247" spans="3:3">
      <c r="C247" s="243"/>
    </row>
    <row r="248" spans="3:3">
      <c r="C248" s="243"/>
    </row>
    <row r="249" spans="3:3">
      <c r="C249" s="243"/>
    </row>
    <row r="250" spans="3:3">
      <c r="C250" s="243"/>
    </row>
    <row r="251" spans="3:3">
      <c r="C251" s="243"/>
    </row>
    <row r="252" spans="3:3">
      <c r="C252" s="243"/>
    </row>
    <row r="253" spans="3:3">
      <c r="C253" s="243"/>
    </row>
    <row r="254" spans="3:3">
      <c r="C254" s="243"/>
    </row>
    <row r="255" spans="3:3">
      <c r="C255" s="243"/>
    </row>
    <row r="256" spans="3:3">
      <c r="C256" s="243"/>
    </row>
    <row r="257" spans="3:3">
      <c r="C257" s="243"/>
    </row>
    <row r="258" spans="3:3">
      <c r="C258" s="243"/>
    </row>
    <row r="259" spans="3:3">
      <c r="C259" s="243"/>
    </row>
    <row r="260" spans="3:3">
      <c r="C260" s="243"/>
    </row>
    <row r="261" spans="3:3">
      <c r="C261" s="243"/>
    </row>
    <row r="262" spans="3:3">
      <c r="C262" s="243"/>
    </row>
    <row r="263" spans="3:3">
      <c r="C263" s="243"/>
    </row>
    <row r="264" spans="3:3">
      <c r="C264" s="243"/>
    </row>
    <row r="265" spans="3:3">
      <c r="C265" s="243"/>
    </row>
    <row r="266" spans="3:3">
      <c r="C266" s="243"/>
    </row>
    <row r="267" spans="3:3">
      <c r="C267" s="243"/>
    </row>
    <row r="268" spans="3:3">
      <c r="C268" s="243"/>
    </row>
    <row r="269" spans="3:3">
      <c r="C269" s="243"/>
    </row>
    <row r="270" spans="3:3">
      <c r="C270" s="243"/>
    </row>
    <row r="271" spans="3:3">
      <c r="C271" s="243"/>
    </row>
    <row r="272" spans="3:3">
      <c r="C272" s="243"/>
    </row>
    <row r="273" spans="3:3">
      <c r="C273" s="243"/>
    </row>
    <row r="274" spans="3:3">
      <c r="C274" s="243"/>
    </row>
    <row r="275" spans="3:3">
      <c r="C275" s="243"/>
    </row>
    <row r="276" spans="3:3">
      <c r="C276" s="243"/>
    </row>
    <row r="277" spans="3:3">
      <c r="C277" s="243"/>
    </row>
    <row r="278" spans="3:3">
      <c r="C278" s="243"/>
    </row>
    <row r="279" spans="3:3">
      <c r="C279" s="243"/>
    </row>
    <row r="280" spans="3:3">
      <c r="C280" s="243"/>
    </row>
    <row r="281" spans="3:3">
      <c r="C281" s="243"/>
    </row>
    <row r="282" spans="3:3">
      <c r="C282" s="243"/>
    </row>
    <row r="283" spans="3:3">
      <c r="C283" s="243"/>
    </row>
    <row r="284" spans="3:3">
      <c r="C284" s="243"/>
    </row>
    <row r="285" spans="3:3">
      <c r="C285" s="243"/>
    </row>
    <row r="286" spans="3:3">
      <c r="C286" s="243"/>
    </row>
    <row r="287" spans="3:3">
      <c r="C287" s="243"/>
    </row>
    <row r="288" spans="3:3">
      <c r="C288" s="243"/>
    </row>
    <row r="289" spans="3:3">
      <c r="C289" s="243"/>
    </row>
    <row r="290" spans="3:3">
      <c r="C290" s="243"/>
    </row>
    <row r="291" spans="3:3">
      <c r="C291" s="243"/>
    </row>
    <row r="292" spans="3:3">
      <c r="C292" s="243"/>
    </row>
    <row r="293" spans="3:3">
      <c r="C293" s="243"/>
    </row>
    <row r="294" spans="3:3">
      <c r="C294" s="243"/>
    </row>
    <row r="295" spans="3:3">
      <c r="C295" s="243"/>
    </row>
    <row r="296" spans="3:3">
      <c r="C296" s="243"/>
    </row>
    <row r="297" spans="3:3">
      <c r="C297" s="243"/>
    </row>
    <row r="298" spans="3:3">
      <c r="C298" s="243"/>
    </row>
    <row r="299" spans="3:3">
      <c r="C299" s="243"/>
    </row>
    <row r="300" spans="3:3">
      <c r="C300" s="243"/>
    </row>
    <row r="301" spans="3:3">
      <c r="C301" s="243"/>
    </row>
    <row r="302" spans="3:3">
      <c r="C302" s="243"/>
    </row>
    <row r="303" spans="3:3">
      <c r="C303" s="243"/>
    </row>
    <row r="304" spans="3:3">
      <c r="C304" s="243"/>
    </row>
    <row r="305" spans="3:3">
      <c r="C305" s="243"/>
    </row>
    <row r="306" spans="3:3">
      <c r="C306" s="243"/>
    </row>
    <row r="307" spans="3:3">
      <c r="C307" s="243"/>
    </row>
    <row r="308" spans="3:3">
      <c r="C308" s="243"/>
    </row>
    <row r="309" spans="3:3">
      <c r="C309" s="243"/>
    </row>
    <row r="310" spans="3:3">
      <c r="C310" s="243"/>
    </row>
    <row r="311" spans="3:3">
      <c r="C311" s="243"/>
    </row>
    <row r="312" spans="3:3">
      <c r="C312" s="243"/>
    </row>
    <row r="313" spans="3:3">
      <c r="C313" s="243"/>
    </row>
    <row r="314" spans="3:3">
      <c r="C314" s="243"/>
    </row>
    <row r="315" spans="3:3">
      <c r="C315" s="243"/>
    </row>
    <row r="316" spans="3:3">
      <c r="C316" s="243"/>
    </row>
    <row r="317" spans="3:3">
      <c r="C317" s="243"/>
    </row>
    <row r="318" spans="3:3">
      <c r="C318" s="243"/>
    </row>
    <row r="319" spans="3:3">
      <c r="C319" s="243"/>
    </row>
    <row r="320" spans="3:3">
      <c r="C320" s="243"/>
    </row>
    <row r="321" spans="3:3">
      <c r="C321" s="243"/>
    </row>
    <row r="322" spans="3:3">
      <c r="C322" s="243"/>
    </row>
    <row r="323" spans="3:3">
      <c r="C323" s="243"/>
    </row>
    <row r="324" spans="3:3">
      <c r="C324" s="243"/>
    </row>
    <row r="325" spans="3:3">
      <c r="C325" s="243"/>
    </row>
    <row r="326" spans="3:3">
      <c r="C326" s="243"/>
    </row>
    <row r="327" spans="3:3">
      <c r="C327" s="243"/>
    </row>
    <row r="328" spans="3:3">
      <c r="C328" s="243"/>
    </row>
    <row r="329" spans="3:3">
      <c r="C329" s="243"/>
    </row>
    <row r="330" spans="3:3">
      <c r="C330" s="243"/>
    </row>
    <row r="331" spans="3:3">
      <c r="C331" s="243"/>
    </row>
    <row r="332" spans="3:3">
      <c r="C332" s="243"/>
    </row>
    <row r="333" spans="3:3">
      <c r="C333" s="243"/>
    </row>
    <row r="334" spans="3:3">
      <c r="C334" s="243"/>
    </row>
    <row r="335" spans="3:3">
      <c r="C335" s="243"/>
    </row>
    <row r="336" spans="3:3">
      <c r="C336" s="243"/>
    </row>
    <row r="337" spans="3:3">
      <c r="C337" s="243"/>
    </row>
    <row r="338" spans="3:3">
      <c r="C338" s="243"/>
    </row>
    <row r="339" spans="3:3">
      <c r="C339" s="243"/>
    </row>
    <row r="340" spans="3:3">
      <c r="C340" s="243"/>
    </row>
    <row r="341" spans="3:3">
      <c r="C341" s="243"/>
    </row>
    <row r="342" spans="3:3">
      <c r="C342" s="243"/>
    </row>
    <row r="343" spans="3:3">
      <c r="C343" s="243"/>
    </row>
    <row r="344" spans="3:3">
      <c r="C344" s="243"/>
    </row>
    <row r="345" spans="3:3">
      <c r="C345" s="243"/>
    </row>
    <row r="346" spans="3:3">
      <c r="C346" s="243"/>
    </row>
    <row r="347" spans="3:3">
      <c r="C347" s="243"/>
    </row>
    <row r="348" spans="3:3">
      <c r="C348" s="243"/>
    </row>
    <row r="349" spans="3:3">
      <c r="C349" s="243"/>
    </row>
    <row r="350" spans="3:3">
      <c r="C350" s="243"/>
    </row>
    <row r="351" spans="3:3">
      <c r="C351" s="243"/>
    </row>
    <row r="352" spans="3:3">
      <c r="C352" s="243"/>
    </row>
    <row r="353" spans="3:3">
      <c r="C353" s="243"/>
    </row>
    <row r="354" spans="3:3">
      <c r="C354" s="243"/>
    </row>
    <row r="355" spans="3:3">
      <c r="C355" s="243"/>
    </row>
    <row r="356" spans="3:3">
      <c r="C356" s="243"/>
    </row>
    <row r="357" spans="3:3">
      <c r="C357" s="243"/>
    </row>
    <row r="358" spans="3:3">
      <c r="C358" s="243"/>
    </row>
    <row r="359" spans="3:3">
      <c r="C359" s="243"/>
    </row>
    <row r="360" spans="3:3">
      <c r="C360" s="243"/>
    </row>
    <row r="361" spans="3:3">
      <c r="C361" s="243"/>
    </row>
    <row r="362" spans="3:3">
      <c r="C362" s="243"/>
    </row>
    <row r="363" spans="3:3">
      <c r="C363" s="243"/>
    </row>
    <row r="364" spans="3:3">
      <c r="C364" s="243"/>
    </row>
    <row r="365" spans="3:3">
      <c r="C365" s="243"/>
    </row>
    <row r="366" spans="3:3">
      <c r="C366" s="243"/>
    </row>
    <row r="367" spans="3:3">
      <c r="C367" s="243"/>
    </row>
    <row r="368" spans="3:3">
      <c r="C368" s="243"/>
    </row>
    <row r="369" spans="3:3">
      <c r="C369" s="243"/>
    </row>
    <row r="370" spans="3:3">
      <c r="C370" s="243"/>
    </row>
    <row r="371" spans="3:3">
      <c r="C371" s="243"/>
    </row>
    <row r="372" spans="3:3">
      <c r="C372" s="243"/>
    </row>
    <row r="373" spans="3:3">
      <c r="C373" s="243"/>
    </row>
    <row r="374" spans="3:3">
      <c r="C374" s="243"/>
    </row>
    <row r="375" spans="3:3">
      <c r="C375" s="243"/>
    </row>
    <row r="376" spans="3:3">
      <c r="C376" s="243"/>
    </row>
    <row r="377" spans="3:3">
      <c r="C377" s="243"/>
    </row>
    <row r="378" spans="3:3">
      <c r="C378" s="243"/>
    </row>
    <row r="379" spans="3:3">
      <c r="C379" s="243"/>
    </row>
    <row r="380" spans="3:3">
      <c r="C380" s="243"/>
    </row>
    <row r="381" spans="3:3">
      <c r="C381" s="243"/>
    </row>
    <row r="382" spans="3:3">
      <c r="C382" s="243"/>
    </row>
    <row r="383" spans="3:3">
      <c r="C383" s="243"/>
    </row>
    <row r="384" spans="3:3">
      <c r="C384" s="243"/>
    </row>
    <row r="385" spans="3:3">
      <c r="C385" s="243"/>
    </row>
    <row r="386" spans="3:3">
      <c r="C386" s="243"/>
    </row>
    <row r="387" spans="3:3">
      <c r="C387" s="243"/>
    </row>
    <row r="388" spans="3:3">
      <c r="C388" s="243"/>
    </row>
    <row r="389" spans="3:3">
      <c r="C389" s="243"/>
    </row>
    <row r="390" spans="3:3">
      <c r="C390" s="243"/>
    </row>
    <row r="391" spans="3:3">
      <c r="C391" s="243"/>
    </row>
    <row r="392" spans="3:3">
      <c r="C392" s="243"/>
    </row>
    <row r="393" spans="3:3">
      <c r="C393" s="243"/>
    </row>
    <row r="394" spans="3:3">
      <c r="C394" s="243"/>
    </row>
    <row r="395" spans="3:3">
      <c r="C395" s="243"/>
    </row>
    <row r="396" spans="3:3">
      <c r="C396" s="243"/>
    </row>
    <row r="397" spans="3:3">
      <c r="C397" s="243"/>
    </row>
    <row r="398" spans="3:3">
      <c r="C398" s="243"/>
    </row>
    <row r="399" spans="3:3">
      <c r="C399" s="243"/>
    </row>
    <row r="400" spans="3:3">
      <c r="C400" s="243"/>
    </row>
    <row r="401" spans="3:3">
      <c r="C401" s="243"/>
    </row>
    <row r="402" spans="3:3">
      <c r="C402" s="243"/>
    </row>
    <row r="403" spans="3:3">
      <c r="C403" s="243"/>
    </row>
    <row r="404" spans="3:3">
      <c r="C404" s="243"/>
    </row>
    <row r="405" spans="3:3">
      <c r="C405" s="243"/>
    </row>
    <row r="406" spans="3:3">
      <c r="C406" s="243"/>
    </row>
    <row r="407" spans="3:3">
      <c r="C407" s="243"/>
    </row>
    <row r="408" spans="3:3">
      <c r="C408" s="243"/>
    </row>
    <row r="409" spans="3:3">
      <c r="C409" s="243"/>
    </row>
    <row r="410" spans="3:3">
      <c r="C410" s="243"/>
    </row>
    <row r="411" spans="3:3">
      <c r="C411" s="243"/>
    </row>
    <row r="412" spans="3:3">
      <c r="C412" s="243"/>
    </row>
    <row r="413" spans="3:3">
      <c r="C413" s="243"/>
    </row>
    <row r="414" spans="3:3">
      <c r="C414" s="243"/>
    </row>
    <row r="415" spans="3:3">
      <c r="C415" s="243"/>
    </row>
    <row r="416" spans="3:3">
      <c r="C416" s="243"/>
    </row>
    <row r="417" spans="3:3">
      <c r="C417" s="243"/>
    </row>
    <row r="418" spans="3:3">
      <c r="C418" s="243"/>
    </row>
    <row r="419" spans="3:3">
      <c r="C419" s="243"/>
    </row>
    <row r="420" spans="3:3">
      <c r="C420" s="243"/>
    </row>
    <row r="421" spans="3:3">
      <c r="C421" s="243"/>
    </row>
    <row r="422" spans="3:3">
      <c r="C422" s="243"/>
    </row>
    <row r="423" spans="3:3">
      <c r="C423" s="243"/>
    </row>
    <row r="424" spans="3:3">
      <c r="C424" s="243"/>
    </row>
    <row r="425" spans="3:3">
      <c r="C425" s="243"/>
    </row>
    <row r="426" spans="3:3">
      <c r="C426" s="243"/>
    </row>
    <row r="427" spans="3:3">
      <c r="C427" s="243"/>
    </row>
    <row r="428" spans="3:3">
      <c r="C428" s="243"/>
    </row>
    <row r="429" spans="3:3">
      <c r="C429" s="243"/>
    </row>
    <row r="430" spans="3:3">
      <c r="C430" s="243"/>
    </row>
    <row r="431" spans="3:3">
      <c r="C431" s="243"/>
    </row>
    <row r="432" spans="3:3">
      <c r="C432" s="243"/>
    </row>
    <row r="433" spans="3:3">
      <c r="C433" s="243"/>
    </row>
    <row r="434" spans="3:3">
      <c r="C434" s="243"/>
    </row>
    <row r="435" spans="3:3">
      <c r="C435" s="243"/>
    </row>
    <row r="436" spans="3:3">
      <c r="C436" s="243"/>
    </row>
    <row r="437" spans="3:3">
      <c r="C437" s="243"/>
    </row>
    <row r="438" spans="3:3">
      <c r="C438" s="243"/>
    </row>
    <row r="439" spans="3:3">
      <c r="C439" s="243"/>
    </row>
    <row r="440" spans="3:3">
      <c r="C440" s="243"/>
    </row>
    <row r="441" spans="3:3">
      <c r="C441" s="243"/>
    </row>
    <row r="442" spans="3:3">
      <c r="C442" s="243"/>
    </row>
    <row r="443" spans="3:3">
      <c r="C443" s="243"/>
    </row>
    <row r="444" spans="3:3">
      <c r="C444" s="243"/>
    </row>
    <row r="445" spans="3:3">
      <c r="C445" s="243"/>
    </row>
    <row r="446" spans="3:3">
      <c r="C446" s="243"/>
    </row>
    <row r="447" spans="3:3">
      <c r="C447" s="243"/>
    </row>
    <row r="448" spans="3:3">
      <c r="C448" s="243"/>
    </row>
    <row r="449" spans="3:3">
      <c r="C449" s="243"/>
    </row>
    <row r="450" spans="3:3">
      <c r="C450" s="243"/>
    </row>
    <row r="451" spans="3:3">
      <c r="C451" s="243"/>
    </row>
    <row r="452" spans="3:3">
      <c r="C452" s="243"/>
    </row>
    <row r="453" spans="3:3">
      <c r="C453" s="243"/>
    </row>
    <row r="454" spans="3:3">
      <c r="C454" s="243"/>
    </row>
    <row r="455" spans="3:3">
      <c r="C455" s="243"/>
    </row>
    <row r="456" spans="3:3">
      <c r="C456" s="243"/>
    </row>
    <row r="457" spans="3:3">
      <c r="C457" s="243"/>
    </row>
    <row r="458" spans="3:3">
      <c r="C458" s="243"/>
    </row>
    <row r="459" spans="3:3">
      <c r="C459" s="243"/>
    </row>
    <row r="460" spans="3:3">
      <c r="C460" s="243"/>
    </row>
    <row r="461" spans="3:3">
      <c r="C461" s="243"/>
    </row>
    <row r="462" spans="3:3">
      <c r="C462" s="243"/>
    </row>
    <row r="463" spans="3:3">
      <c r="C463" s="243"/>
    </row>
    <row r="464" spans="3:3">
      <c r="C464" s="243"/>
    </row>
    <row r="465" spans="3:3">
      <c r="C465" s="243"/>
    </row>
    <row r="466" spans="3:3">
      <c r="C466" s="243"/>
    </row>
    <row r="467" spans="3:3">
      <c r="C467" s="243"/>
    </row>
    <row r="468" spans="3:3">
      <c r="C468" s="243"/>
    </row>
    <row r="469" spans="3:3">
      <c r="C469" s="243"/>
    </row>
    <row r="470" spans="3:3">
      <c r="C470" s="243"/>
    </row>
    <row r="471" spans="3:3">
      <c r="C471" s="243"/>
    </row>
    <row r="472" spans="3:3">
      <c r="C472" s="243"/>
    </row>
    <row r="473" spans="3:3">
      <c r="C473" s="243"/>
    </row>
    <row r="474" spans="3:3">
      <c r="C474" s="243"/>
    </row>
    <row r="475" spans="3:3">
      <c r="C475" s="243"/>
    </row>
  </sheetData>
  <mergeCells count="1">
    <mergeCell ref="A1:E3"/>
  </mergeCells>
  <pageMargins left="0.69930555555555596" right="0.69930555555555596" top="0.75" bottom="0.75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0"/>
  <sheetViews>
    <sheetView workbookViewId="0">
      <selection activeCell="F307" sqref="A1:F1048576"/>
    </sheetView>
  </sheetViews>
  <sheetFormatPr defaultColWidth="9" defaultRowHeight="14"/>
  <cols>
    <col min="1" max="2" width="11.5" style="235" customWidth="1"/>
    <col min="3" max="3" width="16.83203125" style="236" customWidth="1"/>
    <col min="4" max="4" width="11.5" style="235" customWidth="1"/>
    <col min="5" max="5" width="16.83203125" style="236" customWidth="1"/>
    <col min="6" max="6" width="43.33203125" style="235" customWidth="1"/>
  </cols>
  <sheetData>
    <row r="1" spans="1:6">
      <c r="A1" s="985" t="s">
        <v>3236</v>
      </c>
      <c r="B1" s="985"/>
      <c r="C1" s="985"/>
      <c r="D1" s="985"/>
      <c r="E1" s="985"/>
      <c r="F1" s="985"/>
    </row>
    <row r="2" spans="1:6">
      <c r="A2" s="985"/>
      <c r="B2" s="985"/>
      <c r="C2" s="985"/>
      <c r="D2" s="985"/>
      <c r="E2" s="985"/>
      <c r="F2" s="985"/>
    </row>
    <row r="3" spans="1:6">
      <c r="A3" s="985"/>
      <c r="B3" s="985"/>
      <c r="C3" s="985"/>
      <c r="D3" s="985"/>
      <c r="E3" s="985"/>
      <c r="F3" s="985"/>
    </row>
    <row r="4" spans="1:6" s="237" customFormat="1">
      <c r="A4" s="251" t="s">
        <v>3211</v>
      </c>
      <c r="B4" s="251" t="s">
        <v>3212</v>
      </c>
      <c r="C4" s="251" t="s">
        <v>3213</v>
      </c>
      <c r="D4" s="251" t="s">
        <v>3214</v>
      </c>
      <c r="E4" s="251" t="s">
        <v>3213</v>
      </c>
      <c r="F4" s="251" t="s">
        <v>3215</v>
      </c>
    </row>
    <row r="5" spans="1:6">
      <c r="A5" s="202" t="s">
        <v>3237</v>
      </c>
      <c r="B5" s="240">
        <v>44324</v>
      </c>
      <c r="C5" s="241">
        <v>20000000</v>
      </c>
      <c r="D5" s="240">
        <v>44324</v>
      </c>
      <c r="E5" s="241">
        <f>C5</f>
        <v>20000000</v>
      </c>
      <c r="F5" s="202"/>
    </row>
    <row r="6" spans="1:6">
      <c r="A6" s="202" t="s">
        <v>3238</v>
      </c>
      <c r="B6" s="240">
        <v>44356</v>
      </c>
      <c r="C6" s="241">
        <v>11000000</v>
      </c>
      <c r="D6" s="240">
        <v>44356</v>
      </c>
      <c r="E6" s="241">
        <f>C6</f>
        <v>11000000</v>
      </c>
      <c r="F6" s="202" t="s">
        <v>3239</v>
      </c>
    </row>
    <row r="7" spans="1:6">
      <c r="A7" s="202">
        <v>1</v>
      </c>
      <c r="B7" s="240">
        <v>44389</v>
      </c>
      <c r="C7" s="241">
        <v>3909923</v>
      </c>
      <c r="D7" s="202" t="s">
        <v>40</v>
      </c>
      <c r="E7" s="241">
        <f t="shared" ref="E7:E8" si="0">C7</f>
        <v>3909923</v>
      </c>
      <c r="F7" s="202" t="s">
        <v>3240</v>
      </c>
    </row>
    <row r="8" spans="1:6">
      <c r="A8" s="202">
        <v>2</v>
      </c>
      <c r="B8" s="240">
        <v>44420</v>
      </c>
      <c r="C8" s="241">
        <v>3909922</v>
      </c>
      <c r="D8" s="202" t="s">
        <v>40</v>
      </c>
      <c r="E8" s="241">
        <f t="shared" si="0"/>
        <v>3909922</v>
      </c>
      <c r="F8" s="202" t="s">
        <v>3240</v>
      </c>
    </row>
    <row r="9" spans="1:6">
      <c r="A9" s="202">
        <v>3</v>
      </c>
      <c r="B9" s="240">
        <v>44451</v>
      </c>
      <c r="C9" s="241">
        <v>1888124</v>
      </c>
      <c r="D9" s="240">
        <v>44482</v>
      </c>
      <c r="E9" s="983">
        <f>SUM(C9:C11)</f>
        <v>3909922</v>
      </c>
      <c r="F9" s="252"/>
    </row>
    <row r="10" spans="1:6">
      <c r="A10" s="202"/>
      <c r="B10" s="240">
        <v>44451</v>
      </c>
      <c r="C10" s="241">
        <v>384347</v>
      </c>
      <c r="D10" s="240">
        <v>44483</v>
      </c>
      <c r="E10" s="988"/>
      <c r="F10" s="252"/>
    </row>
    <row r="11" spans="1:6">
      <c r="A11" s="202"/>
      <c r="B11" s="240">
        <v>44451</v>
      </c>
      <c r="C11" s="241">
        <v>1637451</v>
      </c>
      <c r="D11" s="240">
        <v>44483</v>
      </c>
      <c r="E11" s="984"/>
      <c r="F11" s="252"/>
    </row>
    <row r="12" spans="1:6">
      <c r="A12" s="202"/>
      <c r="B12" s="240">
        <v>44451</v>
      </c>
      <c r="C12" s="241">
        <v>200000</v>
      </c>
      <c r="D12" s="240">
        <v>44483</v>
      </c>
      <c r="E12" s="241">
        <f>C12</f>
        <v>200000</v>
      </c>
      <c r="F12" s="253" t="s">
        <v>3241</v>
      </c>
    </row>
    <row r="13" spans="1:6">
      <c r="A13" s="202">
        <v>4</v>
      </c>
      <c r="B13" s="240">
        <v>44481</v>
      </c>
      <c r="C13" s="241">
        <v>705240</v>
      </c>
      <c r="D13" s="240">
        <v>44480</v>
      </c>
      <c r="E13" s="983">
        <f>SUM(C13:C15)</f>
        <v>3909923</v>
      </c>
      <c r="F13" s="254"/>
    </row>
    <row r="14" spans="1:6">
      <c r="A14" s="202"/>
      <c r="B14" s="240">
        <v>44481</v>
      </c>
      <c r="C14" s="241">
        <v>1561431</v>
      </c>
      <c r="D14" s="240">
        <v>44480</v>
      </c>
      <c r="E14" s="988"/>
      <c r="F14" s="254"/>
    </row>
    <row r="15" spans="1:6">
      <c r="A15" s="202"/>
      <c r="B15" s="240">
        <v>44481</v>
      </c>
      <c r="C15" s="241">
        <v>1643252</v>
      </c>
      <c r="D15" s="240">
        <v>44480</v>
      </c>
      <c r="E15" s="984"/>
      <c r="F15" s="254"/>
    </row>
    <row r="16" spans="1:6">
      <c r="A16" s="202">
        <v>5</v>
      </c>
      <c r="B16" s="240">
        <v>44512</v>
      </c>
      <c r="C16" s="241">
        <v>2257318</v>
      </c>
      <c r="D16" s="240">
        <v>44511</v>
      </c>
      <c r="E16" s="983">
        <f t="shared" ref="E16:E20" si="1">SUM(C16:C17)</f>
        <v>3909923</v>
      </c>
      <c r="F16" s="254"/>
    </row>
    <row r="17" spans="1:6">
      <c r="A17" s="202"/>
      <c r="B17" s="240">
        <v>44512</v>
      </c>
      <c r="C17" s="241">
        <v>1652605</v>
      </c>
      <c r="D17" s="240">
        <v>44511</v>
      </c>
      <c r="E17" s="984"/>
      <c r="F17" s="255"/>
    </row>
    <row r="18" spans="1:6">
      <c r="A18" s="202">
        <v>6</v>
      </c>
      <c r="B18" s="240">
        <v>44542</v>
      </c>
      <c r="C18" s="241">
        <v>2249767</v>
      </c>
      <c r="D18" s="240">
        <v>44543</v>
      </c>
      <c r="E18" s="983">
        <f t="shared" si="1"/>
        <v>3909922</v>
      </c>
      <c r="F18" s="254"/>
    </row>
    <row r="19" spans="1:6">
      <c r="A19" s="202"/>
      <c r="B19" s="240">
        <v>44542</v>
      </c>
      <c r="C19" s="241">
        <v>1660155</v>
      </c>
      <c r="D19" s="240">
        <v>44543</v>
      </c>
      <c r="E19" s="984"/>
      <c r="F19" s="255"/>
    </row>
    <row r="20" spans="1:6">
      <c r="A20" s="202">
        <v>7</v>
      </c>
      <c r="B20" s="240">
        <v>44573</v>
      </c>
      <c r="C20" s="241">
        <v>2238370</v>
      </c>
      <c r="D20" s="240">
        <v>44572</v>
      </c>
      <c r="E20" s="983">
        <f t="shared" si="1"/>
        <v>3909922</v>
      </c>
      <c r="F20" s="254"/>
    </row>
    <row r="21" spans="1:6">
      <c r="A21" s="202"/>
      <c r="B21" s="240">
        <v>44573</v>
      </c>
      <c r="C21" s="241">
        <v>1671552</v>
      </c>
      <c r="D21" s="240">
        <v>44572</v>
      </c>
      <c r="E21" s="984"/>
      <c r="F21" s="255"/>
    </row>
    <row r="22" spans="1:6">
      <c r="A22" s="202">
        <v>8</v>
      </c>
      <c r="B22" s="240">
        <v>44604</v>
      </c>
      <c r="C22" s="241">
        <v>2195863</v>
      </c>
      <c r="D22" s="240">
        <v>44603</v>
      </c>
      <c r="E22" s="983">
        <f t="shared" ref="E22" si="2">SUM(C22:C23)</f>
        <v>3909922</v>
      </c>
      <c r="F22" s="254"/>
    </row>
    <row r="23" spans="1:6">
      <c r="A23" s="202"/>
      <c r="B23" s="240">
        <v>44604</v>
      </c>
      <c r="C23" s="241">
        <v>1714059</v>
      </c>
      <c r="D23" s="240">
        <v>44603</v>
      </c>
      <c r="E23" s="984"/>
      <c r="F23" s="255"/>
    </row>
    <row r="24" spans="1:6">
      <c r="A24" s="202">
        <v>9</v>
      </c>
      <c r="B24" s="240">
        <v>44632</v>
      </c>
      <c r="C24" s="241">
        <v>2209658</v>
      </c>
      <c r="D24" s="240">
        <v>44631</v>
      </c>
      <c r="E24" s="983">
        <f t="shared" ref="E24" si="3">SUM(C24:C25)</f>
        <v>3909923</v>
      </c>
      <c r="F24" s="254"/>
    </row>
    <row r="25" spans="1:6">
      <c r="A25" s="202"/>
      <c r="B25" s="240">
        <v>44632</v>
      </c>
      <c r="C25" s="241">
        <v>1700265</v>
      </c>
      <c r="D25" s="240">
        <v>44631</v>
      </c>
      <c r="E25" s="984"/>
      <c r="F25" s="255"/>
    </row>
    <row r="26" spans="1:6">
      <c r="A26" s="202">
        <v>10</v>
      </c>
      <c r="B26" s="240">
        <v>44663</v>
      </c>
      <c r="C26" s="241">
        <v>2212307</v>
      </c>
      <c r="D26" s="240">
        <v>44662</v>
      </c>
      <c r="E26" s="983">
        <f t="shared" ref="E26" si="4">SUM(C26:C27)</f>
        <v>3909923</v>
      </c>
      <c r="F26" s="254"/>
    </row>
    <row r="27" spans="1:6">
      <c r="A27" s="202"/>
      <c r="B27" s="240">
        <v>44663</v>
      </c>
      <c r="C27" s="241">
        <v>1697616</v>
      </c>
      <c r="D27" s="240">
        <v>44662</v>
      </c>
      <c r="E27" s="984"/>
      <c r="F27" s="255"/>
    </row>
    <row r="28" spans="1:6">
      <c r="A28" s="202">
        <v>11</v>
      </c>
      <c r="B28" s="240">
        <v>44693</v>
      </c>
      <c r="C28" s="241">
        <v>2210083</v>
      </c>
      <c r="D28" s="240">
        <v>44692</v>
      </c>
      <c r="E28" s="983">
        <f t="shared" ref="E28" si="5">SUM(C28:C29)</f>
        <v>3909923</v>
      </c>
      <c r="F28" s="254"/>
    </row>
    <row r="29" spans="1:6">
      <c r="A29" s="202"/>
      <c r="B29" s="240">
        <v>44693</v>
      </c>
      <c r="C29" s="241">
        <v>1699840</v>
      </c>
      <c r="D29" s="240">
        <v>44692</v>
      </c>
      <c r="E29" s="984"/>
      <c r="F29" s="255"/>
    </row>
    <row r="30" spans="1:6">
      <c r="A30" s="202">
        <v>12</v>
      </c>
      <c r="B30" s="240">
        <v>44724</v>
      </c>
      <c r="C30" s="241">
        <v>2202516</v>
      </c>
      <c r="D30" s="240">
        <v>44725</v>
      </c>
      <c r="E30" s="983">
        <f t="shared" ref="E30" si="6">SUM(C30:C31)</f>
        <v>3909923</v>
      </c>
      <c r="F30" s="254"/>
    </row>
    <row r="31" spans="1:6">
      <c r="A31" s="202"/>
      <c r="B31" s="240">
        <v>44724</v>
      </c>
      <c r="C31" s="241">
        <v>1707407</v>
      </c>
      <c r="D31" s="240">
        <v>44725</v>
      </c>
      <c r="E31" s="984"/>
      <c r="F31" s="255"/>
    </row>
    <row r="32" spans="1:6">
      <c r="A32" s="202">
        <v>13</v>
      </c>
      <c r="B32" s="240">
        <v>44754</v>
      </c>
      <c r="C32" s="241">
        <v>2185030</v>
      </c>
      <c r="D32" s="240">
        <v>44753</v>
      </c>
      <c r="E32" s="983">
        <f t="shared" ref="E32" si="7">SUM(C32:C33)</f>
        <v>3909923</v>
      </c>
      <c r="F32" s="254"/>
    </row>
    <row r="33" spans="1:6">
      <c r="A33" s="202"/>
      <c r="B33" s="240">
        <v>44754</v>
      </c>
      <c r="C33" s="241">
        <v>1724893</v>
      </c>
      <c r="D33" s="240">
        <v>44753</v>
      </c>
      <c r="E33" s="984"/>
      <c r="F33" s="255"/>
    </row>
    <row r="34" spans="1:6">
      <c r="A34" s="202">
        <v>14</v>
      </c>
      <c r="B34" s="240">
        <v>44785</v>
      </c>
      <c r="C34" s="241">
        <v>2182519</v>
      </c>
      <c r="D34" s="240">
        <v>44784</v>
      </c>
      <c r="E34" s="983">
        <f t="shared" ref="E34" si="8">SUM(C34:C35)</f>
        <v>3909922</v>
      </c>
      <c r="F34" s="254"/>
    </row>
    <row r="35" spans="1:6">
      <c r="A35" s="202"/>
      <c r="B35" s="240">
        <v>44785</v>
      </c>
      <c r="C35" s="241">
        <v>1727403</v>
      </c>
      <c r="D35" s="240">
        <v>44784</v>
      </c>
      <c r="E35" s="984"/>
      <c r="F35" s="255"/>
    </row>
    <row r="36" spans="1:6">
      <c r="A36" s="202">
        <v>15</v>
      </c>
      <c r="B36" s="240">
        <v>44816</v>
      </c>
      <c r="C36" s="241">
        <v>2142762</v>
      </c>
      <c r="D36" s="240">
        <v>44816</v>
      </c>
      <c r="E36" s="983">
        <f t="shared" ref="E36" si="9">SUM(C36:C37)</f>
        <v>3909923</v>
      </c>
      <c r="F36" s="254"/>
    </row>
    <row r="37" spans="1:6">
      <c r="A37" s="202"/>
      <c r="B37" s="240">
        <v>44816</v>
      </c>
      <c r="C37" s="241">
        <v>1767161</v>
      </c>
      <c r="D37" s="240">
        <v>44816</v>
      </c>
      <c r="E37" s="984"/>
      <c r="F37" s="255"/>
    </row>
    <row r="38" spans="1:6">
      <c r="A38" s="202">
        <v>16</v>
      </c>
      <c r="B38" s="240">
        <v>44846</v>
      </c>
      <c r="C38" s="241">
        <v>2098793</v>
      </c>
      <c r="D38" s="240">
        <v>44845</v>
      </c>
      <c r="E38" s="983">
        <f t="shared" ref="E38" si="10">SUM(C38:C39)</f>
        <v>3909923</v>
      </c>
      <c r="F38" s="254"/>
    </row>
    <row r="39" spans="1:6">
      <c r="A39" s="202"/>
      <c r="B39" s="240">
        <v>44846</v>
      </c>
      <c r="C39" s="241">
        <v>1811130</v>
      </c>
      <c r="D39" s="240">
        <v>44845</v>
      </c>
      <c r="E39" s="984"/>
      <c r="F39" s="255"/>
    </row>
    <row r="40" spans="1:6">
      <c r="A40" s="202">
        <v>17</v>
      </c>
      <c r="B40" s="240">
        <v>44877</v>
      </c>
      <c r="C40" s="241">
        <v>1822527</v>
      </c>
      <c r="D40" s="240">
        <v>44876</v>
      </c>
      <c r="E40" s="983">
        <f t="shared" ref="E40" si="11">SUM(C40:C41)</f>
        <v>3909922</v>
      </c>
      <c r="F40" s="254"/>
    </row>
    <row r="41" spans="1:6">
      <c r="A41" s="202"/>
      <c r="B41" s="240">
        <v>44877</v>
      </c>
      <c r="C41" s="241">
        <v>2087395</v>
      </c>
      <c r="D41" s="240">
        <v>44876</v>
      </c>
      <c r="E41" s="984"/>
      <c r="F41" s="255"/>
    </row>
    <row r="42" spans="1:6">
      <c r="A42" s="202">
        <v>18</v>
      </c>
      <c r="B42" s="240">
        <v>44907</v>
      </c>
      <c r="C42" s="241">
        <v>2098794</v>
      </c>
      <c r="D42" s="240">
        <v>44907</v>
      </c>
      <c r="E42" s="983">
        <f t="shared" ref="E42" si="12">SUM(C42:C43)</f>
        <v>3909922</v>
      </c>
      <c r="F42" s="254"/>
    </row>
    <row r="43" spans="1:6">
      <c r="A43" s="202"/>
      <c r="B43" s="240">
        <v>44907</v>
      </c>
      <c r="C43" s="241">
        <v>1811128</v>
      </c>
      <c r="D43" s="240">
        <v>44907</v>
      </c>
      <c r="E43" s="984"/>
      <c r="F43" s="255"/>
    </row>
    <row r="44" spans="1:6">
      <c r="A44" s="202">
        <v>19</v>
      </c>
      <c r="B44" s="240">
        <v>44938</v>
      </c>
      <c r="C44" s="241">
        <v>1805002</v>
      </c>
      <c r="D44" s="240">
        <v>44937</v>
      </c>
      <c r="E44" s="983">
        <f t="shared" ref="E44" si="13">SUM(C44:C45)</f>
        <v>3909922</v>
      </c>
      <c r="F44" s="254"/>
    </row>
    <row r="45" spans="1:6">
      <c r="A45" s="202"/>
      <c r="B45" s="240">
        <v>44938</v>
      </c>
      <c r="C45" s="241">
        <v>2104920</v>
      </c>
      <c r="D45" s="240">
        <v>44937</v>
      </c>
      <c r="E45" s="984"/>
      <c r="F45" s="255"/>
    </row>
    <row r="46" spans="1:6">
      <c r="A46" s="202">
        <v>20</v>
      </c>
      <c r="B46" s="240">
        <v>44969</v>
      </c>
      <c r="C46" s="241">
        <v>1795425</v>
      </c>
      <c r="D46" s="240">
        <v>44970</v>
      </c>
      <c r="E46" s="983">
        <f t="shared" ref="E46" si="14">SUM(C46:C47)</f>
        <v>3909922</v>
      </c>
      <c r="F46" s="254"/>
    </row>
    <row r="47" spans="1:6">
      <c r="A47" s="202"/>
      <c r="B47" s="240">
        <v>44969</v>
      </c>
      <c r="C47" s="241">
        <v>2114497</v>
      </c>
      <c r="D47" s="240">
        <v>44970</v>
      </c>
      <c r="E47" s="984"/>
      <c r="F47" s="255"/>
    </row>
    <row r="48" spans="1:6">
      <c r="A48" s="202">
        <v>21</v>
      </c>
      <c r="B48" s="240">
        <v>44997</v>
      </c>
      <c r="C48" s="241">
        <v>1787183</v>
      </c>
      <c r="D48" s="240">
        <v>44998</v>
      </c>
      <c r="E48" s="983">
        <f t="shared" ref="E48" si="15">SUM(C48:C49)</f>
        <v>3909923</v>
      </c>
      <c r="F48" s="254"/>
    </row>
    <row r="49" spans="1:6">
      <c r="A49" s="202"/>
      <c r="B49" s="240">
        <v>44997</v>
      </c>
      <c r="C49" s="241">
        <v>2122740</v>
      </c>
      <c r="D49" s="240">
        <v>44998</v>
      </c>
      <c r="E49" s="984"/>
      <c r="F49" s="255"/>
    </row>
    <row r="50" spans="1:6">
      <c r="A50" s="202">
        <v>22</v>
      </c>
      <c r="B50" s="240">
        <v>45028</v>
      </c>
      <c r="C50" s="241">
        <v>1800120</v>
      </c>
      <c r="D50" s="240">
        <v>45027</v>
      </c>
      <c r="E50" s="983">
        <f t="shared" ref="E50" si="16">SUM(C50:C51)</f>
        <v>3909923</v>
      </c>
      <c r="F50" s="254"/>
    </row>
    <row r="51" spans="1:6">
      <c r="A51" s="202"/>
      <c r="B51" s="240">
        <v>45028</v>
      </c>
      <c r="C51" s="241">
        <v>2109803</v>
      </c>
      <c r="D51" s="240">
        <v>45027</v>
      </c>
      <c r="E51" s="984"/>
      <c r="F51" s="255"/>
    </row>
    <row r="52" spans="1:6">
      <c r="A52" s="202">
        <v>23</v>
      </c>
      <c r="B52" s="240">
        <v>45058</v>
      </c>
      <c r="C52" s="241">
        <v>1807123</v>
      </c>
      <c r="D52" s="240">
        <v>45057</v>
      </c>
      <c r="E52" s="983">
        <f t="shared" ref="E52" si="17">SUM(C52:C53)</f>
        <v>3909923</v>
      </c>
      <c r="F52" s="254"/>
    </row>
    <row r="53" spans="1:6">
      <c r="A53" s="202"/>
      <c r="B53" s="240">
        <v>45058</v>
      </c>
      <c r="C53" s="241">
        <v>2102800</v>
      </c>
      <c r="D53" s="240">
        <v>45057</v>
      </c>
      <c r="E53" s="984"/>
      <c r="F53" s="255"/>
    </row>
    <row r="54" spans="1:6">
      <c r="A54" s="202">
        <v>24</v>
      </c>
      <c r="B54" s="240">
        <v>45089</v>
      </c>
      <c r="C54" s="241">
        <v>1784274</v>
      </c>
      <c r="D54" s="240">
        <v>45089</v>
      </c>
      <c r="E54" s="986">
        <f t="shared" ref="E54:E117" si="18">SUM(C54:C55)</f>
        <v>3877766</v>
      </c>
      <c r="F54" s="254"/>
    </row>
    <row r="55" spans="1:6">
      <c r="A55" s="202"/>
      <c r="B55" s="240">
        <v>45089</v>
      </c>
      <c r="C55" s="241">
        <v>2093492</v>
      </c>
      <c r="D55" s="240">
        <v>45089</v>
      </c>
      <c r="E55" s="987"/>
      <c r="F55" s="255"/>
    </row>
    <row r="56" spans="1:6">
      <c r="A56" s="202"/>
      <c r="B56" s="240">
        <v>45089</v>
      </c>
      <c r="C56" s="241">
        <v>200000</v>
      </c>
      <c r="D56" s="240">
        <v>45096</v>
      </c>
      <c r="E56" s="252">
        <f>C56</f>
        <v>200000</v>
      </c>
      <c r="F56" s="253" t="s">
        <v>3241</v>
      </c>
    </row>
    <row r="57" spans="1:6">
      <c r="A57" s="202">
        <v>25</v>
      </c>
      <c r="B57" s="240">
        <v>45119</v>
      </c>
      <c r="C57" s="241">
        <v>1828745</v>
      </c>
      <c r="D57" s="240">
        <v>45118</v>
      </c>
      <c r="E57" s="983">
        <f t="shared" si="18"/>
        <v>3909923</v>
      </c>
      <c r="F57" s="252"/>
    </row>
    <row r="58" spans="1:6">
      <c r="A58" s="202"/>
      <c r="B58" s="240">
        <v>45119</v>
      </c>
      <c r="C58" s="241">
        <v>2081178</v>
      </c>
      <c r="D58" s="240">
        <v>45118</v>
      </c>
      <c r="E58" s="984"/>
      <c r="F58" s="239"/>
    </row>
    <row r="59" spans="1:6">
      <c r="A59" s="202">
        <v>26</v>
      </c>
      <c r="B59" s="240">
        <v>45150</v>
      </c>
      <c r="C59" s="241"/>
      <c r="D59" s="202"/>
      <c r="E59" s="983">
        <f t="shared" si="18"/>
        <v>0</v>
      </c>
      <c r="F59" s="252"/>
    </row>
    <row r="60" spans="1:6">
      <c r="A60" s="202"/>
      <c r="B60" s="240">
        <v>45150</v>
      </c>
      <c r="C60" s="241"/>
      <c r="D60" s="202"/>
      <c r="E60" s="984"/>
      <c r="F60" s="239"/>
    </row>
    <row r="61" spans="1:6">
      <c r="A61" s="202">
        <v>27</v>
      </c>
      <c r="B61" s="240">
        <v>45181</v>
      </c>
      <c r="C61" s="241"/>
      <c r="D61" s="202"/>
      <c r="E61" s="983">
        <f t="shared" si="18"/>
        <v>0</v>
      </c>
      <c r="F61" s="252"/>
    </row>
    <row r="62" spans="1:6">
      <c r="A62" s="202"/>
      <c r="B62" s="240"/>
      <c r="C62" s="241"/>
      <c r="D62" s="202"/>
      <c r="E62" s="984"/>
      <c r="F62" s="239"/>
    </row>
    <row r="63" spans="1:6">
      <c r="A63" s="202">
        <v>28</v>
      </c>
      <c r="B63" s="240">
        <v>45211</v>
      </c>
      <c r="C63" s="241"/>
      <c r="D63" s="202"/>
      <c r="E63" s="983">
        <f t="shared" si="18"/>
        <v>0</v>
      </c>
      <c r="F63" s="252"/>
    </row>
    <row r="64" spans="1:6">
      <c r="A64" s="202"/>
      <c r="B64" s="240"/>
      <c r="C64" s="241"/>
      <c r="D64" s="202"/>
      <c r="E64" s="984"/>
      <c r="F64" s="239"/>
    </row>
    <row r="65" spans="1:6">
      <c r="A65" s="202">
        <v>29</v>
      </c>
      <c r="B65" s="240">
        <v>45242</v>
      </c>
      <c r="C65" s="241"/>
      <c r="D65" s="202"/>
      <c r="E65" s="983">
        <f t="shared" si="18"/>
        <v>0</v>
      </c>
      <c r="F65" s="252"/>
    </row>
    <row r="66" spans="1:6">
      <c r="A66" s="202"/>
      <c r="B66" s="240"/>
      <c r="C66" s="241"/>
      <c r="D66" s="202"/>
      <c r="E66" s="984"/>
      <c r="F66" s="239"/>
    </row>
    <row r="67" spans="1:6">
      <c r="A67" s="202">
        <v>30</v>
      </c>
      <c r="B67" s="240">
        <v>45272</v>
      </c>
      <c r="C67" s="241"/>
      <c r="D67" s="202"/>
      <c r="E67" s="983">
        <f t="shared" si="18"/>
        <v>0</v>
      </c>
      <c r="F67" s="252"/>
    </row>
    <row r="68" spans="1:6">
      <c r="A68" s="202"/>
      <c r="B68" s="240"/>
      <c r="C68" s="241"/>
      <c r="D68" s="202"/>
      <c r="E68" s="984"/>
      <c r="F68" s="239"/>
    </row>
    <row r="69" spans="1:6">
      <c r="A69" s="202">
        <v>31</v>
      </c>
      <c r="B69" s="240">
        <v>45303</v>
      </c>
      <c r="C69" s="241"/>
      <c r="D69" s="202"/>
      <c r="E69" s="983">
        <f t="shared" si="18"/>
        <v>0</v>
      </c>
      <c r="F69" s="252"/>
    </row>
    <row r="70" spans="1:6">
      <c r="A70" s="202"/>
      <c r="B70" s="240"/>
      <c r="C70" s="241"/>
      <c r="D70" s="202"/>
      <c r="E70" s="984"/>
      <c r="F70" s="239"/>
    </row>
    <row r="71" spans="1:6">
      <c r="A71" s="202">
        <v>32</v>
      </c>
      <c r="B71" s="240">
        <v>45334</v>
      </c>
      <c r="C71" s="241"/>
      <c r="D71" s="202"/>
      <c r="E71" s="983">
        <f t="shared" si="18"/>
        <v>0</v>
      </c>
      <c r="F71" s="202"/>
    </row>
    <row r="72" spans="1:6">
      <c r="A72" s="202"/>
      <c r="B72" s="240"/>
      <c r="C72" s="241"/>
      <c r="D72" s="202"/>
      <c r="E72" s="984"/>
      <c r="F72" s="202"/>
    </row>
    <row r="73" spans="1:6">
      <c r="A73" s="202">
        <v>33</v>
      </c>
      <c r="B73" s="240">
        <v>45363</v>
      </c>
      <c r="C73" s="241"/>
      <c r="D73" s="202"/>
      <c r="E73" s="983">
        <f t="shared" si="18"/>
        <v>0</v>
      </c>
      <c r="F73" s="202"/>
    </row>
    <row r="74" spans="1:6">
      <c r="A74" s="202"/>
      <c r="B74" s="240"/>
      <c r="C74" s="241"/>
      <c r="D74" s="202"/>
      <c r="E74" s="984"/>
      <c r="F74" s="202"/>
    </row>
    <row r="75" spans="1:6">
      <c r="A75" s="202">
        <v>34</v>
      </c>
      <c r="B75" s="240">
        <v>45394</v>
      </c>
      <c r="C75" s="241"/>
      <c r="D75" s="202"/>
      <c r="E75" s="983">
        <f t="shared" si="18"/>
        <v>0</v>
      </c>
      <c r="F75" s="202"/>
    </row>
    <row r="76" spans="1:6">
      <c r="A76" s="202"/>
      <c r="B76" s="240"/>
      <c r="C76" s="241"/>
      <c r="D76" s="202"/>
      <c r="E76" s="984"/>
      <c r="F76" s="202"/>
    </row>
    <row r="77" spans="1:6">
      <c r="A77" s="202">
        <v>35</v>
      </c>
      <c r="B77" s="240">
        <v>45424</v>
      </c>
      <c r="C77" s="241"/>
      <c r="D77" s="202"/>
      <c r="E77" s="983">
        <f t="shared" si="18"/>
        <v>0</v>
      </c>
      <c r="F77" s="202"/>
    </row>
    <row r="78" spans="1:6">
      <c r="A78" s="202"/>
      <c r="B78" s="240"/>
      <c r="C78" s="241"/>
      <c r="D78" s="202"/>
      <c r="E78" s="984"/>
      <c r="F78" s="202"/>
    </row>
    <row r="79" spans="1:6">
      <c r="A79" s="202"/>
      <c r="B79" s="240"/>
      <c r="C79" s="241"/>
      <c r="D79" s="202"/>
      <c r="E79" s="983">
        <f t="shared" si="18"/>
        <v>0</v>
      </c>
      <c r="F79" s="202"/>
    </row>
    <row r="80" spans="1:6">
      <c r="A80" s="202">
        <v>36</v>
      </c>
      <c r="B80" s="240">
        <v>45455</v>
      </c>
      <c r="C80" s="241"/>
      <c r="D80" s="202"/>
      <c r="E80" s="984"/>
      <c r="F80" s="202"/>
    </row>
    <row r="81" spans="1:6">
      <c r="A81" s="202"/>
      <c r="B81" s="240"/>
      <c r="C81" s="241"/>
      <c r="D81" s="202"/>
      <c r="E81" s="983">
        <f t="shared" si="18"/>
        <v>0</v>
      </c>
      <c r="F81" s="202"/>
    </row>
    <row r="82" spans="1:6">
      <c r="A82" s="202">
        <v>37</v>
      </c>
      <c r="B82" s="240">
        <v>45485</v>
      </c>
      <c r="C82" s="241"/>
      <c r="D82" s="202"/>
      <c r="E82" s="984"/>
      <c r="F82" s="202"/>
    </row>
    <row r="83" spans="1:6">
      <c r="A83" s="202"/>
      <c r="B83" s="240"/>
      <c r="C83" s="241"/>
      <c r="D83" s="202"/>
      <c r="E83" s="983">
        <f t="shared" si="18"/>
        <v>0</v>
      </c>
      <c r="F83" s="202"/>
    </row>
    <row r="84" spans="1:6">
      <c r="A84" s="202">
        <v>38</v>
      </c>
      <c r="B84" s="240">
        <v>45516</v>
      </c>
      <c r="C84" s="241"/>
      <c r="D84" s="202"/>
      <c r="E84" s="984"/>
      <c r="F84" s="202"/>
    </row>
    <row r="85" spans="1:6">
      <c r="A85" s="202"/>
      <c r="B85" s="240"/>
      <c r="C85" s="241"/>
      <c r="D85" s="202"/>
      <c r="E85" s="983">
        <f t="shared" si="18"/>
        <v>0</v>
      </c>
      <c r="F85" s="202"/>
    </row>
    <row r="86" spans="1:6">
      <c r="A86" s="202">
        <v>39</v>
      </c>
      <c r="B86" s="240">
        <v>45547</v>
      </c>
      <c r="C86" s="241"/>
      <c r="D86" s="202"/>
      <c r="E86" s="984"/>
      <c r="F86" s="202"/>
    </row>
    <row r="87" spans="1:6">
      <c r="A87" s="202"/>
      <c r="B87" s="240"/>
      <c r="C87" s="241"/>
      <c r="D87" s="202"/>
      <c r="E87" s="983">
        <f t="shared" si="18"/>
        <v>0</v>
      </c>
      <c r="F87" s="202"/>
    </row>
    <row r="88" spans="1:6">
      <c r="A88" s="202">
        <v>40</v>
      </c>
      <c r="B88" s="240">
        <v>45577</v>
      </c>
      <c r="C88" s="241"/>
      <c r="D88" s="202"/>
      <c r="E88" s="984"/>
      <c r="F88" s="202"/>
    </row>
    <row r="89" spans="1:6">
      <c r="A89" s="202"/>
      <c r="B89" s="240"/>
      <c r="C89" s="241"/>
      <c r="D89" s="202"/>
      <c r="E89" s="983">
        <f t="shared" si="18"/>
        <v>0</v>
      </c>
      <c r="F89" s="202"/>
    </row>
    <row r="90" spans="1:6">
      <c r="A90" s="202">
        <v>41</v>
      </c>
      <c r="B90" s="240">
        <v>45608</v>
      </c>
      <c r="C90" s="241"/>
      <c r="D90" s="202"/>
      <c r="E90" s="984"/>
      <c r="F90" s="202"/>
    </row>
    <row r="91" spans="1:6">
      <c r="A91" s="202"/>
      <c r="B91" s="240"/>
      <c r="C91" s="241"/>
      <c r="D91" s="202"/>
      <c r="E91" s="983">
        <f t="shared" si="18"/>
        <v>0</v>
      </c>
      <c r="F91" s="202"/>
    </row>
    <row r="92" spans="1:6">
      <c r="A92" s="202">
        <v>42</v>
      </c>
      <c r="B92" s="240">
        <v>45638</v>
      </c>
      <c r="C92" s="241"/>
      <c r="D92" s="202"/>
      <c r="E92" s="984"/>
      <c r="F92" s="202"/>
    </row>
    <row r="93" spans="1:6">
      <c r="A93" s="202"/>
      <c r="B93" s="240"/>
      <c r="C93" s="241"/>
      <c r="D93" s="202"/>
      <c r="E93" s="983">
        <f t="shared" si="18"/>
        <v>0</v>
      </c>
      <c r="F93" s="202"/>
    </row>
    <row r="94" spans="1:6">
      <c r="A94" s="202">
        <v>43</v>
      </c>
      <c r="B94" s="240">
        <v>45669</v>
      </c>
      <c r="C94" s="241"/>
      <c r="D94" s="202"/>
      <c r="E94" s="984"/>
      <c r="F94" s="202"/>
    </row>
    <row r="95" spans="1:6">
      <c r="A95" s="202"/>
      <c r="B95" s="240"/>
      <c r="C95" s="241"/>
      <c r="D95" s="202"/>
      <c r="E95" s="983">
        <f t="shared" si="18"/>
        <v>0</v>
      </c>
      <c r="F95" s="202"/>
    </row>
    <row r="96" spans="1:6">
      <c r="A96" s="202">
        <v>44</v>
      </c>
      <c r="B96" s="240">
        <v>45700</v>
      </c>
      <c r="C96" s="241"/>
      <c r="D96" s="202"/>
      <c r="E96" s="984"/>
      <c r="F96" s="202"/>
    </row>
    <row r="97" spans="1:6">
      <c r="A97" s="202"/>
      <c r="B97" s="240"/>
      <c r="C97" s="241"/>
      <c r="D97" s="202"/>
      <c r="E97" s="983">
        <f t="shared" si="18"/>
        <v>0</v>
      </c>
      <c r="F97" s="202"/>
    </row>
    <row r="98" spans="1:6">
      <c r="A98" s="202">
        <v>45</v>
      </c>
      <c r="B98" s="240">
        <v>45728</v>
      </c>
      <c r="C98" s="241"/>
      <c r="D98" s="202"/>
      <c r="E98" s="984"/>
      <c r="F98" s="202"/>
    </row>
    <row r="99" spans="1:6">
      <c r="A99" s="202"/>
      <c r="B99" s="240"/>
      <c r="C99" s="241"/>
      <c r="D99" s="202"/>
      <c r="E99" s="983">
        <f t="shared" si="18"/>
        <v>0</v>
      </c>
      <c r="F99" s="202"/>
    </row>
    <row r="100" spans="1:6">
      <c r="A100" s="202">
        <v>46</v>
      </c>
      <c r="B100" s="240">
        <v>45759</v>
      </c>
      <c r="C100" s="241"/>
      <c r="D100" s="202"/>
      <c r="E100" s="984"/>
      <c r="F100" s="202"/>
    </row>
    <row r="101" spans="1:6">
      <c r="A101" s="202"/>
      <c r="B101" s="240"/>
      <c r="C101" s="241"/>
      <c r="D101" s="202"/>
      <c r="E101" s="983">
        <f t="shared" si="18"/>
        <v>0</v>
      </c>
      <c r="F101" s="202"/>
    </row>
    <row r="102" spans="1:6">
      <c r="A102" s="202">
        <v>47</v>
      </c>
      <c r="B102" s="240">
        <v>45789</v>
      </c>
      <c r="C102" s="241"/>
      <c r="D102" s="202"/>
      <c r="E102" s="984"/>
      <c r="F102" s="202"/>
    </row>
    <row r="103" spans="1:6">
      <c r="A103" s="202"/>
      <c r="B103" s="240"/>
      <c r="C103" s="241"/>
      <c r="D103" s="202"/>
      <c r="E103" s="983">
        <f t="shared" si="18"/>
        <v>0</v>
      </c>
      <c r="F103" s="202"/>
    </row>
    <row r="104" spans="1:6">
      <c r="A104" s="202">
        <v>48</v>
      </c>
      <c r="B104" s="240">
        <v>45820</v>
      </c>
      <c r="C104" s="241"/>
      <c r="D104" s="202"/>
      <c r="E104" s="984"/>
      <c r="F104" s="202"/>
    </row>
    <row r="105" spans="1:6">
      <c r="A105" s="202"/>
      <c r="B105" s="240"/>
      <c r="C105" s="241"/>
      <c r="D105" s="202"/>
      <c r="E105" s="983">
        <f t="shared" si="18"/>
        <v>0</v>
      </c>
      <c r="F105" s="202"/>
    </row>
    <row r="106" spans="1:6">
      <c r="A106" s="202">
        <v>49</v>
      </c>
      <c r="B106" s="240">
        <v>45850</v>
      </c>
      <c r="C106" s="241"/>
      <c r="D106" s="202"/>
      <c r="E106" s="984"/>
      <c r="F106" s="202"/>
    </row>
    <row r="107" spans="1:6">
      <c r="A107" s="202"/>
      <c r="B107" s="240"/>
      <c r="C107" s="241"/>
      <c r="D107" s="202"/>
      <c r="E107" s="983">
        <f t="shared" si="18"/>
        <v>0</v>
      </c>
      <c r="F107" s="202"/>
    </row>
    <row r="108" spans="1:6">
      <c r="A108" s="202">
        <v>50</v>
      </c>
      <c r="B108" s="240">
        <v>45881</v>
      </c>
      <c r="C108" s="241"/>
      <c r="D108" s="202"/>
      <c r="E108" s="984"/>
      <c r="F108" s="202"/>
    </row>
    <row r="109" spans="1:6">
      <c r="A109" s="202"/>
      <c r="B109" s="240"/>
      <c r="C109" s="241"/>
      <c r="D109" s="202"/>
      <c r="E109" s="983">
        <f t="shared" si="18"/>
        <v>0</v>
      </c>
      <c r="F109" s="202"/>
    </row>
    <row r="110" spans="1:6">
      <c r="A110" s="202">
        <v>51</v>
      </c>
      <c r="B110" s="240">
        <v>45912</v>
      </c>
      <c r="C110" s="241"/>
      <c r="D110" s="202"/>
      <c r="E110" s="984"/>
      <c r="F110" s="202"/>
    </row>
    <row r="111" spans="1:6">
      <c r="A111" s="202"/>
      <c r="B111" s="240"/>
      <c r="C111" s="241"/>
      <c r="D111" s="202"/>
      <c r="E111" s="983">
        <f t="shared" si="18"/>
        <v>0</v>
      </c>
      <c r="F111" s="202"/>
    </row>
    <row r="112" spans="1:6">
      <c r="A112" s="202">
        <v>52</v>
      </c>
      <c r="B112" s="240">
        <v>45942</v>
      </c>
      <c r="C112" s="241"/>
      <c r="D112" s="202"/>
      <c r="E112" s="984"/>
      <c r="F112" s="202"/>
    </row>
    <row r="113" spans="1:6">
      <c r="A113" s="202"/>
      <c r="B113" s="240"/>
      <c r="C113" s="241"/>
      <c r="D113" s="202"/>
      <c r="E113" s="983">
        <f t="shared" si="18"/>
        <v>0</v>
      </c>
      <c r="F113" s="202"/>
    </row>
    <row r="114" spans="1:6">
      <c r="A114" s="202">
        <v>53</v>
      </c>
      <c r="B114" s="240">
        <v>45973</v>
      </c>
      <c r="C114" s="241"/>
      <c r="D114" s="202"/>
      <c r="E114" s="984"/>
      <c r="F114" s="202"/>
    </row>
    <row r="115" spans="1:6">
      <c r="A115" s="202"/>
      <c r="B115" s="240"/>
      <c r="C115" s="241"/>
      <c r="D115" s="202"/>
      <c r="E115" s="983">
        <f t="shared" si="18"/>
        <v>0</v>
      </c>
      <c r="F115" s="202"/>
    </row>
    <row r="116" spans="1:6">
      <c r="A116" s="202">
        <v>54</v>
      </c>
      <c r="B116" s="240">
        <v>46003</v>
      </c>
      <c r="C116" s="241"/>
      <c r="D116" s="202"/>
      <c r="E116" s="984"/>
      <c r="F116" s="202"/>
    </row>
    <row r="117" spans="1:6">
      <c r="A117" s="202"/>
      <c r="B117" s="240"/>
      <c r="C117" s="241"/>
      <c r="D117" s="202"/>
      <c r="E117" s="983">
        <f t="shared" si="18"/>
        <v>0</v>
      </c>
      <c r="F117" s="202"/>
    </row>
    <row r="118" spans="1:6">
      <c r="A118" s="202"/>
      <c r="B118" s="240"/>
      <c r="C118" s="241"/>
      <c r="D118" s="202"/>
      <c r="E118" s="984"/>
      <c r="F118" s="202"/>
    </row>
    <row r="119" spans="1:6">
      <c r="A119" s="202">
        <v>55</v>
      </c>
      <c r="B119" s="240">
        <v>46034</v>
      </c>
      <c r="C119" s="241"/>
      <c r="D119" s="202"/>
      <c r="E119" s="983">
        <f t="shared" ref="E119:E181" si="19">SUM(C119:C120)</f>
        <v>0</v>
      </c>
      <c r="F119" s="202"/>
    </row>
    <row r="120" spans="1:6">
      <c r="A120" s="202"/>
      <c r="B120" s="240"/>
      <c r="C120" s="241"/>
      <c r="D120" s="202"/>
      <c r="E120" s="984"/>
      <c r="F120" s="202"/>
    </row>
    <row r="121" spans="1:6">
      <c r="A121" s="202">
        <v>56</v>
      </c>
      <c r="B121" s="240">
        <v>46065</v>
      </c>
      <c r="C121" s="241"/>
      <c r="D121" s="202"/>
      <c r="E121" s="983">
        <f t="shared" si="19"/>
        <v>0</v>
      </c>
      <c r="F121" s="202"/>
    </row>
    <row r="122" spans="1:6">
      <c r="A122" s="202"/>
      <c r="B122" s="240"/>
      <c r="C122" s="241"/>
      <c r="D122" s="202"/>
      <c r="E122" s="984"/>
      <c r="F122" s="202"/>
    </row>
    <row r="123" spans="1:6">
      <c r="A123" s="202">
        <v>57</v>
      </c>
      <c r="B123" s="240">
        <v>46093</v>
      </c>
      <c r="C123" s="241"/>
      <c r="D123" s="202"/>
      <c r="E123" s="983">
        <f t="shared" si="19"/>
        <v>0</v>
      </c>
      <c r="F123" s="202"/>
    </row>
    <row r="124" spans="1:6">
      <c r="A124" s="202"/>
      <c r="B124" s="240"/>
      <c r="C124" s="241"/>
      <c r="D124" s="202"/>
      <c r="E124" s="984"/>
      <c r="F124" s="202"/>
    </row>
    <row r="125" spans="1:6">
      <c r="A125" s="202">
        <v>58</v>
      </c>
      <c r="B125" s="240">
        <v>46124</v>
      </c>
      <c r="C125" s="241"/>
      <c r="D125" s="202"/>
      <c r="E125" s="983">
        <f t="shared" si="19"/>
        <v>0</v>
      </c>
      <c r="F125" s="202"/>
    </row>
    <row r="126" spans="1:6">
      <c r="A126" s="202"/>
      <c r="B126" s="240"/>
      <c r="C126" s="241"/>
      <c r="D126" s="202"/>
      <c r="E126" s="984"/>
      <c r="F126" s="202"/>
    </row>
    <row r="127" spans="1:6">
      <c r="A127" s="202">
        <v>59</v>
      </c>
      <c r="B127" s="240">
        <v>46154</v>
      </c>
      <c r="C127" s="241"/>
      <c r="D127" s="202"/>
      <c r="E127" s="983">
        <f t="shared" si="19"/>
        <v>0</v>
      </c>
      <c r="F127" s="202"/>
    </row>
    <row r="128" spans="1:6">
      <c r="A128" s="202"/>
      <c r="B128" s="240"/>
      <c r="C128" s="241"/>
      <c r="D128" s="202"/>
      <c r="E128" s="984"/>
      <c r="F128" s="202"/>
    </row>
    <row r="129" spans="1:6">
      <c r="A129" s="202">
        <v>60</v>
      </c>
      <c r="B129" s="240">
        <v>46185</v>
      </c>
      <c r="C129" s="241"/>
      <c r="D129" s="202"/>
      <c r="E129" s="983">
        <f t="shared" si="19"/>
        <v>0</v>
      </c>
      <c r="F129" s="202"/>
    </row>
    <row r="130" spans="1:6">
      <c r="A130" s="202"/>
      <c r="B130" s="240"/>
      <c r="C130" s="241"/>
      <c r="D130" s="202"/>
      <c r="E130" s="984"/>
      <c r="F130" s="202"/>
    </row>
    <row r="131" spans="1:6">
      <c r="A131" s="202">
        <v>61</v>
      </c>
      <c r="B131" s="240">
        <v>46215</v>
      </c>
      <c r="C131" s="241"/>
      <c r="D131" s="202"/>
      <c r="E131" s="983">
        <f t="shared" si="19"/>
        <v>0</v>
      </c>
      <c r="F131" s="202"/>
    </row>
    <row r="132" spans="1:6">
      <c r="A132" s="202"/>
      <c r="B132" s="240"/>
      <c r="C132" s="241"/>
      <c r="D132" s="202"/>
      <c r="E132" s="984"/>
      <c r="F132" s="202"/>
    </row>
    <row r="133" spans="1:6">
      <c r="A133" s="202">
        <v>62</v>
      </c>
      <c r="B133" s="240">
        <v>46246</v>
      </c>
      <c r="C133" s="241"/>
      <c r="D133" s="202"/>
      <c r="E133" s="983">
        <f t="shared" si="19"/>
        <v>0</v>
      </c>
      <c r="F133" s="202"/>
    </row>
    <row r="134" spans="1:6">
      <c r="A134" s="202"/>
      <c r="B134" s="240"/>
      <c r="C134" s="241"/>
      <c r="D134" s="202"/>
      <c r="E134" s="984"/>
      <c r="F134" s="202"/>
    </row>
    <row r="135" spans="1:6">
      <c r="A135" s="202">
        <v>63</v>
      </c>
      <c r="B135" s="240">
        <v>46277</v>
      </c>
      <c r="C135" s="241"/>
      <c r="D135" s="202"/>
      <c r="E135" s="983">
        <f t="shared" si="19"/>
        <v>0</v>
      </c>
      <c r="F135" s="202"/>
    </row>
    <row r="136" spans="1:6">
      <c r="A136" s="202"/>
      <c r="B136" s="240"/>
      <c r="C136" s="241"/>
      <c r="D136" s="202"/>
      <c r="E136" s="984"/>
      <c r="F136" s="202"/>
    </row>
    <row r="137" spans="1:6">
      <c r="A137" s="202">
        <v>64</v>
      </c>
      <c r="B137" s="240">
        <v>46307</v>
      </c>
      <c r="C137" s="241"/>
      <c r="D137" s="202"/>
      <c r="E137" s="983">
        <f t="shared" si="19"/>
        <v>0</v>
      </c>
      <c r="F137" s="202"/>
    </row>
    <row r="138" spans="1:6">
      <c r="A138" s="202"/>
      <c r="B138" s="240"/>
      <c r="C138" s="241"/>
      <c r="D138" s="202"/>
      <c r="E138" s="984"/>
      <c r="F138" s="202"/>
    </row>
    <row r="139" spans="1:6">
      <c r="A139" s="202">
        <v>65</v>
      </c>
      <c r="B139" s="240">
        <v>46338</v>
      </c>
      <c r="C139" s="241"/>
      <c r="D139" s="202"/>
      <c r="E139" s="983">
        <f t="shared" si="19"/>
        <v>0</v>
      </c>
      <c r="F139" s="202"/>
    </row>
    <row r="140" spans="1:6">
      <c r="A140" s="202"/>
      <c r="B140" s="240"/>
      <c r="C140" s="241"/>
      <c r="D140" s="202"/>
      <c r="E140" s="984"/>
      <c r="F140" s="202"/>
    </row>
    <row r="141" spans="1:6">
      <c r="A141" s="202">
        <v>66</v>
      </c>
      <c r="B141" s="240">
        <v>46368</v>
      </c>
      <c r="C141" s="241"/>
      <c r="D141" s="202"/>
      <c r="E141" s="983">
        <f t="shared" si="19"/>
        <v>0</v>
      </c>
      <c r="F141" s="202"/>
    </row>
    <row r="142" spans="1:6">
      <c r="A142" s="202"/>
      <c r="B142" s="240"/>
      <c r="C142" s="241"/>
      <c r="D142" s="202"/>
      <c r="E142" s="984"/>
      <c r="F142" s="202"/>
    </row>
    <row r="143" spans="1:6">
      <c r="A143" s="202">
        <v>67</v>
      </c>
      <c r="B143" s="240">
        <v>46399</v>
      </c>
      <c r="C143" s="241"/>
      <c r="D143" s="202"/>
      <c r="E143" s="983">
        <f t="shared" si="19"/>
        <v>0</v>
      </c>
      <c r="F143" s="202"/>
    </row>
    <row r="144" spans="1:6">
      <c r="A144" s="202"/>
      <c r="B144" s="240"/>
      <c r="C144" s="241"/>
      <c r="D144" s="202"/>
      <c r="E144" s="984"/>
      <c r="F144" s="202"/>
    </row>
    <row r="145" spans="1:6">
      <c r="A145" s="202">
        <v>68</v>
      </c>
      <c r="B145" s="240">
        <v>46430</v>
      </c>
      <c r="C145" s="241"/>
      <c r="D145" s="202"/>
      <c r="E145" s="983">
        <f t="shared" si="19"/>
        <v>0</v>
      </c>
      <c r="F145" s="202"/>
    </row>
    <row r="146" spans="1:6">
      <c r="A146" s="202"/>
      <c r="B146" s="240"/>
      <c r="C146" s="241"/>
      <c r="D146" s="202"/>
      <c r="E146" s="984"/>
      <c r="F146" s="202"/>
    </row>
    <row r="147" spans="1:6">
      <c r="A147" s="202">
        <v>69</v>
      </c>
      <c r="B147" s="240">
        <v>46458</v>
      </c>
      <c r="C147" s="241"/>
      <c r="D147" s="202"/>
      <c r="E147" s="983">
        <f t="shared" si="19"/>
        <v>0</v>
      </c>
      <c r="F147" s="202"/>
    </row>
    <row r="148" spans="1:6">
      <c r="A148" s="202"/>
      <c r="B148" s="240"/>
      <c r="C148" s="241"/>
      <c r="D148" s="202"/>
      <c r="E148" s="984"/>
      <c r="F148" s="202"/>
    </row>
    <row r="149" spans="1:6">
      <c r="A149" s="202">
        <v>70</v>
      </c>
      <c r="B149" s="240">
        <v>46489</v>
      </c>
      <c r="C149" s="241"/>
      <c r="D149" s="202"/>
      <c r="E149" s="983">
        <f t="shared" si="19"/>
        <v>0</v>
      </c>
      <c r="F149" s="202"/>
    </row>
    <row r="150" spans="1:6">
      <c r="A150" s="202"/>
      <c r="B150" s="240"/>
      <c r="C150" s="241"/>
      <c r="D150" s="202"/>
      <c r="E150" s="984"/>
      <c r="F150" s="202"/>
    </row>
    <row r="151" spans="1:6">
      <c r="A151" s="202">
        <v>71</v>
      </c>
      <c r="B151" s="240">
        <v>46519</v>
      </c>
      <c r="C151" s="241"/>
      <c r="D151" s="202"/>
      <c r="E151" s="983">
        <f t="shared" si="19"/>
        <v>0</v>
      </c>
      <c r="F151" s="202"/>
    </row>
    <row r="152" spans="1:6">
      <c r="A152" s="202"/>
      <c r="B152" s="240"/>
      <c r="C152" s="241"/>
      <c r="D152" s="202"/>
      <c r="E152" s="984"/>
      <c r="F152" s="202"/>
    </row>
    <row r="153" spans="1:6">
      <c r="A153" s="202">
        <v>72</v>
      </c>
      <c r="B153" s="240">
        <v>46550</v>
      </c>
      <c r="C153" s="241"/>
      <c r="D153" s="202"/>
      <c r="E153" s="983">
        <f t="shared" si="19"/>
        <v>0</v>
      </c>
      <c r="F153" s="202"/>
    </row>
    <row r="154" spans="1:6">
      <c r="A154" s="202"/>
      <c r="B154" s="240"/>
      <c r="C154" s="241"/>
      <c r="D154" s="202"/>
      <c r="E154" s="984"/>
      <c r="F154" s="202"/>
    </row>
    <row r="155" spans="1:6">
      <c r="A155" s="202">
        <v>73</v>
      </c>
      <c r="B155" s="240">
        <v>46580</v>
      </c>
      <c r="C155" s="241"/>
      <c r="D155" s="202"/>
      <c r="E155" s="983">
        <f t="shared" si="19"/>
        <v>0</v>
      </c>
      <c r="F155" s="202"/>
    </row>
    <row r="156" spans="1:6">
      <c r="A156" s="202"/>
      <c r="B156" s="240"/>
      <c r="C156" s="241"/>
      <c r="D156" s="202"/>
      <c r="E156" s="984"/>
      <c r="F156" s="202"/>
    </row>
    <row r="157" spans="1:6">
      <c r="A157" s="202">
        <v>74</v>
      </c>
      <c r="B157" s="240">
        <v>46611</v>
      </c>
      <c r="C157" s="241"/>
      <c r="D157" s="202"/>
      <c r="E157" s="983">
        <f t="shared" si="19"/>
        <v>0</v>
      </c>
      <c r="F157" s="202"/>
    </row>
    <row r="158" spans="1:6">
      <c r="A158" s="202"/>
      <c r="B158" s="240"/>
      <c r="C158" s="241"/>
      <c r="D158" s="202"/>
      <c r="E158" s="984"/>
      <c r="F158" s="202"/>
    </row>
    <row r="159" spans="1:6">
      <c r="A159" s="202">
        <v>75</v>
      </c>
      <c r="B159" s="240">
        <v>46642</v>
      </c>
      <c r="C159" s="241"/>
      <c r="D159" s="202"/>
      <c r="E159" s="983">
        <f t="shared" si="19"/>
        <v>0</v>
      </c>
      <c r="F159" s="202"/>
    </row>
    <row r="160" spans="1:6">
      <c r="A160" s="202"/>
      <c r="B160" s="240"/>
      <c r="C160" s="241"/>
      <c r="D160" s="202"/>
      <c r="E160" s="984"/>
      <c r="F160" s="202"/>
    </row>
    <row r="161" spans="1:6">
      <c r="A161" s="202">
        <v>76</v>
      </c>
      <c r="B161" s="240">
        <v>46672</v>
      </c>
      <c r="C161" s="241"/>
      <c r="D161" s="202"/>
      <c r="E161" s="983">
        <f t="shared" si="19"/>
        <v>0</v>
      </c>
      <c r="F161" s="202"/>
    </row>
    <row r="162" spans="1:6">
      <c r="A162" s="202"/>
      <c r="B162" s="240"/>
      <c r="C162" s="241"/>
      <c r="D162" s="202"/>
      <c r="E162" s="984"/>
      <c r="F162" s="202"/>
    </row>
    <row r="163" spans="1:6">
      <c r="A163" s="202">
        <v>77</v>
      </c>
      <c r="B163" s="240">
        <v>46703</v>
      </c>
      <c r="C163" s="241"/>
      <c r="D163" s="202"/>
      <c r="E163" s="983">
        <f t="shared" si="19"/>
        <v>0</v>
      </c>
      <c r="F163" s="202"/>
    </row>
    <row r="164" spans="1:6">
      <c r="A164" s="202"/>
      <c r="B164" s="240"/>
      <c r="C164" s="241"/>
      <c r="D164" s="202"/>
      <c r="E164" s="984"/>
      <c r="F164" s="202"/>
    </row>
    <row r="165" spans="1:6">
      <c r="A165" s="202">
        <v>78</v>
      </c>
      <c r="B165" s="240">
        <v>46733</v>
      </c>
      <c r="C165" s="241"/>
      <c r="D165" s="202"/>
      <c r="E165" s="983">
        <f t="shared" si="19"/>
        <v>0</v>
      </c>
      <c r="F165" s="202"/>
    </row>
    <row r="166" spans="1:6">
      <c r="A166" s="202"/>
      <c r="B166" s="240"/>
      <c r="C166" s="241"/>
      <c r="D166" s="202"/>
      <c r="E166" s="984"/>
      <c r="F166" s="202"/>
    </row>
    <row r="167" spans="1:6">
      <c r="A167" s="202">
        <v>79</v>
      </c>
      <c r="B167" s="240">
        <v>46764</v>
      </c>
      <c r="C167" s="241"/>
      <c r="D167" s="202"/>
      <c r="E167" s="983">
        <f t="shared" si="19"/>
        <v>0</v>
      </c>
      <c r="F167" s="202"/>
    </row>
    <row r="168" spans="1:6">
      <c r="A168" s="202"/>
      <c r="B168" s="240"/>
      <c r="C168" s="241"/>
      <c r="D168" s="202"/>
      <c r="E168" s="984"/>
      <c r="F168" s="202"/>
    </row>
    <row r="169" spans="1:6">
      <c r="A169" s="202">
        <v>80</v>
      </c>
      <c r="B169" s="240">
        <v>46795</v>
      </c>
      <c r="C169" s="241"/>
      <c r="D169" s="202"/>
      <c r="E169" s="983">
        <f t="shared" si="19"/>
        <v>0</v>
      </c>
      <c r="F169" s="202"/>
    </row>
    <row r="170" spans="1:6">
      <c r="A170" s="202"/>
      <c r="B170" s="240"/>
      <c r="C170" s="241"/>
      <c r="D170" s="202"/>
      <c r="E170" s="984"/>
      <c r="F170" s="202"/>
    </row>
    <row r="171" spans="1:6">
      <c r="A171" s="202"/>
      <c r="B171" s="240"/>
      <c r="C171" s="241"/>
      <c r="D171" s="202"/>
      <c r="E171" s="983">
        <f t="shared" si="19"/>
        <v>0</v>
      </c>
      <c r="F171" s="202"/>
    </row>
    <row r="172" spans="1:6">
      <c r="A172" s="202">
        <v>81</v>
      </c>
      <c r="B172" s="240">
        <v>46824</v>
      </c>
      <c r="C172" s="241"/>
      <c r="D172" s="202"/>
      <c r="E172" s="984"/>
      <c r="F172" s="202"/>
    </row>
    <row r="173" spans="1:6">
      <c r="A173" s="202"/>
      <c r="B173" s="240"/>
      <c r="C173" s="241"/>
      <c r="D173" s="202"/>
      <c r="E173" s="983">
        <f t="shared" si="19"/>
        <v>0</v>
      </c>
      <c r="F173" s="202"/>
    </row>
    <row r="174" spans="1:6">
      <c r="A174" s="202">
        <v>82</v>
      </c>
      <c r="B174" s="240">
        <v>46855</v>
      </c>
      <c r="C174" s="241"/>
      <c r="D174" s="202"/>
      <c r="E174" s="984"/>
      <c r="F174" s="202"/>
    </row>
    <row r="175" spans="1:6">
      <c r="A175" s="202"/>
      <c r="B175" s="240"/>
      <c r="C175" s="241"/>
      <c r="D175" s="202"/>
      <c r="E175" s="983">
        <f t="shared" si="19"/>
        <v>0</v>
      </c>
      <c r="F175" s="202"/>
    </row>
    <row r="176" spans="1:6">
      <c r="A176" s="202">
        <v>83</v>
      </c>
      <c r="B176" s="240">
        <v>46885</v>
      </c>
      <c r="C176" s="241"/>
      <c r="D176" s="202"/>
      <c r="E176" s="984"/>
      <c r="F176" s="202"/>
    </row>
    <row r="177" spans="1:6">
      <c r="A177" s="202"/>
      <c r="B177" s="240"/>
      <c r="C177" s="241"/>
      <c r="D177" s="202"/>
      <c r="E177" s="983">
        <f t="shared" si="19"/>
        <v>0</v>
      </c>
      <c r="F177" s="202"/>
    </row>
    <row r="178" spans="1:6">
      <c r="A178" s="202">
        <v>84</v>
      </c>
      <c r="B178" s="240">
        <v>46916</v>
      </c>
      <c r="C178" s="241"/>
      <c r="D178" s="202"/>
      <c r="E178" s="984"/>
      <c r="F178" s="202"/>
    </row>
    <row r="179" spans="1:6">
      <c r="A179" s="202"/>
      <c r="B179" s="240"/>
      <c r="C179" s="241"/>
      <c r="D179" s="202"/>
      <c r="E179" s="983">
        <f t="shared" si="19"/>
        <v>0</v>
      </c>
      <c r="F179" s="202"/>
    </row>
    <row r="180" spans="1:6">
      <c r="A180" s="202">
        <v>85</v>
      </c>
      <c r="B180" s="240">
        <v>46946</v>
      </c>
      <c r="C180" s="241"/>
      <c r="D180" s="202"/>
      <c r="E180" s="984"/>
      <c r="F180" s="202"/>
    </row>
    <row r="181" spans="1:6">
      <c r="A181" s="202"/>
      <c r="B181" s="240"/>
      <c r="C181" s="241"/>
      <c r="D181" s="202"/>
      <c r="E181" s="983">
        <f t="shared" si="19"/>
        <v>0</v>
      </c>
      <c r="F181" s="202"/>
    </row>
    <row r="182" spans="1:6">
      <c r="A182" s="202">
        <v>86</v>
      </c>
      <c r="B182" s="240">
        <v>46977</v>
      </c>
      <c r="C182" s="241"/>
      <c r="D182" s="202"/>
      <c r="E182" s="984"/>
      <c r="F182" s="202"/>
    </row>
    <row r="183" spans="1:6">
      <c r="A183" s="202"/>
      <c r="B183" s="240"/>
      <c r="C183" s="241"/>
      <c r="D183" s="202"/>
      <c r="E183" s="983">
        <f t="shared" ref="E183:E245" si="20">SUM(C183:C184)</f>
        <v>0</v>
      </c>
      <c r="F183" s="202"/>
    </row>
    <row r="184" spans="1:6">
      <c r="A184" s="202">
        <v>87</v>
      </c>
      <c r="B184" s="240">
        <v>47008</v>
      </c>
      <c r="C184" s="241"/>
      <c r="D184" s="202"/>
      <c r="E184" s="984"/>
      <c r="F184" s="202"/>
    </row>
    <row r="185" spans="1:6">
      <c r="A185" s="202"/>
      <c r="B185" s="240"/>
      <c r="C185" s="241"/>
      <c r="D185" s="202"/>
      <c r="E185" s="983">
        <f t="shared" si="20"/>
        <v>0</v>
      </c>
      <c r="F185" s="202"/>
    </row>
    <row r="186" spans="1:6">
      <c r="A186" s="202">
        <v>88</v>
      </c>
      <c r="B186" s="240">
        <v>47038</v>
      </c>
      <c r="C186" s="241"/>
      <c r="D186" s="202"/>
      <c r="E186" s="984"/>
      <c r="F186" s="202"/>
    </row>
    <row r="187" spans="1:6">
      <c r="A187" s="202"/>
      <c r="B187" s="240"/>
      <c r="C187" s="241"/>
      <c r="D187" s="202"/>
      <c r="E187" s="983">
        <f t="shared" si="20"/>
        <v>0</v>
      </c>
      <c r="F187" s="202"/>
    </row>
    <row r="188" spans="1:6">
      <c r="A188" s="202">
        <v>89</v>
      </c>
      <c r="B188" s="240">
        <v>47069</v>
      </c>
      <c r="C188" s="241"/>
      <c r="D188" s="202"/>
      <c r="E188" s="984"/>
      <c r="F188" s="202"/>
    </row>
    <row r="189" spans="1:6">
      <c r="A189" s="202"/>
      <c r="B189" s="240"/>
      <c r="C189" s="241"/>
      <c r="D189" s="202"/>
      <c r="E189" s="983">
        <f t="shared" si="20"/>
        <v>0</v>
      </c>
      <c r="F189" s="202"/>
    </row>
    <row r="190" spans="1:6">
      <c r="A190" s="202">
        <v>90</v>
      </c>
      <c r="B190" s="240">
        <v>47099</v>
      </c>
      <c r="C190" s="241"/>
      <c r="D190" s="202"/>
      <c r="E190" s="984"/>
      <c r="F190" s="202"/>
    </row>
    <row r="191" spans="1:6">
      <c r="A191" s="202"/>
      <c r="B191" s="240"/>
      <c r="C191" s="241"/>
      <c r="D191" s="202"/>
      <c r="E191" s="983">
        <f t="shared" si="20"/>
        <v>0</v>
      </c>
      <c r="F191" s="202"/>
    </row>
    <row r="192" spans="1:6">
      <c r="A192" s="202">
        <v>91</v>
      </c>
      <c r="B192" s="240">
        <v>47130</v>
      </c>
      <c r="C192" s="241"/>
      <c r="D192" s="202"/>
      <c r="E192" s="984"/>
      <c r="F192" s="202"/>
    </row>
    <row r="193" spans="1:6">
      <c r="A193" s="202"/>
      <c r="B193" s="240"/>
      <c r="C193" s="241"/>
      <c r="D193" s="202"/>
      <c r="E193" s="983">
        <f t="shared" si="20"/>
        <v>0</v>
      </c>
      <c r="F193" s="202"/>
    </row>
    <row r="194" spans="1:6">
      <c r="A194" s="202">
        <v>92</v>
      </c>
      <c r="B194" s="240">
        <v>47161</v>
      </c>
      <c r="C194" s="241"/>
      <c r="D194" s="202"/>
      <c r="E194" s="984"/>
      <c r="F194" s="202"/>
    </row>
    <row r="195" spans="1:6">
      <c r="A195" s="202"/>
      <c r="B195" s="240"/>
      <c r="C195" s="241"/>
      <c r="D195" s="202"/>
      <c r="E195" s="983">
        <f t="shared" si="20"/>
        <v>0</v>
      </c>
      <c r="F195" s="202"/>
    </row>
    <row r="196" spans="1:6">
      <c r="A196" s="202"/>
      <c r="B196" s="240"/>
      <c r="C196" s="241"/>
      <c r="D196" s="202"/>
      <c r="E196" s="984"/>
      <c r="F196" s="202"/>
    </row>
    <row r="197" spans="1:6">
      <c r="A197" s="202">
        <v>93</v>
      </c>
      <c r="B197" s="240">
        <v>47189</v>
      </c>
      <c r="C197" s="241"/>
      <c r="D197" s="202"/>
      <c r="E197" s="983">
        <f t="shared" si="20"/>
        <v>0</v>
      </c>
      <c r="F197" s="202"/>
    </row>
    <row r="198" spans="1:6">
      <c r="A198" s="202"/>
      <c r="B198" s="240"/>
      <c r="C198" s="241"/>
      <c r="D198" s="202"/>
      <c r="E198" s="984"/>
      <c r="F198" s="202"/>
    </row>
    <row r="199" spans="1:6">
      <c r="A199" s="202">
        <v>94</v>
      </c>
      <c r="B199" s="240">
        <v>47220</v>
      </c>
      <c r="C199" s="241"/>
      <c r="D199" s="202"/>
      <c r="E199" s="983">
        <f t="shared" si="20"/>
        <v>0</v>
      </c>
      <c r="F199" s="202"/>
    </row>
    <row r="200" spans="1:6">
      <c r="A200" s="202"/>
      <c r="B200" s="240"/>
      <c r="C200" s="241"/>
      <c r="D200" s="202"/>
      <c r="E200" s="984"/>
      <c r="F200" s="202"/>
    </row>
    <row r="201" spans="1:6">
      <c r="A201" s="202">
        <v>95</v>
      </c>
      <c r="B201" s="240">
        <v>47250</v>
      </c>
      <c r="C201" s="241"/>
      <c r="D201" s="202"/>
      <c r="E201" s="983">
        <f t="shared" si="20"/>
        <v>0</v>
      </c>
      <c r="F201" s="202"/>
    </row>
    <row r="202" spans="1:6">
      <c r="A202" s="202"/>
      <c r="B202" s="240"/>
      <c r="C202" s="241"/>
      <c r="D202" s="202"/>
      <c r="E202" s="984"/>
      <c r="F202" s="202"/>
    </row>
    <row r="203" spans="1:6">
      <c r="A203" s="202">
        <v>96</v>
      </c>
      <c r="B203" s="240">
        <v>47281</v>
      </c>
      <c r="C203" s="241"/>
      <c r="D203" s="202"/>
      <c r="E203" s="983">
        <f t="shared" si="20"/>
        <v>0</v>
      </c>
      <c r="F203" s="202"/>
    </row>
    <row r="204" spans="1:6">
      <c r="A204" s="202"/>
      <c r="B204" s="240"/>
      <c r="C204" s="241"/>
      <c r="D204" s="202"/>
      <c r="E204" s="984"/>
      <c r="F204" s="202"/>
    </row>
    <row r="205" spans="1:6">
      <c r="A205" s="202">
        <v>97</v>
      </c>
      <c r="B205" s="240">
        <v>47311</v>
      </c>
      <c r="C205" s="241"/>
      <c r="D205" s="202"/>
      <c r="E205" s="983">
        <f t="shared" si="20"/>
        <v>0</v>
      </c>
      <c r="F205" s="202"/>
    </row>
    <row r="206" spans="1:6">
      <c r="A206" s="202"/>
      <c r="B206" s="240"/>
      <c r="C206" s="241"/>
      <c r="D206" s="202"/>
      <c r="E206" s="984"/>
      <c r="F206" s="202"/>
    </row>
    <row r="207" spans="1:6">
      <c r="A207" s="202">
        <v>98</v>
      </c>
      <c r="B207" s="240">
        <v>47342</v>
      </c>
      <c r="C207" s="241"/>
      <c r="D207" s="202"/>
      <c r="E207" s="983">
        <f t="shared" si="20"/>
        <v>0</v>
      </c>
      <c r="F207" s="202"/>
    </row>
    <row r="208" spans="1:6">
      <c r="A208" s="202"/>
      <c r="B208" s="240"/>
      <c r="C208" s="241"/>
      <c r="D208" s="202"/>
      <c r="E208" s="984"/>
      <c r="F208" s="202"/>
    </row>
    <row r="209" spans="1:6">
      <c r="A209" s="202">
        <v>99</v>
      </c>
      <c r="B209" s="240">
        <v>47373</v>
      </c>
      <c r="C209" s="241"/>
      <c r="D209" s="202"/>
      <c r="E209" s="983">
        <f t="shared" si="20"/>
        <v>0</v>
      </c>
      <c r="F209" s="202"/>
    </row>
    <row r="210" spans="1:6">
      <c r="A210" s="202"/>
      <c r="B210" s="240"/>
      <c r="C210" s="241"/>
      <c r="D210" s="202"/>
      <c r="E210" s="984"/>
      <c r="F210" s="202"/>
    </row>
    <row r="211" spans="1:6">
      <c r="A211" s="202">
        <v>100</v>
      </c>
      <c r="B211" s="240">
        <v>47403</v>
      </c>
      <c r="C211" s="241"/>
      <c r="D211" s="202"/>
      <c r="E211" s="983">
        <f t="shared" si="20"/>
        <v>0</v>
      </c>
      <c r="F211" s="202"/>
    </row>
    <row r="212" spans="1:6">
      <c r="A212" s="202"/>
      <c r="B212" s="240"/>
      <c r="C212" s="241"/>
      <c r="D212" s="202"/>
      <c r="E212" s="984"/>
      <c r="F212" s="202"/>
    </row>
    <row r="213" spans="1:6">
      <c r="A213" s="202">
        <v>101</v>
      </c>
      <c r="B213" s="240">
        <v>47434</v>
      </c>
      <c r="C213" s="241"/>
      <c r="D213" s="202"/>
      <c r="E213" s="983">
        <f t="shared" si="20"/>
        <v>0</v>
      </c>
      <c r="F213" s="202"/>
    </row>
    <row r="214" spans="1:6">
      <c r="A214" s="202"/>
      <c r="B214" s="240"/>
      <c r="C214" s="241"/>
      <c r="D214" s="202"/>
      <c r="E214" s="984"/>
      <c r="F214" s="202"/>
    </row>
    <row r="215" spans="1:6">
      <c r="A215" s="202">
        <v>102</v>
      </c>
      <c r="B215" s="240">
        <v>47464</v>
      </c>
      <c r="C215" s="241"/>
      <c r="D215" s="202"/>
      <c r="E215" s="983">
        <f t="shared" si="20"/>
        <v>0</v>
      </c>
      <c r="F215" s="202"/>
    </row>
    <row r="216" spans="1:6">
      <c r="A216" s="202"/>
      <c r="B216" s="240"/>
      <c r="C216" s="241"/>
      <c r="D216" s="202"/>
      <c r="E216" s="984"/>
      <c r="F216" s="202"/>
    </row>
    <row r="217" spans="1:6">
      <c r="A217" s="202">
        <v>103</v>
      </c>
      <c r="B217" s="240">
        <v>47495</v>
      </c>
      <c r="C217" s="241"/>
      <c r="D217" s="202"/>
      <c r="E217" s="983">
        <f t="shared" si="20"/>
        <v>0</v>
      </c>
      <c r="F217" s="202"/>
    </row>
    <row r="218" spans="1:6">
      <c r="A218" s="202"/>
      <c r="B218" s="240"/>
      <c r="C218" s="241"/>
      <c r="D218" s="202"/>
      <c r="E218" s="984"/>
      <c r="F218" s="202"/>
    </row>
    <row r="219" spans="1:6">
      <c r="A219" s="202">
        <v>104</v>
      </c>
      <c r="B219" s="240">
        <v>47526</v>
      </c>
      <c r="C219" s="241"/>
      <c r="D219" s="202"/>
      <c r="E219" s="983">
        <f t="shared" si="20"/>
        <v>0</v>
      </c>
      <c r="F219" s="202"/>
    </row>
    <row r="220" spans="1:6">
      <c r="A220" s="202"/>
      <c r="B220" s="240"/>
      <c r="C220" s="241"/>
      <c r="D220" s="202"/>
      <c r="E220" s="984"/>
      <c r="F220" s="202"/>
    </row>
    <row r="221" spans="1:6">
      <c r="A221" s="202">
        <v>105</v>
      </c>
      <c r="B221" s="240">
        <v>47554</v>
      </c>
      <c r="C221" s="241"/>
      <c r="D221" s="202"/>
      <c r="E221" s="983">
        <f t="shared" si="20"/>
        <v>0</v>
      </c>
      <c r="F221" s="202"/>
    </row>
    <row r="222" spans="1:6">
      <c r="A222" s="202"/>
      <c r="B222" s="240"/>
      <c r="C222" s="241"/>
      <c r="D222" s="202"/>
      <c r="E222" s="984"/>
      <c r="F222" s="202"/>
    </row>
    <row r="223" spans="1:6">
      <c r="A223" s="202">
        <v>106</v>
      </c>
      <c r="B223" s="240">
        <v>47585</v>
      </c>
      <c r="C223" s="241"/>
      <c r="D223" s="202"/>
      <c r="E223" s="983">
        <f t="shared" si="20"/>
        <v>0</v>
      </c>
      <c r="F223" s="202"/>
    </row>
    <row r="224" spans="1:6">
      <c r="A224" s="202"/>
      <c r="B224" s="240"/>
      <c r="C224" s="241"/>
      <c r="D224" s="202"/>
      <c r="E224" s="984"/>
      <c r="F224" s="202"/>
    </row>
    <row r="225" spans="1:6">
      <c r="A225" s="202">
        <v>107</v>
      </c>
      <c r="B225" s="240">
        <v>47615</v>
      </c>
      <c r="C225" s="241"/>
      <c r="D225" s="202"/>
      <c r="E225" s="983">
        <f t="shared" si="20"/>
        <v>0</v>
      </c>
      <c r="F225" s="202"/>
    </row>
    <row r="226" spans="1:6">
      <c r="A226" s="202"/>
      <c r="B226" s="240"/>
      <c r="C226" s="241"/>
      <c r="D226" s="202"/>
      <c r="E226" s="984"/>
      <c r="F226" s="202"/>
    </row>
    <row r="227" spans="1:6">
      <c r="A227" s="202">
        <v>108</v>
      </c>
      <c r="B227" s="240">
        <v>47646</v>
      </c>
      <c r="C227" s="241"/>
      <c r="D227" s="202"/>
      <c r="E227" s="983">
        <f t="shared" si="20"/>
        <v>0</v>
      </c>
      <c r="F227" s="202"/>
    </row>
    <row r="228" spans="1:6">
      <c r="A228" s="202"/>
      <c r="B228" s="240"/>
      <c r="C228" s="241"/>
      <c r="D228" s="202"/>
      <c r="E228" s="984"/>
      <c r="F228" s="202"/>
    </row>
    <row r="229" spans="1:6">
      <c r="A229" s="202">
        <v>109</v>
      </c>
      <c r="B229" s="240">
        <v>47676</v>
      </c>
      <c r="C229" s="241"/>
      <c r="D229" s="202"/>
      <c r="E229" s="983">
        <f t="shared" si="20"/>
        <v>0</v>
      </c>
      <c r="F229" s="202"/>
    </row>
    <row r="230" spans="1:6">
      <c r="A230" s="202"/>
      <c r="B230" s="240"/>
      <c r="C230" s="241"/>
      <c r="D230" s="202"/>
      <c r="E230" s="984"/>
      <c r="F230" s="202"/>
    </row>
    <row r="231" spans="1:6">
      <c r="A231" s="202"/>
      <c r="B231" s="240"/>
      <c r="C231" s="241"/>
      <c r="D231" s="202"/>
      <c r="E231" s="983">
        <f t="shared" si="20"/>
        <v>0</v>
      </c>
      <c r="F231" s="202"/>
    </row>
    <row r="232" spans="1:6">
      <c r="A232" s="202">
        <v>110</v>
      </c>
      <c r="B232" s="240">
        <v>47707</v>
      </c>
      <c r="C232" s="241"/>
      <c r="D232" s="202"/>
      <c r="E232" s="984"/>
      <c r="F232" s="202"/>
    </row>
    <row r="233" spans="1:6">
      <c r="A233" s="202"/>
      <c r="B233" s="240"/>
      <c r="C233" s="241"/>
      <c r="D233" s="202"/>
      <c r="E233" s="983">
        <f t="shared" si="20"/>
        <v>0</v>
      </c>
      <c r="F233" s="202"/>
    </row>
    <row r="234" spans="1:6">
      <c r="A234" s="202">
        <v>111</v>
      </c>
      <c r="B234" s="240">
        <v>47738</v>
      </c>
      <c r="C234" s="241"/>
      <c r="D234" s="202"/>
      <c r="E234" s="984"/>
      <c r="F234" s="202"/>
    </row>
    <row r="235" spans="1:6">
      <c r="A235" s="202"/>
      <c r="B235" s="240"/>
      <c r="C235" s="241"/>
      <c r="D235" s="202"/>
      <c r="E235" s="983">
        <f t="shared" si="20"/>
        <v>0</v>
      </c>
      <c r="F235" s="202"/>
    </row>
    <row r="236" spans="1:6">
      <c r="A236" s="202">
        <v>112</v>
      </c>
      <c r="B236" s="240">
        <v>47768</v>
      </c>
      <c r="C236" s="241"/>
      <c r="D236" s="202"/>
      <c r="E236" s="984"/>
      <c r="F236" s="202"/>
    </row>
    <row r="237" spans="1:6">
      <c r="A237" s="202"/>
      <c r="B237" s="240"/>
      <c r="C237" s="241"/>
      <c r="D237" s="202"/>
      <c r="E237" s="983">
        <f t="shared" si="20"/>
        <v>0</v>
      </c>
      <c r="F237" s="202"/>
    </row>
    <row r="238" spans="1:6">
      <c r="A238" s="202">
        <v>113</v>
      </c>
      <c r="B238" s="240">
        <v>47799</v>
      </c>
      <c r="C238" s="241"/>
      <c r="D238" s="202"/>
      <c r="E238" s="984"/>
      <c r="F238" s="202"/>
    </row>
    <row r="239" spans="1:6">
      <c r="A239" s="202"/>
      <c r="B239" s="240"/>
      <c r="C239" s="241"/>
      <c r="D239" s="202"/>
      <c r="E239" s="983">
        <f t="shared" si="20"/>
        <v>0</v>
      </c>
      <c r="F239" s="202"/>
    </row>
    <row r="240" spans="1:6">
      <c r="A240" s="202">
        <v>114</v>
      </c>
      <c r="B240" s="240">
        <v>47829</v>
      </c>
      <c r="C240" s="241"/>
      <c r="D240" s="202"/>
      <c r="E240" s="984"/>
      <c r="F240" s="202"/>
    </row>
    <row r="241" spans="1:6">
      <c r="A241" s="202"/>
      <c r="B241" s="240"/>
      <c r="C241" s="241"/>
      <c r="D241" s="202"/>
      <c r="E241" s="983">
        <f t="shared" si="20"/>
        <v>0</v>
      </c>
      <c r="F241" s="202"/>
    </row>
    <row r="242" spans="1:6">
      <c r="A242" s="202">
        <v>115</v>
      </c>
      <c r="B242" s="240">
        <v>47860</v>
      </c>
      <c r="C242" s="241"/>
      <c r="D242" s="202"/>
      <c r="E242" s="984"/>
      <c r="F242" s="202"/>
    </row>
    <row r="243" spans="1:6">
      <c r="A243" s="202"/>
      <c r="B243" s="240"/>
      <c r="C243" s="241"/>
      <c r="D243" s="202"/>
      <c r="E243" s="983">
        <f t="shared" si="20"/>
        <v>0</v>
      </c>
      <c r="F243" s="202"/>
    </row>
    <row r="244" spans="1:6">
      <c r="A244" s="202">
        <v>116</v>
      </c>
      <c r="B244" s="240">
        <v>47891</v>
      </c>
      <c r="C244" s="241"/>
      <c r="D244" s="202"/>
      <c r="E244" s="984"/>
      <c r="F244" s="202"/>
    </row>
    <row r="245" spans="1:6">
      <c r="A245" s="202"/>
      <c r="B245" s="240"/>
      <c r="C245" s="241"/>
      <c r="D245" s="202"/>
      <c r="E245" s="983">
        <f t="shared" si="20"/>
        <v>0</v>
      </c>
      <c r="F245" s="202"/>
    </row>
    <row r="246" spans="1:6">
      <c r="A246" s="202">
        <v>117</v>
      </c>
      <c r="B246" s="240">
        <v>47919</v>
      </c>
      <c r="C246" s="241"/>
      <c r="D246" s="202"/>
      <c r="E246" s="984"/>
      <c r="F246" s="202"/>
    </row>
    <row r="247" spans="1:6">
      <c r="A247" s="202"/>
      <c r="B247" s="240"/>
      <c r="C247" s="241"/>
      <c r="D247" s="202"/>
      <c r="E247" s="983">
        <f t="shared" ref="E247:E309" si="21">SUM(C247:C248)</f>
        <v>0</v>
      </c>
      <c r="F247" s="202"/>
    </row>
    <row r="248" spans="1:6">
      <c r="A248" s="202">
        <v>118</v>
      </c>
      <c r="B248" s="240">
        <v>47950</v>
      </c>
      <c r="C248" s="241"/>
      <c r="D248" s="202"/>
      <c r="E248" s="984"/>
      <c r="F248" s="202"/>
    </row>
    <row r="249" spans="1:6">
      <c r="A249" s="202"/>
      <c r="B249" s="240"/>
      <c r="C249" s="241"/>
      <c r="D249" s="202"/>
      <c r="E249" s="983">
        <f t="shared" si="21"/>
        <v>0</v>
      </c>
      <c r="F249" s="202"/>
    </row>
    <row r="250" spans="1:6">
      <c r="A250" s="202">
        <v>119</v>
      </c>
      <c r="B250" s="240">
        <v>47980</v>
      </c>
      <c r="C250" s="241"/>
      <c r="D250" s="202"/>
      <c r="E250" s="984"/>
      <c r="F250" s="202"/>
    </row>
    <row r="251" spans="1:6">
      <c r="A251" s="202"/>
      <c r="B251" s="240"/>
      <c r="C251" s="241"/>
      <c r="D251" s="202"/>
      <c r="E251" s="983">
        <f t="shared" si="21"/>
        <v>0</v>
      </c>
      <c r="F251" s="202"/>
    </row>
    <row r="252" spans="1:6">
      <c r="A252" s="202">
        <v>120</v>
      </c>
      <c r="B252" s="240">
        <v>48011</v>
      </c>
      <c r="C252" s="241"/>
      <c r="D252" s="202"/>
      <c r="E252" s="984"/>
      <c r="F252" s="202"/>
    </row>
    <row r="253" spans="1:6">
      <c r="A253" s="202"/>
      <c r="B253" s="240"/>
      <c r="C253" s="241"/>
      <c r="D253" s="202"/>
      <c r="E253" s="983">
        <f t="shared" si="21"/>
        <v>0</v>
      </c>
      <c r="F253" s="202"/>
    </row>
    <row r="254" spans="1:6">
      <c r="A254" s="202">
        <v>121</v>
      </c>
      <c r="B254" s="240">
        <v>48041</v>
      </c>
      <c r="C254" s="241"/>
      <c r="D254" s="202"/>
      <c r="E254" s="984"/>
      <c r="F254" s="202"/>
    </row>
    <row r="255" spans="1:6">
      <c r="A255" s="202"/>
      <c r="B255" s="240"/>
      <c r="C255" s="241"/>
      <c r="D255" s="202"/>
      <c r="E255" s="983">
        <f t="shared" si="21"/>
        <v>0</v>
      </c>
      <c r="F255" s="202"/>
    </row>
    <row r="256" spans="1:6">
      <c r="A256" s="202">
        <v>122</v>
      </c>
      <c r="B256" s="240">
        <v>48072</v>
      </c>
      <c r="C256" s="241"/>
      <c r="D256" s="202"/>
      <c r="E256" s="984"/>
      <c r="F256" s="202"/>
    </row>
    <row r="257" spans="1:6">
      <c r="A257" s="202"/>
      <c r="B257" s="240"/>
      <c r="C257" s="241"/>
      <c r="D257" s="202"/>
      <c r="E257" s="983">
        <f t="shared" si="21"/>
        <v>0</v>
      </c>
      <c r="F257" s="202"/>
    </row>
    <row r="258" spans="1:6">
      <c r="A258" s="202">
        <v>123</v>
      </c>
      <c r="B258" s="240">
        <v>48103</v>
      </c>
      <c r="C258" s="241"/>
      <c r="D258" s="202"/>
      <c r="E258" s="984"/>
      <c r="F258" s="202"/>
    </row>
    <row r="259" spans="1:6">
      <c r="A259" s="202"/>
      <c r="B259" s="240"/>
      <c r="C259" s="241"/>
      <c r="D259" s="202"/>
      <c r="E259" s="983">
        <f t="shared" si="21"/>
        <v>0</v>
      </c>
      <c r="F259" s="202"/>
    </row>
    <row r="260" spans="1:6">
      <c r="A260" s="202">
        <v>124</v>
      </c>
      <c r="B260" s="240">
        <v>48133</v>
      </c>
      <c r="C260" s="241"/>
      <c r="D260" s="202"/>
      <c r="E260" s="984"/>
      <c r="F260" s="202"/>
    </row>
    <row r="261" spans="1:6">
      <c r="A261" s="202"/>
      <c r="B261" s="240"/>
      <c r="C261" s="241"/>
      <c r="D261" s="202"/>
      <c r="E261" s="983">
        <f t="shared" si="21"/>
        <v>0</v>
      </c>
      <c r="F261" s="202"/>
    </row>
    <row r="262" spans="1:6">
      <c r="A262" s="202"/>
      <c r="B262" s="240"/>
      <c r="C262" s="241"/>
      <c r="D262" s="202"/>
      <c r="E262" s="984"/>
      <c r="F262" s="202"/>
    </row>
    <row r="263" spans="1:6">
      <c r="A263" s="202">
        <v>125</v>
      </c>
      <c r="B263" s="240">
        <v>48164</v>
      </c>
      <c r="C263" s="241"/>
      <c r="D263" s="202"/>
      <c r="E263" s="983">
        <f t="shared" si="21"/>
        <v>0</v>
      </c>
      <c r="F263" s="202"/>
    </row>
    <row r="264" spans="1:6">
      <c r="A264" s="202"/>
      <c r="B264" s="240"/>
      <c r="C264" s="241"/>
      <c r="D264" s="202"/>
      <c r="E264" s="984"/>
      <c r="F264" s="202"/>
    </row>
    <row r="265" spans="1:6">
      <c r="A265" s="202">
        <v>126</v>
      </c>
      <c r="B265" s="240">
        <v>48194</v>
      </c>
      <c r="C265" s="241"/>
      <c r="D265" s="202"/>
      <c r="E265" s="983">
        <f t="shared" si="21"/>
        <v>0</v>
      </c>
      <c r="F265" s="202"/>
    </row>
    <row r="266" spans="1:6">
      <c r="A266" s="202"/>
      <c r="B266" s="240"/>
      <c r="C266" s="241"/>
      <c r="D266" s="202"/>
      <c r="E266" s="984"/>
      <c r="F266" s="202"/>
    </row>
    <row r="267" spans="1:6">
      <c r="A267" s="202">
        <v>127</v>
      </c>
      <c r="B267" s="240">
        <v>48225</v>
      </c>
      <c r="C267" s="241"/>
      <c r="D267" s="202"/>
      <c r="E267" s="983">
        <f t="shared" si="21"/>
        <v>0</v>
      </c>
      <c r="F267" s="202"/>
    </row>
    <row r="268" spans="1:6">
      <c r="A268" s="202"/>
      <c r="B268" s="240"/>
      <c r="C268" s="241"/>
      <c r="D268" s="202"/>
      <c r="E268" s="984"/>
      <c r="F268" s="202"/>
    </row>
    <row r="269" spans="1:6">
      <c r="A269" s="202">
        <v>128</v>
      </c>
      <c r="B269" s="240">
        <v>48256</v>
      </c>
      <c r="C269" s="241"/>
      <c r="D269" s="202"/>
      <c r="E269" s="983">
        <f t="shared" si="21"/>
        <v>0</v>
      </c>
      <c r="F269" s="202"/>
    </row>
    <row r="270" spans="1:6">
      <c r="A270" s="202"/>
      <c r="B270" s="240"/>
      <c r="C270" s="241"/>
      <c r="D270" s="202"/>
      <c r="E270" s="984"/>
      <c r="F270" s="202"/>
    </row>
    <row r="271" spans="1:6">
      <c r="A271" s="202">
        <v>129</v>
      </c>
      <c r="B271" s="240">
        <v>48285</v>
      </c>
      <c r="C271" s="241"/>
      <c r="D271" s="202"/>
      <c r="E271" s="983">
        <f t="shared" si="21"/>
        <v>0</v>
      </c>
      <c r="F271" s="202"/>
    </row>
    <row r="272" spans="1:6">
      <c r="A272" s="202"/>
      <c r="B272" s="240"/>
      <c r="C272" s="241"/>
      <c r="D272" s="202"/>
      <c r="E272" s="984"/>
      <c r="F272" s="202"/>
    </row>
    <row r="273" spans="1:6">
      <c r="A273" s="202">
        <v>130</v>
      </c>
      <c r="B273" s="240">
        <v>48316</v>
      </c>
      <c r="C273" s="241"/>
      <c r="D273" s="202"/>
      <c r="E273" s="983">
        <f t="shared" si="21"/>
        <v>0</v>
      </c>
      <c r="F273" s="202"/>
    </row>
    <row r="274" spans="1:6">
      <c r="A274" s="202"/>
      <c r="B274" s="240"/>
      <c r="C274" s="241"/>
      <c r="D274" s="202"/>
      <c r="E274" s="984"/>
      <c r="F274" s="202"/>
    </row>
    <row r="275" spans="1:6">
      <c r="A275" s="202">
        <v>131</v>
      </c>
      <c r="B275" s="240">
        <v>48346</v>
      </c>
      <c r="C275" s="241"/>
      <c r="D275" s="202"/>
      <c r="E275" s="983">
        <f t="shared" si="21"/>
        <v>0</v>
      </c>
      <c r="F275" s="202"/>
    </row>
    <row r="276" spans="1:6">
      <c r="A276" s="202"/>
      <c r="B276" s="240"/>
      <c r="C276" s="241"/>
      <c r="D276" s="202"/>
      <c r="E276" s="984"/>
      <c r="F276" s="202"/>
    </row>
    <row r="277" spans="1:6">
      <c r="A277" s="202">
        <v>132</v>
      </c>
      <c r="B277" s="240">
        <v>48377</v>
      </c>
      <c r="C277" s="241"/>
      <c r="D277" s="202"/>
      <c r="E277" s="983">
        <f t="shared" si="21"/>
        <v>0</v>
      </c>
      <c r="F277" s="202"/>
    </row>
    <row r="278" spans="1:6">
      <c r="A278" s="202"/>
      <c r="B278" s="240"/>
      <c r="C278" s="241"/>
      <c r="D278" s="202"/>
      <c r="E278" s="984"/>
      <c r="F278" s="202"/>
    </row>
    <row r="279" spans="1:6">
      <c r="A279" s="202">
        <v>133</v>
      </c>
      <c r="B279" s="240">
        <v>48407</v>
      </c>
      <c r="C279" s="241"/>
      <c r="D279" s="202"/>
      <c r="E279" s="983">
        <f t="shared" si="21"/>
        <v>0</v>
      </c>
      <c r="F279" s="202"/>
    </row>
    <row r="280" spans="1:6">
      <c r="A280" s="202"/>
      <c r="B280" s="240"/>
      <c r="C280" s="241"/>
      <c r="D280" s="202"/>
      <c r="E280" s="984"/>
      <c r="F280" s="202"/>
    </row>
    <row r="281" spans="1:6">
      <c r="A281" s="202">
        <v>134</v>
      </c>
      <c r="B281" s="240">
        <v>48438</v>
      </c>
      <c r="C281" s="241"/>
      <c r="D281" s="202"/>
      <c r="E281" s="983">
        <f t="shared" si="21"/>
        <v>0</v>
      </c>
      <c r="F281" s="202"/>
    </row>
    <row r="282" spans="1:6">
      <c r="A282" s="202"/>
      <c r="B282" s="240"/>
      <c r="C282" s="241"/>
      <c r="D282" s="202"/>
      <c r="E282" s="984"/>
      <c r="F282" s="202"/>
    </row>
    <row r="283" spans="1:6">
      <c r="A283" s="202">
        <v>135</v>
      </c>
      <c r="B283" s="240">
        <v>48469</v>
      </c>
      <c r="C283" s="241"/>
      <c r="D283" s="202"/>
      <c r="E283" s="983">
        <f t="shared" si="21"/>
        <v>0</v>
      </c>
      <c r="F283" s="202"/>
    </row>
    <row r="284" spans="1:6">
      <c r="A284" s="202"/>
      <c r="B284" s="240"/>
      <c r="C284" s="241"/>
      <c r="D284" s="202"/>
      <c r="E284" s="984"/>
      <c r="F284" s="202"/>
    </row>
    <row r="285" spans="1:6">
      <c r="A285" s="202">
        <v>136</v>
      </c>
      <c r="B285" s="240">
        <v>48499</v>
      </c>
      <c r="C285" s="241"/>
      <c r="D285" s="202"/>
      <c r="E285" s="983">
        <f t="shared" si="21"/>
        <v>0</v>
      </c>
      <c r="F285" s="202"/>
    </row>
    <row r="286" spans="1:6">
      <c r="A286" s="202"/>
      <c r="B286" s="240"/>
      <c r="C286" s="241"/>
      <c r="D286" s="202"/>
      <c r="E286" s="984"/>
      <c r="F286" s="202"/>
    </row>
    <row r="287" spans="1:6">
      <c r="A287" s="202">
        <v>137</v>
      </c>
      <c r="B287" s="240">
        <v>48530</v>
      </c>
      <c r="C287" s="241"/>
      <c r="D287" s="202"/>
      <c r="E287" s="983">
        <f t="shared" si="21"/>
        <v>0</v>
      </c>
      <c r="F287" s="202"/>
    </row>
    <row r="288" spans="1:6">
      <c r="A288" s="202"/>
      <c r="B288" s="240"/>
      <c r="C288" s="241"/>
      <c r="D288" s="202"/>
      <c r="E288" s="984"/>
      <c r="F288" s="202"/>
    </row>
    <row r="289" spans="1:6">
      <c r="A289" s="202">
        <v>138</v>
      </c>
      <c r="B289" s="240">
        <v>48560</v>
      </c>
      <c r="C289" s="241"/>
      <c r="D289" s="202"/>
      <c r="E289" s="983">
        <f t="shared" si="21"/>
        <v>0</v>
      </c>
      <c r="F289" s="202"/>
    </row>
    <row r="290" spans="1:6">
      <c r="A290" s="202"/>
      <c r="B290" s="240"/>
      <c r="C290" s="241"/>
      <c r="D290" s="202"/>
      <c r="E290" s="984"/>
      <c r="F290" s="202"/>
    </row>
    <row r="291" spans="1:6">
      <c r="A291" s="202">
        <v>139</v>
      </c>
      <c r="B291" s="240">
        <v>48591</v>
      </c>
      <c r="C291" s="241"/>
      <c r="D291" s="202"/>
      <c r="E291" s="983">
        <f t="shared" si="21"/>
        <v>0</v>
      </c>
      <c r="F291" s="202"/>
    </row>
    <row r="292" spans="1:6">
      <c r="A292" s="202"/>
      <c r="B292" s="240"/>
      <c r="C292" s="241"/>
      <c r="D292" s="202"/>
      <c r="E292" s="984"/>
      <c r="F292" s="202"/>
    </row>
    <row r="293" spans="1:6">
      <c r="A293" s="202">
        <v>140</v>
      </c>
      <c r="B293" s="240">
        <v>48622</v>
      </c>
      <c r="C293" s="241"/>
      <c r="D293" s="202"/>
      <c r="E293" s="983">
        <f t="shared" si="21"/>
        <v>0</v>
      </c>
      <c r="F293" s="202"/>
    </row>
    <row r="294" spans="1:6">
      <c r="A294" s="202"/>
      <c r="B294" s="240"/>
      <c r="C294" s="241"/>
      <c r="D294" s="202"/>
      <c r="E294" s="984"/>
      <c r="F294" s="202"/>
    </row>
    <row r="295" spans="1:6">
      <c r="A295" s="202">
        <v>141</v>
      </c>
      <c r="B295" s="240">
        <v>48650</v>
      </c>
      <c r="C295" s="241"/>
      <c r="D295" s="202"/>
      <c r="E295" s="983">
        <f t="shared" si="21"/>
        <v>0</v>
      </c>
      <c r="F295" s="202"/>
    </row>
    <row r="296" spans="1:6">
      <c r="A296" s="202"/>
      <c r="B296" s="240"/>
      <c r="C296" s="241"/>
      <c r="D296" s="202"/>
      <c r="E296" s="984"/>
      <c r="F296" s="202"/>
    </row>
    <row r="297" spans="1:6">
      <c r="A297" s="202"/>
      <c r="B297" s="240"/>
      <c r="C297" s="241"/>
      <c r="D297" s="202"/>
      <c r="E297" s="983">
        <f t="shared" si="21"/>
        <v>0</v>
      </c>
      <c r="F297" s="202"/>
    </row>
    <row r="298" spans="1:6">
      <c r="A298" s="202">
        <v>142</v>
      </c>
      <c r="B298" s="240">
        <v>48681</v>
      </c>
      <c r="C298" s="241"/>
      <c r="D298" s="202"/>
      <c r="E298" s="984"/>
      <c r="F298" s="202"/>
    </row>
    <row r="299" spans="1:6">
      <c r="A299" s="202"/>
      <c r="B299" s="240"/>
      <c r="C299" s="241"/>
      <c r="D299" s="202"/>
      <c r="E299" s="983">
        <f t="shared" si="21"/>
        <v>0</v>
      </c>
      <c r="F299" s="202"/>
    </row>
    <row r="300" spans="1:6">
      <c r="A300" s="202">
        <v>143</v>
      </c>
      <c r="B300" s="240">
        <v>48711</v>
      </c>
      <c r="C300" s="241"/>
      <c r="D300" s="202"/>
      <c r="E300" s="984"/>
      <c r="F300" s="202"/>
    </row>
    <row r="301" spans="1:6">
      <c r="A301" s="202"/>
      <c r="B301" s="240"/>
      <c r="C301" s="241"/>
      <c r="D301" s="202"/>
      <c r="E301" s="983">
        <f t="shared" si="21"/>
        <v>0</v>
      </c>
      <c r="F301" s="202"/>
    </row>
    <row r="302" spans="1:6">
      <c r="A302" s="202">
        <v>144</v>
      </c>
      <c r="B302" s="240">
        <v>48742</v>
      </c>
      <c r="C302" s="241"/>
      <c r="D302" s="202"/>
      <c r="E302" s="984"/>
      <c r="F302" s="202"/>
    </row>
    <row r="303" spans="1:6">
      <c r="A303" s="202"/>
      <c r="B303" s="240"/>
      <c r="C303" s="241"/>
      <c r="D303" s="202"/>
      <c r="E303" s="983">
        <f t="shared" si="21"/>
        <v>0</v>
      </c>
      <c r="F303" s="202"/>
    </row>
    <row r="304" spans="1:6">
      <c r="A304" s="202">
        <v>145</v>
      </c>
      <c r="B304" s="240">
        <v>48772</v>
      </c>
      <c r="C304" s="241"/>
      <c r="D304" s="202"/>
      <c r="E304" s="984"/>
      <c r="F304" s="202"/>
    </row>
    <row r="305" spans="1:6">
      <c r="A305" s="202"/>
      <c r="B305" s="240"/>
      <c r="C305" s="241"/>
      <c r="D305" s="202"/>
      <c r="E305" s="983">
        <f t="shared" si="21"/>
        <v>0</v>
      </c>
      <c r="F305" s="202"/>
    </row>
    <row r="306" spans="1:6">
      <c r="A306" s="202">
        <v>146</v>
      </c>
      <c r="B306" s="240">
        <v>48803</v>
      </c>
      <c r="C306" s="241"/>
      <c r="D306" s="202"/>
      <c r="E306" s="984"/>
      <c r="F306" s="202"/>
    </row>
    <row r="307" spans="1:6">
      <c r="A307" s="202"/>
      <c r="B307" s="240"/>
      <c r="C307" s="241"/>
      <c r="D307" s="202"/>
      <c r="E307" s="983">
        <f t="shared" si="21"/>
        <v>0</v>
      </c>
      <c r="F307" s="202"/>
    </row>
    <row r="308" spans="1:6">
      <c r="A308" s="202">
        <v>147</v>
      </c>
      <c r="B308" s="240">
        <v>48834</v>
      </c>
      <c r="C308" s="241"/>
      <c r="D308" s="202"/>
      <c r="E308" s="984"/>
      <c r="F308" s="202"/>
    </row>
    <row r="309" spans="1:6">
      <c r="A309" s="202"/>
      <c r="B309" s="240"/>
      <c r="C309" s="241"/>
      <c r="D309" s="202"/>
      <c r="E309" s="983">
        <f t="shared" si="21"/>
        <v>0</v>
      </c>
      <c r="F309" s="202"/>
    </row>
    <row r="310" spans="1:6">
      <c r="A310" s="202">
        <v>148</v>
      </c>
      <c r="B310" s="240">
        <v>48864</v>
      </c>
      <c r="C310" s="241"/>
      <c r="D310" s="202"/>
      <c r="E310" s="984"/>
      <c r="F310" s="202"/>
    </row>
    <row r="311" spans="1:6">
      <c r="A311" s="202"/>
      <c r="B311" s="240"/>
      <c r="C311" s="241"/>
      <c r="D311" s="202"/>
      <c r="E311" s="983">
        <f t="shared" ref="E311:E373" si="22">SUM(C311:C312)</f>
        <v>0</v>
      </c>
      <c r="F311" s="202"/>
    </row>
    <row r="312" spans="1:6">
      <c r="A312" s="202">
        <v>149</v>
      </c>
      <c r="B312" s="240">
        <v>48895</v>
      </c>
      <c r="C312" s="241"/>
      <c r="D312" s="202"/>
      <c r="E312" s="984"/>
      <c r="F312" s="202"/>
    </row>
    <row r="313" spans="1:6">
      <c r="A313" s="202"/>
      <c r="B313" s="240"/>
      <c r="C313" s="241"/>
      <c r="D313" s="202"/>
      <c r="E313" s="983">
        <f t="shared" si="22"/>
        <v>0</v>
      </c>
      <c r="F313" s="202"/>
    </row>
    <row r="314" spans="1:6">
      <c r="A314" s="202">
        <v>150</v>
      </c>
      <c r="B314" s="240">
        <v>48925</v>
      </c>
      <c r="C314" s="241"/>
      <c r="D314" s="202"/>
      <c r="E314" s="984"/>
      <c r="F314" s="202"/>
    </row>
    <row r="315" spans="1:6">
      <c r="A315" s="202"/>
      <c r="B315" s="240"/>
      <c r="C315" s="241"/>
      <c r="D315" s="202"/>
      <c r="E315" s="983">
        <f t="shared" si="22"/>
        <v>0</v>
      </c>
      <c r="F315" s="202"/>
    </row>
    <row r="316" spans="1:6">
      <c r="A316" s="202">
        <v>151</v>
      </c>
      <c r="B316" s="240">
        <v>48956</v>
      </c>
      <c r="C316" s="241"/>
      <c r="D316" s="202"/>
      <c r="E316" s="984"/>
      <c r="F316" s="202"/>
    </row>
    <row r="317" spans="1:6">
      <c r="A317" s="202"/>
      <c r="B317" s="240"/>
      <c r="C317" s="241"/>
      <c r="D317" s="202"/>
      <c r="E317" s="983">
        <f t="shared" si="22"/>
        <v>0</v>
      </c>
      <c r="F317" s="202"/>
    </row>
    <row r="318" spans="1:6">
      <c r="A318" s="202">
        <v>152</v>
      </c>
      <c r="B318" s="240">
        <v>48987</v>
      </c>
      <c r="C318" s="241"/>
      <c r="D318" s="202"/>
      <c r="E318" s="984"/>
      <c r="F318" s="202"/>
    </row>
    <row r="319" spans="1:6">
      <c r="A319" s="202"/>
      <c r="B319" s="240"/>
      <c r="C319" s="241"/>
      <c r="D319" s="202"/>
      <c r="E319" s="983">
        <f t="shared" si="22"/>
        <v>0</v>
      </c>
      <c r="F319" s="202"/>
    </row>
    <row r="320" spans="1:6">
      <c r="A320" s="202">
        <v>153</v>
      </c>
      <c r="B320" s="240">
        <v>49015</v>
      </c>
      <c r="C320" s="241"/>
      <c r="D320" s="202"/>
      <c r="E320" s="984"/>
      <c r="F320" s="202"/>
    </row>
    <row r="321" spans="1:6">
      <c r="A321" s="202"/>
      <c r="B321" s="240"/>
      <c r="C321" s="241"/>
      <c r="D321" s="202"/>
      <c r="E321" s="983">
        <f t="shared" si="22"/>
        <v>0</v>
      </c>
      <c r="F321" s="202"/>
    </row>
    <row r="322" spans="1:6">
      <c r="A322" s="202">
        <v>154</v>
      </c>
      <c r="B322" s="240">
        <v>49046</v>
      </c>
      <c r="C322" s="241"/>
      <c r="D322" s="202"/>
      <c r="E322" s="984"/>
      <c r="F322" s="202"/>
    </row>
    <row r="323" spans="1:6">
      <c r="A323" s="202"/>
      <c r="B323" s="240"/>
      <c r="C323" s="241"/>
      <c r="D323" s="202"/>
      <c r="E323" s="983">
        <f t="shared" si="22"/>
        <v>0</v>
      </c>
      <c r="F323" s="202"/>
    </row>
    <row r="324" spans="1:6">
      <c r="A324" s="202">
        <v>155</v>
      </c>
      <c r="B324" s="240">
        <v>49076</v>
      </c>
      <c r="C324" s="241"/>
      <c r="D324" s="202"/>
      <c r="E324" s="984"/>
      <c r="F324" s="202"/>
    </row>
    <row r="325" spans="1:6">
      <c r="A325" s="202"/>
      <c r="B325" s="240"/>
      <c r="C325" s="241"/>
      <c r="D325" s="202"/>
      <c r="E325" s="983">
        <f t="shared" si="22"/>
        <v>0</v>
      </c>
      <c r="F325" s="202"/>
    </row>
    <row r="326" spans="1:6">
      <c r="A326" s="202">
        <v>156</v>
      </c>
      <c r="B326" s="240">
        <v>49107</v>
      </c>
      <c r="C326" s="241"/>
      <c r="D326" s="202"/>
      <c r="E326" s="984"/>
      <c r="F326" s="202"/>
    </row>
    <row r="327" spans="1:6">
      <c r="A327" s="202"/>
      <c r="B327" s="240"/>
      <c r="C327" s="241"/>
      <c r="D327" s="202"/>
      <c r="E327" s="983">
        <f t="shared" si="22"/>
        <v>0</v>
      </c>
      <c r="F327" s="202"/>
    </row>
    <row r="328" spans="1:6">
      <c r="A328" s="202">
        <v>157</v>
      </c>
      <c r="B328" s="240">
        <v>49137</v>
      </c>
      <c r="C328" s="241"/>
      <c r="D328" s="202"/>
      <c r="E328" s="984"/>
      <c r="F328" s="202"/>
    </row>
    <row r="329" spans="1:6">
      <c r="A329" s="202"/>
      <c r="B329" s="240"/>
      <c r="C329" s="241"/>
      <c r="D329" s="202"/>
      <c r="E329" s="983">
        <f t="shared" si="22"/>
        <v>0</v>
      </c>
      <c r="F329" s="202"/>
    </row>
    <row r="330" spans="1:6">
      <c r="A330" s="202">
        <v>158</v>
      </c>
      <c r="B330" s="240">
        <v>49168</v>
      </c>
      <c r="C330" s="241"/>
      <c r="D330" s="202"/>
      <c r="E330" s="984"/>
      <c r="F330" s="202"/>
    </row>
    <row r="331" spans="1:6">
      <c r="A331" s="202"/>
      <c r="B331" s="240"/>
      <c r="C331" s="241"/>
      <c r="D331" s="202"/>
      <c r="E331" s="983">
        <f t="shared" si="22"/>
        <v>0</v>
      </c>
      <c r="F331" s="202"/>
    </row>
    <row r="332" spans="1:6">
      <c r="A332" s="202">
        <v>159</v>
      </c>
      <c r="B332" s="240">
        <v>49199</v>
      </c>
      <c r="C332" s="241"/>
      <c r="D332" s="202"/>
      <c r="E332" s="984"/>
      <c r="F332" s="202"/>
    </row>
    <row r="333" spans="1:6">
      <c r="A333" s="202"/>
      <c r="B333" s="240"/>
      <c r="C333" s="241"/>
      <c r="D333" s="202"/>
      <c r="E333" s="983">
        <f t="shared" si="22"/>
        <v>0</v>
      </c>
      <c r="F333" s="202"/>
    </row>
    <row r="334" spans="1:6">
      <c r="A334" s="202"/>
      <c r="B334" s="240"/>
      <c r="C334" s="241"/>
      <c r="D334" s="202"/>
      <c r="E334" s="984"/>
      <c r="F334" s="202"/>
    </row>
    <row r="335" spans="1:6">
      <c r="A335" s="202">
        <v>160</v>
      </c>
      <c r="B335" s="240">
        <v>49229</v>
      </c>
      <c r="C335" s="241"/>
      <c r="D335" s="202"/>
      <c r="E335" s="983">
        <f t="shared" si="22"/>
        <v>0</v>
      </c>
      <c r="F335" s="202"/>
    </row>
    <row r="336" spans="1:6">
      <c r="A336" s="202"/>
      <c r="B336" s="240"/>
      <c r="C336" s="241"/>
      <c r="D336" s="202"/>
      <c r="E336" s="984"/>
      <c r="F336" s="202"/>
    </row>
    <row r="337" spans="1:6">
      <c r="A337" s="202">
        <v>161</v>
      </c>
      <c r="B337" s="240">
        <v>49260</v>
      </c>
      <c r="C337" s="241"/>
      <c r="D337" s="202"/>
      <c r="E337" s="983">
        <f t="shared" si="22"/>
        <v>0</v>
      </c>
      <c r="F337" s="202"/>
    </row>
    <row r="338" spans="1:6">
      <c r="A338" s="202"/>
      <c r="B338" s="240"/>
      <c r="C338" s="241"/>
      <c r="D338" s="202"/>
      <c r="E338" s="984"/>
      <c r="F338" s="202"/>
    </row>
    <row r="339" spans="1:6">
      <c r="A339" s="202">
        <v>162</v>
      </c>
      <c r="B339" s="240">
        <v>49290</v>
      </c>
      <c r="C339" s="241"/>
      <c r="D339" s="202"/>
      <c r="E339" s="983">
        <f t="shared" si="22"/>
        <v>0</v>
      </c>
      <c r="F339" s="202"/>
    </row>
    <row r="340" spans="1:6">
      <c r="A340" s="202"/>
      <c r="B340" s="240"/>
      <c r="C340" s="241"/>
      <c r="D340" s="202"/>
      <c r="E340" s="984"/>
      <c r="F340" s="202"/>
    </row>
    <row r="341" spans="1:6">
      <c r="A341" s="202">
        <v>163</v>
      </c>
      <c r="B341" s="240">
        <v>49321</v>
      </c>
      <c r="C341" s="241"/>
      <c r="D341" s="202"/>
      <c r="E341" s="983">
        <f t="shared" si="22"/>
        <v>0</v>
      </c>
      <c r="F341" s="202"/>
    </row>
    <row r="342" spans="1:6">
      <c r="A342" s="202"/>
      <c r="B342" s="240"/>
      <c r="C342" s="241"/>
      <c r="D342" s="202"/>
      <c r="E342" s="984"/>
      <c r="F342" s="202"/>
    </row>
    <row r="343" spans="1:6">
      <c r="A343" s="202">
        <v>164</v>
      </c>
      <c r="B343" s="240">
        <v>49352</v>
      </c>
      <c r="C343" s="241"/>
      <c r="D343" s="202"/>
      <c r="E343" s="983">
        <f t="shared" si="22"/>
        <v>0</v>
      </c>
      <c r="F343" s="202"/>
    </row>
    <row r="344" spans="1:6">
      <c r="A344" s="202"/>
      <c r="B344" s="240"/>
      <c r="C344" s="241"/>
      <c r="D344" s="202"/>
      <c r="E344" s="984"/>
      <c r="F344" s="202"/>
    </row>
    <row r="345" spans="1:6">
      <c r="A345" s="202">
        <v>165</v>
      </c>
      <c r="B345" s="240">
        <v>49380</v>
      </c>
      <c r="C345" s="241"/>
      <c r="D345" s="202"/>
      <c r="E345" s="983">
        <f t="shared" si="22"/>
        <v>0</v>
      </c>
      <c r="F345" s="202"/>
    </row>
    <row r="346" spans="1:6">
      <c r="A346" s="202"/>
      <c r="B346" s="240"/>
      <c r="C346" s="241"/>
      <c r="D346" s="202"/>
      <c r="E346" s="984"/>
      <c r="F346" s="202"/>
    </row>
    <row r="347" spans="1:6">
      <c r="A347" s="202">
        <v>166</v>
      </c>
      <c r="B347" s="240">
        <v>49411</v>
      </c>
      <c r="C347" s="241"/>
      <c r="D347" s="202"/>
      <c r="E347" s="983">
        <f t="shared" si="22"/>
        <v>0</v>
      </c>
      <c r="F347" s="202"/>
    </row>
    <row r="348" spans="1:6">
      <c r="A348" s="202"/>
      <c r="B348" s="240"/>
      <c r="C348" s="241"/>
      <c r="D348" s="202"/>
      <c r="E348" s="984"/>
      <c r="F348" s="202"/>
    </row>
    <row r="349" spans="1:6">
      <c r="A349" s="202">
        <v>167</v>
      </c>
      <c r="B349" s="240">
        <v>49441</v>
      </c>
      <c r="C349" s="241"/>
      <c r="D349" s="202"/>
      <c r="E349" s="983">
        <f t="shared" si="22"/>
        <v>0</v>
      </c>
      <c r="F349" s="202"/>
    </row>
    <row r="350" spans="1:6">
      <c r="A350" s="202"/>
      <c r="B350" s="240"/>
      <c r="C350" s="241"/>
      <c r="D350" s="202"/>
      <c r="E350" s="984"/>
      <c r="F350" s="202"/>
    </row>
    <row r="351" spans="1:6">
      <c r="A351" s="202">
        <v>168</v>
      </c>
      <c r="B351" s="240">
        <v>49472</v>
      </c>
      <c r="C351" s="241"/>
      <c r="D351" s="202"/>
      <c r="E351" s="983">
        <f t="shared" si="22"/>
        <v>0</v>
      </c>
      <c r="F351" s="202"/>
    </row>
    <row r="352" spans="1:6">
      <c r="A352" s="202"/>
      <c r="B352" s="240"/>
      <c r="C352" s="241"/>
      <c r="D352" s="202"/>
      <c r="E352" s="984"/>
      <c r="F352" s="202"/>
    </row>
    <row r="353" spans="1:6">
      <c r="A353" s="202">
        <v>169</v>
      </c>
      <c r="B353" s="240">
        <v>49502</v>
      </c>
      <c r="C353" s="241"/>
      <c r="D353" s="202"/>
      <c r="E353" s="983">
        <f t="shared" si="22"/>
        <v>0</v>
      </c>
      <c r="F353" s="202"/>
    </row>
    <row r="354" spans="1:6">
      <c r="A354" s="202"/>
      <c r="B354" s="240"/>
      <c r="C354" s="241"/>
      <c r="D354" s="202"/>
      <c r="E354" s="984"/>
      <c r="F354" s="202"/>
    </row>
    <row r="355" spans="1:6">
      <c r="A355" s="202">
        <v>170</v>
      </c>
      <c r="B355" s="240">
        <v>49533</v>
      </c>
      <c r="C355" s="241"/>
      <c r="D355" s="202"/>
      <c r="E355" s="983">
        <f t="shared" si="22"/>
        <v>0</v>
      </c>
      <c r="F355" s="202"/>
    </row>
    <row r="356" spans="1:6">
      <c r="A356" s="202"/>
      <c r="B356" s="240"/>
      <c r="C356" s="241"/>
      <c r="D356" s="202"/>
      <c r="E356" s="984"/>
      <c r="F356" s="202"/>
    </row>
    <row r="357" spans="1:6">
      <c r="A357" s="202">
        <v>171</v>
      </c>
      <c r="B357" s="240">
        <v>49564</v>
      </c>
      <c r="C357" s="241"/>
      <c r="D357" s="202"/>
      <c r="E357" s="983">
        <f t="shared" si="22"/>
        <v>0</v>
      </c>
      <c r="F357" s="202"/>
    </row>
    <row r="358" spans="1:6">
      <c r="A358" s="202"/>
      <c r="B358" s="240"/>
      <c r="C358" s="241"/>
      <c r="D358" s="202"/>
      <c r="E358" s="984"/>
      <c r="F358" s="202"/>
    </row>
    <row r="359" spans="1:6">
      <c r="A359" s="202">
        <v>172</v>
      </c>
      <c r="B359" s="240">
        <v>49594</v>
      </c>
      <c r="C359" s="241"/>
      <c r="D359" s="202"/>
      <c r="E359" s="983">
        <f t="shared" si="22"/>
        <v>0</v>
      </c>
      <c r="F359" s="202"/>
    </row>
    <row r="360" spans="1:6">
      <c r="A360" s="202"/>
      <c r="B360" s="240"/>
      <c r="C360" s="241"/>
      <c r="D360" s="202"/>
      <c r="E360" s="984"/>
      <c r="F360" s="202"/>
    </row>
    <row r="361" spans="1:6">
      <c r="A361" s="202">
        <v>173</v>
      </c>
      <c r="B361" s="240">
        <v>49625</v>
      </c>
      <c r="C361" s="241"/>
      <c r="D361" s="202"/>
      <c r="E361" s="983">
        <f t="shared" si="22"/>
        <v>0</v>
      </c>
      <c r="F361" s="202"/>
    </row>
    <row r="362" spans="1:6">
      <c r="A362" s="202"/>
      <c r="B362" s="240"/>
      <c r="C362" s="241"/>
      <c r="D362" s="202"/>
      <c r="E362" s="984"/>
      <c r="F362" s="202"/>
    </row>
    <row r="363" spans="1:6">
      <c r="A363" s="202">
        <v>174</v>
      </c>
      <c r="B363" s="240">
        <v>49655</v>
      </c>
      <c r="C363" s="241"/>
      <c r="D363" s="202"/>
      <c r="E363" s="983">
        <f t="shared" si="22"/>
        <v>0</v>
      </c>
      <c r="F363" s="202"/>
    </row>
    <row r="364" spans="1:6">
      <c r="A364" s="202"/>
      <c r="B364" s="240"/>
      <c r="C364" s="241"/>
      <c r="D364" s="202"/>
      <c r="E364" s="984"/>
      <c r="F364" s="202"/>
    </row>
    <row r="365" spans="1:6">
      <c r="A365" s="202">
        <v>175</v>
      </c>
      <c r="B365" s="240">
        <v>49686</v>
      </c>
      <c r="C365" s="241"/>
      <c r="D365" s="202"/>
      <c r="E365" s="983">
        <f t="shared" si="22"/>
        <v>0</v>
      </c>
      <c r="F365" s="202"/>
    </row>
    <row r="366" spans="1:6">
      <c r="A366" s="202"/>
      <c r="B366" s="240"/>
      <c r="C366" s="241"/>
      <c r="D366" s="202"/>
      <c r="E366" s="984"/>
      <c r="F366" s="202"/>
    </row>
    <row r="367" spans="1:6">
      <c r="A367" s="202">
        <v>176</v>
      </c>
      <c r="B367" s="240">
        <v>49717</v>
      </c>
      <c r="C367" s="241"/>
      <c r="D367" s="202"/>
      <c r="E367" s="983">
        <f t="shared" si="22"/>
        <v>0</v>
      </c>
      <c r="F367" s="202"/>
    </row>
    <row r="368" spans="1:6">
      <c r="A368" s="202"/>
      <c r="B368" s="240"/>
      <c r="C368" s="241"/>
      <c r="D368" s="202"/>
      <c r="E368" s="984"/>
      <c r="F368" s="202"/>
    </row>
    <row r="369" spans="1:6">
      <c r="A369" s="202">
        <v>177</v>
      </c>
      <c r="B369" s="240">
        <v>49746</v>
      </c>
      <c r="C369" s="241"/>
      <c r="D369" s="202"/>
      <c r="E369" s="983">
        <f t="shared" si="22"/>
        <v>0</v>
      </c>
      <c r="F369" s="202"/>
    </row>
    <row r="370" spans="1:6">
      <c r="A370" s="202"/>
      <c r="B370" s="240"/>
      <c r="C370" s="241"/>
      <c r="D370" s="202"/>
      <c r="E370" s="984"/>
      <c r="F370" s="202"/>
    </row>
    <row r="371" spans="1:6">
      <c r="A371" s="202">
        <v>178</v>
      </c>
      <c r="B371" s="240">
        <v>49777</v>
      </c>
      <c r="C371" s="241"/>
      <c r="D371" s="202"/>
      <c r="E371" s="983">
        <f t="shared" si="22"/>
        <v>0</v>
      </c>
      <c r="F371" s="202"/>
    </row>
    <row r="372" spans="1:6">
      <c r="A372" s="202"/>
      <c r="B372" s="240"/>
      <c r="C372" s="241"/>
      <c r="D372" s="202"/>
      <c r="E372" s="984"/>
      <c r="F372" s="202"/>
    </row>
    <row r="373" spans="1:6">
      <c r="A373" s="202">
        <v>179</v>
      </c>
      <c r="B373" s="240">
        <v>49807</v>
      </c>
      <c r="C373" s="241"/>
      <c r="D373" s="202"/>
      <c r="E373" s="983">
        <f t="shared" si="22"/>
        <v>0</v>
      </c>
      <c r="F373" s="202"/>
    </row>
    <row r="374" spans="1:6">
      <c r="A374" s="202"/>
      <c r="B374" s="240"/>
      <c r="C374" s="241"/>
      <c r="D374" s="202"/>
      <c r="E374" s="984"/>
      <c r="F374" s="202"/>
    </row>
    <row r="375" spans="1:6">
      <c r="A375" s="202">
        <v>180</v>
      </c>
      <c r="B375" s="240">
        <v>49838</v>
      </c>
      <c r="C375" s="241"/>
      <c r="D375" s="202"/>
      <c r="E375" s="983">
        <f t="shared" ref="E375" si="23">SUM(C375:C376)</f>
        <v>0</v>
      </c>
      <c r="F375" s="202"/>
    </row>
    <row r="376" spans="1:6">
      <c r="A376" s="202"/>
      <c r="B376" s="240"/>
      <c r="C376" s="241"/>
      <c r="D376" s="202"/>
      <c r="E376" s="984"/>
      <c r="F376" s="202"/>
    </row>
    <row r="377" spans="1:6">
      <c r="B377" s="235" t="s">
        <v>3242</v>
      </c>
      <c r="C377" s="243">
        <f>SUM(C5:C376)</f>
        <v>129115908</v>
      </c>
      <c r="E377" s="243">
        <f>SUM(E5:E376)</f>
        <v>129115908</v>
      </c>
    </row>
    <row r="378" spans="1:6">
      <c r="C378" s="243"/>
      <c r="E378" s="243"/>
    </row>
    <row r="379" spans="1:6">
      <c r="C379" s="243"/>
      <c r="E379" s="243"/>
    </row>
    <row r="380" spans="1:6">
      <c r="C380" s="243"/>
      <c r="E380" s="243"/>
    </row>
    <row r="381" spans="1:6">
      <c r="C381" s="243"/>
      <c r="E381" s="243"/>
    </row>
    <row r="382" spans="1:6">
      <c r="C382" s="243"/>
      <c r="E382" s="243"/>
    </row>
    <row r="383" spans="1:6">
      <c r="C383" s="243"/>
      <c r="E383" s="243"/>
    </row>
    <row r="384" spans="1:6">
      <c r="C384" s="243"/>
      <c r="E384" s="243"/>
    </row>
    <row r="385" spans="3:5">
      <c r="C385" s="243"/>
      <c r="E385" s="243"/>
    </row>
    <row r="386" spans="3:5">
      <c r="C386" s="243"/>
      <c r="E386" s="243"/>
    </row>
    <row r="387" spans="3:5">
      <c r="C387" s="243"/>
      <c r="E387" s="243"/>
    </row>
    <row r="388" spans="3:5">
      <c r="C388" s="243"/>
      <c r="E388" s="243"/>
    </row>
    <row r="389" spans="3:5">
      <c r="C389" s="243"/>
      <c r="E389" s="243"/>
    </row>
    <row r="390" spans="3:5">
      <c r="C390" s="243"/>
      <c r="E390" s="243"/>
    </row>
    <row r="391" spans="3:5">
      <c r="C391" s="243"/>
      <c r="E391" s="243"/>
    </row>
    <row r="392" spans="3:5">
      <c r="C392" s="243"/>
      <c r="E392" s="243"/>
    </row>
    <row r="393" spans="3:5">
      <c r="C393" s="243"/>
      <c r="E393" s="243"/>
    </row>
    <row r="394" spans="3:5">
      <c r="C394" s="243"/>
      <c r="E394" s="243"/>
    </row>
    <row r="395" spans="3:5">
      <c r="C395" s="243"/>
      <c r="E395" s="243"/>
    </row>
    <row r="396" spans="3:5">
      <c r="C396" s="243"/>
      <c r="E396" s="243"/>
    </row>
    <row r="397" spans="3:5">
      <c r="C397" s="243"/>
      <c r="E397" s="243"/>
    </row>
    <row r="398" spans="3:5">
      <c r="C398" s="243"/>
      <c r="E398" s="243"/>
    </row>
    <row r="399" spans="3:5">
      <c r="C399" s="243"/>
      <c r="E399" s="243"/>
    </row>
    <row r="400" spans="3:5">
      <c r="C400" s="243"/>
      <c r="E400" s="243"/>
    </row>
    <row r="401" spans="3:5">
      <c r="C401" s="243"/>
      <c r="E401" s="243"/>
    </row>
    <row r="402" spans="3:5">
      <c r="C402" s="243"/>
      <c r="E402" s="243"/>
    </row>
    <row r="403" spans="3:5">
      <c r="C403" s="243"/>
      <c r="E403" s="243"/>
    </row>
    <row r="404" spans="3:5">
      <c r="C404" s="243"/>
      <c r="E404" s="243"/>
    </row>
    <row r="405" spans="3:5">
      <c r="C405" s="243"/>
      <c r="E405" s="243"/>
    </row>
    <row r="406" spans="3:5">
      <c r="C406" s="243"/>
      <c r="E406" s="243"/>
    </row>
    <row r="407" spans="3:5">
      <c r="C407" s="243"/>
      <c r="E407" s="243"/>
    </row>
    <row r="408" spans="3:5">
      <c r="C408" s="243"/>
      <c r="E408" s="243"/>
    </row>
    <row r="409" spans="3:5">
      <c r="C409" s="243"/>
      <c r="E409" s="243"/>
    </row>
    <row r="410" spans="3:5">
      <c r="C410" s="243"/>
      <c r="E410" s="243"/>
    </row>
    <row r="411" spans="3:5">
      <c r="C411" s="243"/>
      <c r="E411" s="243"/>
    </row>
    <row r="412" spans="3:5">
      <c r="C412" s="243"/>
      <c r="E412" s="243"/>
    </row>
    <row r="413" spans="3:5">
      <c r="C413" s="243"/>
      <c r="E413" s="243"/>
    </row>
    <row r="414" spans="3:5">
      <c r="C414" s="243"/>
      <c r="E414" s="243"/>
    </row>
    <row r="415" spans="3:5">
      <c r="C415" s="243"/>
      <c r="E415" s="243"/>
    </row>
    <row r="416" spans="3:5">
      <c r="C416" s="243"/>
      <c r="E416" s="243"/>
    </row>
    <row r="417" spans="3:5">
      <c r="C417" s="243"/>
      <c r="E417" s="243"/>
    </row>
    <row r="418" spans="3:5">
      <c r="C418" s="243"/>
      <c r="E418" s="243"/>
    </row>
    <row r="419" spans="3:5">
      <c r="C419" s="243"/>
      <c r="E419" s="243"/>
    </row>
    <row r="420" spans="3:5">
      <c r="C420" s="243"/>
      <c r="E420" s="243"/>
    </row>
    <row r="421" spans="3:5">
      <c r="C421" s="243"/>
      <c r="E421" s="243"/>
    </row>
    <row r="422" spans="3:5">
      <c r="C422" s="243"/>
      <c r="E422" s="243"/>
    </row>
    <row r="423" spans="3:5">
      <c r="C423" s="243"/>
      <c r="E423" s="243"/>
    </row>
    <row r="424" spans="3:5">
      <c r="C424" s="243"/>
      <c r="E424" s="243"/>
    </row>
    <row r="425" spans="3:5">
      <c r="C425" s="243"/>
      <c r="E425" s="243"/>
    </row>
    <row r="426" spans="3:5">
      <c r="C426" s="243"/>
      <c r="E426" s="243"/>
    </row>
    <row r="427" spans="3:5">
      <c r="C427" s="243"/>
      <c r="E427" s="243"/>
    </row>
    <row r="428" spans="3:5">
      <c r="C428" s="243"/>
      <c r="E428" s="243"/>
    </row>
    <row r="429" spans="3:5">
      <c r="C429" s="243"/>
      <c r="E429" s="243"/>
    </row>
    <row r="430" spans="3:5">
      <c r="C430" s="243"/>
      <c r="E430" s="243"/>
    </row>
    <row r="431" spans="3:5">
      <c r="C431" s="243"/>
      <c r="E431" s="243"/>
    </row>
    <row r="432" spans="3:5">
      <c r="C432" s="243"/>
      <c r="E432" s="243"/>
    </row>
    <row r="433" spans="3:5">
      <c r="C433" s="243"/>
      <c r="E433" s="243"/>
    </row>
    <row r="434" spans="3:5">
      <c r="C434" s="243"/>
      <c r="E434" s="243"/>
    </row>
    <row r="435" spans="3:5">
      <c r="C435" s="243"/>
      <c r="E435" s="243"/>
    </row>
    <row r="436" spans="3:5">
      <c r="C436" s="243"/>
      <c r="E436" s="243"/>
    </row>
    <row r="437" spans="3:5">
      <c r="C437" s="243"/>
      <c r="E437" s="243"/>
    </row>
    <row r="438" spans="3:5">
      <c r="C438" s="243"/>
      <c r="E438" s="243"/>
    </row>
    <row r="439" spans="3:5">
      <c r="C439" s="243"/>
      <c r="E439" s="243"/>
    </row>
    <row r="440" spans="3:5">
      <c r="C440" s="243"/>
      <c r="E440" s="243"/>
    </row>
    <row r="441" spans="3:5">
      <c r="C441" s="243"/>
      <c r="E441" s="243"/>
    </row>
    <row r="442" spans="3:5">
      <c r="C442" s="243"/>
      <c r="E442" s="243"/>
    </row>
    <row r="443" spans="3:5">
      <c r="C443" s="243"/>
      <c r="E443" s="243"/>
    </row>
    <row r="444" spans="3:5">
      <c r="C444" s="243"/>
      <c r="E444" s="243"/>
    </row>
    <row r="445" spans="3:5">
      <c r="C445" s="243"/>
      <c r="E445" s="243"/>
    </row>
    <row r="446" spans="3:5">
      <c r="C446" s="243"/>
      <c r="E446" s="243"/>
    </row>
    <row r="447" spans="3:5">
      <c r="C447" s="243"/>
      <c r="E447" s="243"/>
    </row>
    <row r="448" spans="3:5">
      <c r="C448" s="243"/>
      <c r="E448" s="243"/>
    </row>
    <row r="449" spans="3:5">
      <c r="C449" s="243"/>
      <c r="E449" s="243"/>
    </row>
    <row r="450" spans="3:5">
      <c r="C450" s="243"/>
      <c r="E450" s="243"/>
    </row>
    <row r="451" spans="3:5">
      <c r="C451" s="243"/>
      <c r="E451" s="243"/>
    </row>
    <row r="452" spans="3:5">
      <c r="C452" s="243"/>
      <c r="E452" s="243"/>
    </row>
    <row r="453" spans="3:5">
      <c r="C453" s="243"/>
      <c r="E453" s="243"/>
    </row>
    <row r="454" spans="3:5">
      <c r="C454" s="243"/>
      <c r="E454" s="243"/>
    </row>
    <row r="455" spans="3:5">
      <c r="C455" s="243"/>
      <c r="E455" s="243"/>
    </row>
    <row r="456" spans="3:5">
      <c r="C456" s="243"/>
      <c r="E456" s="243"/>
    </row>
    <row r="457" spans="3:5">
      <c r="C457" s="243"/>
      <c r="E457" s="243"/>
    </row>
    <row r="458" spans="3:5">
      <c r="C458" s="243"/>
      <c r="E458" s="243"/>
    </row>
    <row r="459" spans="3:5">
      <c r="C459" s="243"/>
      <c r="E459" s="243"/>
    </row>
    <row r="460" spans="3:5">
      <c r="C460" s="243"/>
      <c r="E460" s="243"/>
    </row>
    <row r="461" spans="3:5">
      <c r="C461" s="243"/>
      <c r="E461" s="243"/>
    </row>
    <row r="462" spans="3:5">
      <c r="C462" s="243"/>
      <c r="E462" s="243"/>
    </row>
    <row r="463" spans="3:5">
      <c r="C463" s="243"/>
      <c r="E463" s="243"/>
    </row>
    <row r="464" spans="3:5">
      <c r="C464" s="243"/>
      <c r="E464" s="243"/>
    </row>
    <row r="465" spans="3:5">
      <c r="C465" s="243"/>
      <c r="E465" s="243"/>
    </row>
    <row r="466" spans="3:5">
      <c r="C466" s="243"/>
      <c r="E466" s="243"/>
    </row>
    <row r="467" spans="3:5">
      <c r="C467" s="243"/>
      <c r="E467" s="243"/>
    </row>
    <row r="468" spans="3:5">
      <c r="C468" s="243"/>
      <c r="E468" s="243"/>
    </row>
    <row r="469" spans="3:5">
      <c r="C469" s="243"/>
      <c r="E469" s="243"/>
    </row>
    <row r="470" spans="3:5">
      <c r="C470" s="243"/>
      <c r="E470" s="243"/>
    </row>
    <row r="471" spans="3:5">
      <c r="C471" s="243"/>
      <c r="E471" s="243"/>
    </row>
    <row r="472" spans="3:5">
      <c r="C472" s="243"/>
      <c r="E472" s="243"/>
    </row>
    <row r="473" spans="3:5">
      <c r="C473" s="243"/>
      <c r="E473" s="243"/>
    </row>
    <row r="474" spans="3:5">
      <c r="C474" s="243"/>
      <c r="E474" s="243"/>
    </row>
    <row r="475" spans="3:5">
      <c r="C475" s="243"/>
      <c r="E475" s="243"/>
    </row>
    <row r="476" spans="3:5">
      <c r="C476" s="243"/>
      <c r="E476" s="243"/>
    </row>
    <row r="477" spans="3:5">
      <c r="C477" s="243"/>
      <c r="E477" s="243"/>
    </row>
    <row r="478" spans="3:5">
      <c r="C478" s="243"/>
      <c r="E478" s="243"/>
    </row>
    <row r="479" spans="3:5">
      <c r="C479" s="243"/>
      <c r="E479" s="243"/>
    </row>
    <row r="480" spans="3:5">
      <c r="C480" s="243"/>
      <c r="E480" s="243"/>
    </row>
    <row r="481" spans="3:5">
      <c r="C481" s="243"/>
      <c r="E481" s="243"/>
    </row>
    <row r="482" spans="3:5">
      <c r="C482" s="243"/>
      <c r="E482" s="243"/>
    </row>
    <row r="483" spans="3:5">
      <c r="C483" s="243"/>
      <c r="E483" s="243"/>
    </row>
    <row r="484" spans="3:5">
      <c r="C484" s="243"/>
      <c r="E484" s="243"/>
    </row>
    <row r="485" spans="3:5">
      <c r="C485" s="243"/>
      <c r="E485" s="243"/>
    </row>
    <row r="486" spans="3:5">
      <c r="C486" s="243"/>
      <c r="E486" s="243"/>
    </row>
    <row r="487" spans="3:5">
      <c r="C487" s="243"/>
      <c r="E487" s="243"/>
    </row>
    <row r="488" spans="3:5">
      <c r="C488" s="243"/>
      <c r="E488" s="243"/>
    </row>
    <row r="489" spans="3:5">
      <c r="C489" s="243"/>
      <c r="E489" s="243"/>
    </row>
    <row r="490" spans="3:5">
      <c r="C490" s="243"/>
      <c r="E490" s="243"/>
    </row>
    <row r="491" spans="3:5">
      <c r="C491" s="243"/>
      <c r="E491" s="243"/>
    </row>
    <row r="492" spans="3:5">
      <c r="C492" s="243"/>
      <c r="E492" s="243"/>
    </row>
    <row r="493" spans="3:5">
      <c r="C493" s="243"/>
      <c r="E493" s="243"/>
    </row>
    <row r="494" spans="3:5">
      <c r="C494" s="243"/>
      <c r="E494" s="243"/>
    </row>
    <row r="495" spans="3:5">
      <c r="C495" s="243"/>
      <c r="E495" s="243"/>
    </row>
    <row r="496" spans="3:5">
      <c r="C496" s="243"/>
      <c r="E496" s="243"/>
    </row>
    <row r="497" spans="3:5">
      <c r="C497" s="243"/>
      <c r="E497" s="243"/>
    </row>
    <row r="498" spans="3:5">
      <c r="C498" s="243"/>
      <c r="E498" s="243"/>
    </row>
    <row r="499" spans="3:5">
      <c r="C499" s="243"/>
      <c r="E499" s="243"/>
    </row>
    <row r="500" spans="3:5">
      <c r="C500" s="243"/>
      <c r="E500" s="243"/>
    </row>
    <row r="501" spans="3:5">
      <c r="C501" s="243"/>
      <c r="E501" s="243"/>
    </row>
    <row r="502" spans="3:5">
      <c r="C502" s="243"/>
      <c r="E502" s="243"/>
    </row>
    <row r="503" spans="3:5">
      <c r="C503" s="243"/>
      <c r="E503" s="243"/>
    </row>
    <row r="504" spans="3:5">
      <c r="C504" s="243"/>
      <c r="E504" s="243"/>
    </row>
    <row r="505" spans="3:5">
      <c r="C505" s="243"/>
      <c r="E505" s="243"/>
    </row>
    <row r="506" spans="3:5">
      <c r="C506" s="243"/>
      <c r="E506" s="243"/>
    </row>
    <row r="507" spans="3:5">
      <c r="C507" s="243"/>
      <c r="E507" s="243"/>
    </row>
    <row r="508" spans="3:5">
      <c r="C508" s="243"/>
      <c r="E508" s="243"/>
    </row>
    <row r="509" spans="3:5">
      <c r="C509" s="243"/>
      <c r="E509" s="243"/>
    </row>
    <row r="510" spans="3:5">
      <c r="C510" s="243"/>
      <c r="E510" s="243"/>
    </row>
    <row r="511" spans="3:5">
      <c r="C511" s="243"/>
      <c r="E511" s="243"/>
    </row>
    <row r="512" spans="3:5">
      <c r="C512" s="243"/>
      <c r="E512" s="243"/>
    </row>
    <row r="513" spans="3:5">
      <c r="C513" s="243"/>
      <c r="E513" s="243"/>
    </row>
    <row r="514" spans="3:5">
      <c r="C514" s="243"/>
      <c r="E514" s="243"/>
    </row>
    <row r="515" spans="3:5">
      <c r="C515" s="243"/>
      <c r="E515" s="243"/>
    </row>
    <row r="516" spans="3:5">
      <c r="C516" s="243"/>
      <c r="E516" s="243"/>
    </row>
    <row r="517" spans="3:5">
      <c r="C517" s="243"/>
      <c r="E517" s="243"/>
    </row>
    <row r="518" spans="3:5">
      <c r="C518" s="243"/>
      <c r="E518" s="243"/>
    </row>
    <row r="519" spans="3:5">
      <c r="C519" s="243"/>
      <c r="E519" s="243"/>
    </row>
    <row r="520" spans="3:5">
      <c r="C520" s="243"/>
      <c r="E520" s="243"/>
    </row>
    <row r="521" spans="3:5">
      <c r="C521" s="243"/>
      <c r="E521" s="243"/>
    </row>
    <row r="522" spans="3:5">
      <c r="C522" s="243"/>
      <c r="E522" s="243"/>
    </row>
    <row r="523" spans="3:5">
      <c r="C523" s="243"/>
      <c r="E523" s="243"/>
    </row>
    <row r="524" spans="3:5">
      <c r="C524" s="243"/>
      <c r="E524" s="243"/>
    </row>
    <row r="525" spans="3:5">
      <c r="C525" s="243"/>
      <c r="E525" s="243"/>
    </row>
    <row r="526" spans="3:5">
      <c r="C526" s="243"/>
      <c r="E526" s="243"/>
    </row>
    <row r="527" spans="3:5">
      <c r="C527" s="243"/>
      <c r="E527" s="243"/>
    </row>
    <row r="528" spans="3:5">
      <c r="C528" s="243"/>
      <c r="E528" s="243"/>
    </row>
    <row r="529" spans="3:5">
      <c r="C529" s="243"/>
      <c r="E529" s="243"/>
    </row>
    <row r="530" spans="3:5">
      <c r="C530" s="243"/>
      <c r="E530" s="243"/>
    </row>
    <row r="531" spans="3:5">
      <c r="C531" s="243"/>
      <c r="E531" s="243"/>
    </row>
    <row r="532" spans="3:5">
      <c r="C532" s="243"/>
      <c r="E532" s="243"/>
    </row>
    <row r="533" spans="3:5">
      <c r="C533" s="243"/>
      <c r="E533" s="243"/>
    </row>
    <row r="534" spans="3:5">
      <c r="C534" s="243"/>
      <c r="E534" s="243"/>
    </row>
    <row r="535" spans="3:5">
      <c r="C535" s="243"/>
      <c r="E535" s="243"/>
    </row>
    <row r="536" spans="3:5">
      <c r="C536" s="243"/>
      <c r="E536" s="243"/>
    </row>
    <row r="537" spans="3:5">
      <c r="C537" s="243"/>
      <c r="E537" s="243"/>
    </row>
    <row r="538" spans="3:5">
      <c r="C538" s="243"/>
      <c r="E538" s="243"/>
    </row>
    <row r="539" spans="3:5">
      <c r="C539" s="243"/>
      <c r="E539" s="243"/>
    </row>
    <row r="540" spans="3:5">
      <c r="C540" s="243"/>
      <c r="E540" s="243"/>
    </row>
    <row r="541" spans="3:5">
      <c r="C541" s="243"/>
      <c r="E541" s="243"/>
    </row>
    <row r="542" spans="3:5">
      <c r="C542" s="243"/>
      <c r="E542" s="243"/>
    </row>
    <row r="543" spans="3:5">
      <c r="C543" s="243"/>
      <c r="E543" s="243"/>
    </row>
    <row r="544" spans="3:5">
      <c r="C544" s="243"/>
      <c r="E544" s="243"/>
    </row>
    <row r="545" spans="3:5">
      <c r="C545" s="243"/>
      <c r="E545" s="243"/>
    </row>
    <row r="546" spans="3:5">
      <c r="C546" s="243"/>
      <c r="E546" s="243"/>
    </row>
    <row r="547" spans="3:5">
      <c r="C547" s="243"/>
      <c r="E547" s="243"/>
    </row>
    <row r="548" spans="3:5">
      <c r="C548" s="243"/>
      <c r="E548" s="243"/>
    </row>
    <row r="549" spans="3:5">
      <c r="C549" s="243"/>
      <c r="E549" s="243"/>
    </row>
    <row r="550" spans="3:5">
      <c r="C550" s="243"/>
      <c r="E550" s="243"/>
    </row>
    <row r="551" spans="3:5">
      <c r="C551" s="243"/>
      <c r="E551" s="243"/>
    </row>
    <row r="552" spans="3:5">
      <c r="C552" s="243"/>
      <c r="E552" s="243"/>
    </row>
    <row r="553" spans="3:5">
      <c r="C553" s="243"/>
      <c r="E553" s="243"/>
    </row>
    <row r="554" spans="3:5">
      <c r="C554" s="243"/>
      <c r="E554" s="243"/>
    </row>
    <row r="555" spans="3:5">
      <c r="C555" s="243"/>
      <c r="E555" s="243"/>
    </row>
    <row r="556" spans="3:5">
      <c r="C556" s="243"/>
      <c r="E556" s="243"/>
    </row>
    <row r="557" spans="3:5">
      <c r="C557" s="243"/>
      <c r="E557" s="243"/>
    </row>
    <row r="558" spans="3:5">
      <c r="C558" s="243"/>
      <c r="E558" s="243"/>
    </row>
    <row r="559" spans="3:5">
      <c r="C559" s="243"/>
      <c r="E559" s="243"/>
    </row>
    <row r="560" spans="3:5">
      <c r="C560" s="243"/>
      <c r="E560" s="243"/>
    </row>
    <row r="561" spans="3:5">
      <c r="C561" s="243"/>
      <c r="E561" s="243"/>
    </row>
    <row r="562" spans="3:5">
      <c r="C562" s="243"/>
      <c r="E562" s="243"/>
    </row>
    <row r="563" spans="3:5">
      <c r="C563" s="243"/>
      <c r="E563" s="243"/>
    </row>
    <row r="564" spans="3:5">
      <c r="C564" s="243"/>
      <c r="E564" s="243"/>
    </row>
    <row r="565" spans="3:5">
      <c r="C565" s="243"/>
      <c r="E565" s="243"/>
    </row>
    <row r="566" spans="3:5">
      <c r="C566" s="243"/>
      <c r="E566" s="243"/>
    </row>
    <row r="567" spans="3:5">
      <c r="C567" s="243"/>
      <c r="E567" s="243"/>
    </row>
    <row r="568" spans="3:5">
      <c r="C568" s="243"/>
      <c r="E568" s="243"/>
    </row>
    <row r="569" spans="3:5">
      <c r="C569" s="243"/>
      <c r="E569" s="243"/>
    </row>
    <row r="570" spans="3:5">
      <c r="C570" s="243"/>
      <c r="E570" s="243"/>
    </row>
    <row r="571" spans="3:5">
      <c r="C571" s="243"/>
      <c r="E571" s="243"/>
    </row>
    <row r="572" spans="3:5">
      <c r="C572" s="243"/>
      <c r="E572" s="243"/>
    </row>
    <row r="573" spans="3:5">
      <c r="C573" s="243"/>
      <c r="E573" s="243"/>
    </row>
    <row r="574" spans="3:5">
      <c r="C574" s="243"/>
      <c r="E574" s="243"/>
    </row>
    <row r="575" spans="3:5">
      <c r="C575" s="243"/>
      <c r="E575" s="243"/>
    </row>
    <row r="576" spans="3:5">
      <c r="C576" s="243"/>
      <c r="E576" s="243"/>
    </row>
    <row r="577" spans="3:5">
      <c r="C577" s="243"/>
      <c r="E577" s="243"/>
    </row>
    <row r="578" spans="3:5">
      <c r="C578" s="243"/>
      <c r="E578" s="243"/>
    </row>
    <row r="579" spans="3:5">
      <c r="C579" s="243"/>
      <c r="E579" s="243"/>
    </row>
    <row r="580" spans="3:5">
      <c r="C580" s="243"/>
      <c r="E580" s="243"/>
    </row>
    <row r="581" spans="3:5">
      <c r="C581" s="243"/>
      <c r="E581" s="243"/>
    </row>
    <row r="582" spans="3:5">
      <c r="C582" s="243"/>
      <c r="E582" s="243"/>
    </row>
    <row r="583" spans="3:5">
      <c r="C583" s="243"/>
      <c r="E583" s="243"/>
    </row>
    <row r="584" spans="3:5">
      <c r="C584" s="243"/>
      <c r="E584" s="243"/>
    </row>
    <row r="585" spans="3:5">
      <c r="C585" s="243"/>
      <c r="E585" s="243"/>
    </row>
    <row r="586" spans="3:5">
      <c r="C586" s="243"/>
      <c r="E586" s="243"/>
    </row>
    <row r="587" spans="3:5">
      <c r="C587" s="243"/>
      <c r="E587" s="243"/>
    </row>
    <row r="588" spans="3:5">
      <c r="C588" s="243"/>
      <c r="E588" s="243"/>
    </row>
    <row r="589" spans="3:5">
      <c r="C589" s="243"/>
      <c r="E589" s="243"/>
    </row>
    <row r="590" spans="3:5">
      <c r="C590" s="243"/>
      <c r="E590" s="243"/>
    </row>
    <row r="591" spans="3:5">
      <c r="C591" s="243"/>
      <c r="E591" s="243"/>
    </row>
    <row r="592" spans="3:5">
      <c r="C592" s="243"/>
      <c r="E592" s="243"/>
    </row>
    <row r="593" spans="3:5">
      <c r="C593" s="243"/>
      <c r="E593" s="243"/>
    </row>
    <row r="594" spans="3:5">
      <c r="C594" s="243"/>
      <c r="E594" s="243"/>
    </row>
    <row r="595" spans="3:5">
      <c r="C595" s="243"/>
      <c r="E595" s="243"/>
    </row>
    <row r="596" spans="3:5">
      <c r="C596" s="243"/>
      <c r="E596" s="243"/>
    </row>
    <row r="597" spans="3:5">
      <c r="C597" s="243"/>
      <c r="E597" s="243"/>
    </row>
    <row r="598" spans="3:5">
      <c r="C598" s="243"/>
      <c r="E598" s="243"/>
    </row>
    <row r="599" spans="3:5">
      <c r="C599" s="243"/>
      <c r="E599" s="243"/>
    </row>
    <row r="600" spans="3:5">
      <c r="C600" s="243"/>
      <c r="E600" s="243"/>
    </row>
    <row r="601" spans="3:5">
      <c r="C601" s="243"/>
      <c r="E601" s="243"/>
    </row>
    <row r="602" spans="3:5">
      <c r="C602" s="243"/>
      <c r="E602" s="243"/>
    </row>
    <row r="603" spans="3:5">
      <c r="C603" s="243"/>
      <c r="E603" s="243"/>
    </row>
    <row r="604" spans="3:5">
      <c r="C604" s="243"/>
      <c r="E604" s="243"/>
    </row>
    <row r="605" spans="3:5">
      <c r="C605" s="243"/>
      <c r="E605" s="243"/>
    </row>
    <row r="606" spans="3:5">
      <c r="C606" s="243"/>
      <c r="E606" s="243"/>
    </row>
    <row r="607" spans="3:5">
      <c r="C607" s="243"/>
      <c r="E607" s="243"/>
    </row>
    <row r="608" spans="3:5">
      <c r="C608" s="243"/>
      <c r="E608" s="243"/>
    </row>
    <row r="609" spans="3:5">
      <c r="C609" s="243"/>
      <c r="E609" s="243"/>
    </row>
    <row r="610" spans="3:5">
      <c r="C610" s="243"/>
      <c r="E610" s="243"/>
    </row>
    <row r="611" spans="3:5">
      <c r="C611" s="243"/>
      <c r="E611" s="243"/>
    </row>
    <row r="612" spans="3:5">
      <c r="C612" s="243"/>
      <c r="E612" s="243"/>
    </row>
    <row r="613" spans="3:5">
      <c r="C613" s="243"/>
      <c r="E613" s="243"/>
    </row>
    <row r="614" spans="3:5">
      <c r="C614" s="243"/>
      <c r="E614" s="243"/>
    </row>
    <row r="615" spans="3:5">
      <c r="C615" s="243"/>
      <c r="E615" s="243"/>
    </row>
    <row r="616" spans="3:5">
      <c r="C616" s="243"/>
      <c r="E616" s="243"/>
    </row>
    <row r="617" spans="3:5">
      <c r="C617" s="243"/>
      <c r="E617" s="243"/>
    </row>
    <row r="618" spans="3:5">
      <c r="C618" s="243"/>
      <c r="E618" s="243"/>
    </row>
    <row r="619" spans="3:5">
      <c r="C619" s="243"/>
      <c r="E619" s="243"/>
    </row>
    <row r="620" spans="3:5">
      <c r="C620" s="243"/>
      <c r="E620" s="243"/>
    </row>
    <row r="621" spans="3:5">
      <c r="C621" s="243"/>
      <c r="E621" s="243"/>
    </row>
    <row r="622" spans="3:5">
      <c r="C622" s="243"/>
      <c r="E622" s="243"/>
    </row>
    <row r="623" spans="3:5">
      <c r="C623" s="243"/>
      <c r="E623" s="243"/>
    </row>
    <row r="624" spans="3:5">
      <c r="C624" s="243"/>
      <c r="E624" s="243"/>
    </row>
    <row r="625" spans="3:5">
      <c r="C625" s="243"/>
      <c r="E625" s="243"/>
    </row>
    <row r="626" spans="3:5">
      <c r="C626" s="243"/>
      <c r="E626" s="243"/>
    </row>
    <row r="627" spans="3:5">
      <c r="C627" s="243"/>
      <c r="E627" s="243"/>
    </row>
    <row r="628" spans="3:5">
      <c r="C628" s="243"/>
      <c r="E628" s="243"/>
    </row>
    <row r="629" spans="3:5">
      <c r="C629" s="243"/>
      <c r="E629" s="243"/>
    </row>
    <row r="630" spans="3:5">
      <c r="C630" s="243"/>
      <c r="E630" s="243"/>
    </row>
  </sheetData>
  <mergeCells count="183">
    <mergeCell ref="A1:F3"/>
    <mergeCell ref="E32:E33"/>
    <mergeCell ref="E54:E55"/>
    <mergeCell ref="E61:E62"/>
    <mergeCell ref="E83:E84"/>
    <mergeCell ref="E121:E122"/>
    <mergeCell ref="E143:E144"/>
    <mergeCell ref="E133:E134"/>
    <mergeCell ref="E155:E156"/>
    <mergeCell ref="E141:E142"/>
    <mergeCell ref="E145:E146"/>
    <mergeCell ref="E40:E41"/>
    <mergeCell ref="E75:E76"/>
    <mergeCell ref="E103:E104"/>
    <mergeCell ref="E131:E132"/>
    <mergeCell ref="E127:E128"/>
    <mergeCell ref="E117:E118"/>
    <mergeCell ref="E16:E17"/>
    <mergeCell ref="E48:E49"/>
    <mergeCell ref="E137:E138"/>
    <mergeCell ref="E13:E15"/>
    <mergeCell ref="E125:E126"/>
    <mergeCell ref="E147:E148"/>
    <mergeCell ref="E9:E11"/>
    <mergeCell ref="E283:E284"/>
    <mergeCell ref="E269:E270"/>
    <mergeCell ref="E273:E274"/>
    <mergeCell ref="E327:E328"/>
    <mergeCell ref="E195:E196"/>
    <mergeCell ref="E191:E192"/>
    <mergeCell ref="E181:E182"/>
    <mergeCell ref="E221:E222"/>
    <mergeCell ref="E243:E244"/>
    <mergeCell ref="E289:E290"/>
    <mergeCell ref="E311:E312"/>
    <mergeCell ref="E197:E198"/>
    <mergeCell ref="E219:E220"/>
    <mergeCell ref="E287:E288"/>
    <mergeCell ref="E277:E278"/>
    <mergeCell ref="E225:E226"/>
    <mergeCell ref="E247:E248"/>
    <mergeCell ref="E229:E230"/>
    <mergeCell ref="E251:E252"/>
    <mergeCell ref="E237:E238"/>
    <mergeCell ref="E241:E242"/>
    <mergeCell ref="E295:E296"/>
    <mergeCell ref="E257:E258"/>
    <mergeCell ref="E279:E280"/>
    <mergeCell ref="E159:E160"/>
    <mergeCell ref="E149:E150"/>
    <mergeCell ref="E105:E106"/>
    <mergeCell ref="E139:E140"/>
    <mergeCell ref="E73:E74"/>
    <mergeCell ref="E107:E108"/>
    <mergeCell ref="E167:E168"/>
    <mergeCell ref="E193:E194"/>
    <mergeCell ref="E215:E216"/>
    <mergeCell ref="E157:E158"/>
    <mergeCell ref="E179:E180"/>
    <mergeCell ref="E115:E116"/>
    <mergeCell ref="E101:E102"/>
    <mergeCell ref="E123:E124"/>
    <mergeCell ref="E109:E110"/>
    <mergeCell ref="E113:E114"/>
    <mergeCell ref="E119:E120"/>
    <mergeCell ref="E129:E130"/>
    <mergeCell ref="E161:E162"/>
    <mergeCell ref="E183:E184"/>
    <mergeCell ref="E189:E190"/>
    <mergeCell ref="E211:E212"/>
    <mergeCell ref="E165:E166"/>
    <mergeCell ref="E187:E188"/>
    <mergeCell ref="E26:E27"/>
    <mergeCell ref="E38:E39"/>
    <mergeCell ref="E67:E68"/>
    <mergeCell ref="E63:E64"/>
    <mergeCell ref="E52:E53"/>
    <mergeCell ref="E71:E72"/>
    <mergeCell ref="E99:E100"/>
    <mergeCell ref="E95:E96"/>
    <mergeCell ref="E85:E86"/>
    <mergeCell ref="E30:E31"/>
    <mergeCell ref="E57:E58"/>
    <mergeCell ref="E79:E80"/>
    <mergeCell ref="E28:E29"/>
    <mergeCell ref="E50:E51"/>
    <mergeCell ref="E97:E98"/>
    <mergeCell ref="E69:E70"/>
    <mergeCell ref="E91:E92"/>
    <mergeCell ref="E77:E78"/>
    <mergeCell ref="E81:E82"/>
    <mergeCell ref="E18:E19"/>
    <mergeCell ref="E42:E43"/>
    <mergeCell ref="E89:E90"/>
    <mergeCell ref="E111:E112"/>
    <mergeCell ref="E169:E170"/>
    <mergeCell ref="E203:E204"/>
    <mergeCell ref="E249:E250"/>
    <mergeCell ref="E271:E272"/>
    <mergeCell ref="E34:E35"/>
    <mergeCell ref="E24:E25"/>
    <mergeCell ref="E20:E21"/>
    <mergeCell ref="E65:E66"/>
    <mergeCell ref="E87:E88"/>
    <mergeCell ref="E22:E23"/>
    <mergeCell ref="E46:E47"/>
    <mergeCell ref="E36:E37"/>
    <mergeCell ref="E59:E60"/>
    <mergeCell ref="E44:E45"/>
    <mergeCell ref="E153:E154"/>
    <mergeCell ref="E175:E176"/>
    <mergeCell ref="E135:E136"/>
    <mergeCell ref="E163:E164"/>
    <mergeCell ref="E151:E152"/>
    <mergeCell ref="E93:E94"/>
    <mergeCell ref="E171:E172"/>
    <mergeCell ref="E199:E200"/>
    <mergeCell ref="E227:E228"/>
    <mergeCell ref="E223:E224"/>
    <mergeCell ref="E213:E214"/>
    <mergeCell ref="E205:E206"/>
    <mergeCell ref="E209:E210"/>
    <mergeCell ref="E263:E264"/>
    <mergeCell ref="E291:E292"/>
    <mergeCell ref="E173:E174"/>
    <mergeCell ref="E177:E178"/>
    <mergeCell ref="E231:E232"/>
    <mergeCell ref="E259:E260"/>
    <mergeCell ref="E255:E256"/>
    <mergeCell ref="E245:E246"/>
    <mergeCell ref="E201:E202"/>
    <mergeCell ref="E235:E236"/>
    <mergeCell ref="E281:E282"/>
    <mergeCell ref="E185:E186"/>
    <mergeCell ref="E207:E208"/>
    <mergeCell ref="E265:E266"/>
    <mergeCell ref="E233:E234"/>
    <mergeCell ref="E267:E268"/>
    <mergeCell ref="E217:E218"/>
    <mergeCell ref="E239:E240"/>
    <mergeCell ref="E261:E262"/>
    <mergeCell ref="E253:E254"/>
    <mergeCell ref="E275:E276"/>
    <mergeCell ref="E321:E322"/>
    <mergeCell ref="E343:E344"/>
    <mergeCell ref="E349:E350"/>
    <mergeCell ref="E371:E372"/>
    <mergeCell ref="E285:E286"/>
    <mergeCell ref="E307:E308"/>
    <mergeCell ref="E325:E326"/>
    <mergeCell ref="E347:E348"/>
    <mergeCell ref="E333:E334"/>
    <mergeCell ref="E337:E338"/>
    <mergeCell ref="E297:E298"/>
    <mergeCell ref="E331:E332"/>
    <mergeCell ref="E293:E294"/>
    <mergeCell ref="E315:E316"/>
    <mergeCell ref="E301:E302"/>
    <mergeCell ref="E305:E306"/>
    <mergeCell ref="E317:E318"/>
    <mergeCell ref="E339:E340"/>
    <mergeCell ref="E329:E330"/>
    <mergeCell ref="E363:E364"/>
    <mergeCell ref="E299:E300"/>
    <mergeCell ref="E345:E346"/>
    <mergeCell ref="E373:E374"/>
    <mergeCell ref="E353:E354"/>
    <mergeCell ref="E365:E366"/>
    <mergeCell ref="E361:E362"/>
    <mergeCell ref="E359:E360"/>
    <mergeCell ref="E357:E358"/>
    <mergeCell ref="E369:E370"/>
    <mergeCell ref="E375:E376"/>
    <mergeCell ref="E303:E304"/>
    <mergeCell ref="E367:E368"/>
    <mergeCell ref="E323:E324"/>
    <mergeCell ref="E319:E320"/>
    <mergeCell ref="E309:E310"/>
    <mergeCell ref="E355:E356"/>
    <mergeCell ref="E351:E352"/>
    <mergeCell ref="E341:E342"/>
    <mergeCell ref="E313:E314"/>
    <mergeCell ref="E335:E336"/>
  </mergeCells>
  <printOptions horizontalCentered="1" verticalCentered="1"/>
  <pageMargins left="0.235416666666667" right="0.235416666666667" top="0.74791666666666701" bottom="0.74791666666666701" header="0.31388888888888899" footer="0.31388888888888899"/>
  <pageSetup paperSize="9" scale="7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71"/>
  <sheetViews>
    <sheetView topLeftCell="A22" workbookViewId="0">
      <selection activeCell="E35" sqref="E35"/>
    </sheetView>
  </sheetViews>
  <sheetFormatPr defaultColWidth="9" defaultRowHeight="14"/>
  <cols>
    <col min="1" max="1" width="9.25" style="235" customWidth="1"/>
    <col min="2" max="2" width="11.5" style="235" customWidth="1"/>
    <col min="3" max="3" width="9.75" style="236" customWidth="1"/>
    <col min="4" max="4" width="11.5" style="235" customWidth="1"/>
    <col min="5" max="5" width="29.25" style="235" customWidth="1"/>
    <col min="6" max="6" width="1.58203125" customWidth="1"/>
  </cols>
  <sheetData>
    <row r="1" spans="1:5">
      <c r="A1" s="985" t="s">
        <v>3243</v>
      </c>
      <c r="B1" s="985"/>
      <c r="C1" s="985"/>
      <c r="D1" s="985"/>
      <c r="E1" s="985"/>
    </row>
    <row r="2" spans="1:5">
      <c r="A2" s="985"/>
      <c r="B2" s="985"/>
      <c r="C2" s="985"/>
      <c r="D2" s="985"/>
      <c r="E2" s="985"/>
    </row>
    <row r="3" spans="1:5">
      <c r="A3" s="985"/>
      <c r="B3" s="985"/>
      <c r="C3" s="985"/>
      <c r="D3" s="985"/>
      <c r="E3" s="985"/>
    </row>
    <row r="4" spans="1:5" s="237" customFormat="1" ht="32.25" customHeight="1">
      <c r="A4" s="238" t="s">
        <v>3211</v>
      </c>
      <c r="B4" s="238" t="s">
        <v>3212</v>
      </c>
      <c r="C4" s="238" t="s">
        <v>3213</v>
      </c>
      <c r="D4" s="238" t="s">
        <v>3214</v>
      </c>
      <c r="E4" s="238" t="s">
        <v>3215</v>
      </c>
    </row>
    <row r="5" spans="1:5" s="237" customFormat="1" ht="13.5" customHeight="1">
      <c r="A5" s="202">
        <v>1</v>
      </c>
      <c r="B5" s="240">
        <v>44302</v>
      </c>
      <c r="C5" s="241">
        <v>270000</v>
      </c>
      <c r="D5" s="240"/>
      <c r="E5" s="202"/>
    </row>
    <row r="6" spans="1:5" s="237" customFormat="1" ht="13.5" customHeight="1">
      <c r="A6" s="202">
        <v>2</v>
      </c>
      <c r="B6" s="240">
        <v>44332</v>
      </c>
      <c r="C6" s="241">
        <v>270000</v>
      </c>
      <c r="D6" s="240"/>
      <c r="E6" s="202"/>
    </row>
    <row r="7" spans="1:5" s="237" customFormat="1" ht="13.5" customHeight="1">
      <c r="A7" s="202">
        <v>3</v>
      </c>
      <c r="B7" s="240">
        <v>44363</v>
      </c>
      <c r="C7" s="241">
        <v>270000</v>
      </c>
      <c r="D7" s="240"/>
      <c r="E7" s="202"/>
    </row>
    <row r="8" spans="1:5" s="237" customFormat="1" ht="13.5" customHeight="1">
      <c r="A8" s="202">
        <v>4</v>
      </c>
      <c r="B8" s="240">
        <v>44393</v>
      </c>
      <c r="C8" s="241">
        <v>270000</v>
      </c>
      <c r="D8" s="240"/>
      <c r="E8" s="202"/>
    </row>
    <row r="9" spans="1:5" s="237" customFormat="1" ht="13.5" customHeight="1">
      <c r="A9" s="202">
        <v>5</v>
      </c>
      <c r="B9" s="240">
        <v>44424</v>
      </c>
      <c r="C9" s="241">
        <v>270000</v>
      </c>
      <c r="D9" s="240"/>
      <c r="E9" s="202"/>
    </row>
    <row r="10" spans="1:5" ht="13.5" customHeight="1">
      <c r="A10" s="202">
        <v>6</v>
      </c>
      <c r="B10" s="240">
        <v>44455</v>
      </c>
      <c r="C10" s="241">
        <v>270000</v>
      </c>
      <c r="D10" s="240">
        <v>44455</v>
      </c>
      <c r="E10" s="202" t="s">
        <v>3244</v>
      </c>
    </row>
    <row r="11" spans="1:5">
      <c r="A11" s="202">
        <v>7</v>
      </c>
      <c r="B11" s="240">
        <v>44485</v>
      </c>
      <c r="C11" s="241">
        <v>270000</v>
      </c>
      <c r="D11" s="240">
        <v>44487</v>
      </c>
      <c r="E11" s="202" t="s">
        <v>3245</v>
      </c>
    </row>
    <row r="12" spans="1:5">
      <c r="A12" s="202">
        <v>8</v>
      </c>
      <c r="B12" s="240">
        <v>44516</v>
      </c>
      <c r="C12" s="241">
        <v>270000</v>
      </c>
      <c r="D12" s="240">
        <v>44516</v>
      </c>
      <c r="E12" s="202" t="s">
        <v>3246</v>
      </c>
    </row>
    <row r="13" spans="1:5">
      <c r="A13" s="202">
        <v>9</v>
      </c>
      <c r="B13" s="240">
        <v>44546</v>
      </c>
      <c r="C13" s="241">
        <v>270000</v>
      </c>
      <c r="D13" s="240">
        <v>44567</v>
      </c>
      <c r="E13" s="202" t="s">
        <v>3247</v>
      </c>
    </row>
    <row r="14" spans="1:5">
      <c r="A14" s="202">
        <v>10</v>
      </c>
      <c r="B14" s="240">
        <v>44577</v>
      </c>
      <c r="C14" s="241">
        <v>270000</v>
      </c>
      <c r="D14" s="240">
        <v>44578</v>
      </c>
      <c r="E14" s="202" t="s">
        <v>3248</v>
      </c>
    </row>
    <row r="15" spans="1:5">
      <c r="A15" s="202">
        <v>11</v>
      </c>
      <c r="B15" s="240">
        <v>44608</v>
      </c>
      <c r="C15" s="241">
        <v>270000</v>
      </c>
      <c r="D15" s="240">
        <v>44608</v>
      </c>
      <c r="E15" s="202" t="s">
        <v>3249</v>
      </c>
    </row>
    <row r="16" spans="1:5">
      <c r="A16" s="202">
        <v>12</v>
      </c>
      <c r="B16" s="240">
        <v>44636</v>
      </c>
      <c r="C16" s="241">
        <v>270000</v>
      </c>
      <c r="D16" s="240">
        <v>44636</v>
      </c>
      <c r="E16" s="202" t="s">
        <v>3250</v>
      </c>
    </row>
    <row r="17" spans="1:5">
      <c r="A17" s="202">
        <v>13</v>
      </c>
      <c r="B17" s="240">
        <v>44667</v>
      </c>
      <c r="C17" s="241">
        <v>270000</v>
      </c>
      <c r="D17" s="240">
        <v>44690</v>
      </c>
      <c r="E17" s="202" t="s">
        <v>3251</v>
      </c>
    </row>
    <row r="18" spans="1:5">
      <c r="A18" s="202">
        <v>14</v>
      </c>
      <c r="B18" s="240">
        <v>44697</v>
      </c>
      <c r="C18" s="241">
        <v>270000</v>
      </c>
      <c r="D18" s="240">
        <v>44698</v>
      </c>
      <c r="E18" s="202" t="s">
        <v>3252</v>
      </c>
    </row>
    <row r="19" spans="1:5">
      <c r="A19" s="202">
        <v>15</v>
      </c>
      <c r="B19" s="240">
        <v>44728</v>
      </c>
      <c r="C19" s="241">
        <v>270000</v>
      </c>
      <c r="D19" s="240">
        <v>44728</v>
      </c>
      <c r="E19" s="202" t="s">
        <v>3253</v>
      </c>
    </row>
    <row r="20" spans="1:5">
      <c r="A20" s="202">
        <v>16</v>
      </c>
      <c r="B20" s="240">
        <v>44758</v>
      </c>
      <c r="C20" s="241">
        <v>270000</v>
      </c>
      <c r="D20" s="240">
        <v>44760</v>
      </c>
      <c r="E20" s="202" t="s">
        <v>3254</v>
      </c>
    </row>
    <row r="21" spans="1:5">
      <c r="A21" s="202">
        <v>17</v>
      </c>
      <c r="B21" s="240">
        <v>44789</v>
      </c>
      <c r="C21" s="241">
        <v>270000</v>
      </c>
      <c r="D21" s="240">
        <v>44789</v>
      </c>
      <c r="E21" s="202" t="s">
        <v>3255</v>
      </c>
    </row>
    <row r="22" spans="1:5">
      <c r="A22" s="202">
        <v>18</v>
      </c>
      <c r="B22" s="240">
        <v>44820</v>
      </c>
      <c r="C22" s="241">
        <v>270000</v>
      </c>
      <c r="D22" s="240">
        <v>44820</v>
      </c>
      <c r="E22" s="202" t="s">
        <v>3256</v>
      </c>
    </row>
    <row r="23" spans="1:5">
      <c r="A23" s="202">
        <v>19</v>
      </c>
      <c r="B23" s="240">
        <v>44850</v>
      </c>
      <c r="C23" s="241">
        <v>270000</v>
      </c>
      <c r="D23" s="240">
        <v>44851</v>
      </c>
      <c r="E23" s="202" t="s">
        <v>3257</v>
      </c>
    </row>
    <row r="24" spans="1:5">
      <c r="A24" s="202">
        <v>20</v>
      </c>
      <c r="B24" s="240">
        <v>44881</v>
      </c>
      <c r="C24" s="241">
        <v>270000</v>
      </c>
      <c r="D24" s="240">
        <v>44881</v>
      </c>
      <c r="E24" s="202" t="s">
        <v>3258</v>
      </c>
    </row>
    <row r="25" spans="1:5">
      <c r="A25" s="202">
        <v>21</v>
      </c>
      <c r="B25" s="240">
        <v>44911</v>
      </c>
      <c r="C25" s="241">
        <v>270000</v>
      </c>
      <c r="D25" s="240">
        <v>44911</v>
      </c>
      <c r="E25" s="202" t="s">
        <v>3259</v>
      </c>
    </row>
    <row r="26" spans="1:5">
      <c r="A26" s="202">
        <v>22</v>
      </c>
      <c r="B26" s="240">
        <v>44942</v>
      </c>
      <c r="C26" s="241">
        <v>270000</v>
      </c>
      <c r="D26" s="240">
        <v>44942</v>
      </c>
      <c r="E26" s="202" t="s">
        <v>3260</v>
      </c>
    </row>
    <row r="27" spans="1:5">
      <c r="A27" s="202">
        <v>23</v>
      </c>
      <c r="B27" s="240">
        <v>44973</v>
      </c>
      <c r="C27" s="241">
        <v>270000</v>
      </c>
      <c r="D27" s="240">
        <v>44973</v>
      </c>
      <c r="E27" s="202" t="s">
        <v>3261</v>
      </c>
    </row>
    <row r="28" spans="1:5">
      <c r="A28" s="202">
        <v>24</v>
      </c>
      <c r="B28" s="240">
        <v>45001</v>
      </c>
      <c r="C28" s="241">
        <v>270000</v>
      </c>
      <c r="D28" s="240">
        <v>45001</v>
      </c>
      <c r="E28" s="202" t="s">
        <v>3262</v>
      </c>
    </row>
    <row r="29" spans="1:5">
      <c r="A29" s="202">
        <v>25</v>
      </c>
      <c r="B29" s="240">
        <v>45032</v>
      </c>
      <c r="C29" s="241">
        <v>270000</v>
      </c>
      <c r="D29" s="240">
        <v>45033</v>
      </c>
      <c r="E29" s="202" t="s">
        <v>3263</v>
      </c>
    </row>
    <row r="30" spans="1:5">
      <c r="A30" s="202">
        <v>26</v>
      </c>
      <c r="B30" s="240">
        <v>45062</v>
      </c>
      <c r="C30" s="241">
        <v>270000</v>
      </c>
      <c r="D30" s="240">
        <v>45082</v>
      </c>
      <c r="E30" s="202" t="s">
        <v>3264</v>
      </c>
    </row>
    <row r="31" spans="1:5">
      <c r="A31" s="202">
        <v>27</v>
      </c>
      <c r="B31" s="240">
        <v>45093</v>
      </c>
      <c r="C31" s="241">
        <v>270000</v>
      </c>
      <c r="D31" s="240">
        <v>45110</v>
      </c>
      <c r="E31" s="202" t="s">
        <v>3265</v>
      </c>
    </row>
    <row r="32" spans="1:5">
      <c r="A32" s="202">
        <v>28</v>
      </c>
      <c r="B32" s="240">
        <v>45123</v>
      </c>
      <c r="C32" s="241">
        <v>270000</v>
      </c>
      <c r="D32" s="240">
        <v>45124</v>
      </c>
      <c r="E32" s="202" t="s">
        <v>3266</v>
      </c>
    </row>
    <row r="33" spans="1:5">
      <c r="A33" s="202">
        <v>29</v>
      </c>
      <c r="B33" s="240">
        <v>45154</v>
      </c>
      <c r="C33" s="241">
        <v>270000</v>
      </c>
      <c r="D33" s="202"/>
      <c r="E33" s="202"/>
    </row>
    <row r="34" spans="1:5">
      <c r="A34" s="202">
        <v>30</v>
      </c>
      <c r="B34" s="240">
        <v>45185</v>
      </c>
      <c r="C34" s="241">
        <v>270000</v>
      </c>
      <c r="D34" s="202"/>
      <c r="E34" s="202"/>
    </row>
    <row r="35" spans="1:5">
      <c r="A35" s="202">
        <v>31</v>
      </c>
      <c r="B35" s="240">
        <v>45215</v>
      </c>
      <c r="C35" s="241">
        <v>270000</v>
      </c>
      <c r="D35" s="202"/>
      <c r="E35" s="202"/>
    </row>
    <row r="36" spans="1:5">
      <c r="A36" s="202">
        <v>32</v>
      </c>
      <c r="B36" s="240">
        <v>45246</v>
      </c>
      <c r="C36" s="241">
        <v>270000</v>
      </c>
      <c r="D36" s="202"/>
      <c r="E36" s="202"/>
    </row>
    <row r="37" spans="1:5">
      <c r="A37" s="202">
        <v>33</v>
      </c>
      <c r="B37" s="240">
        <v>45276</v>
      </c>
      <c r="C37" s="241">
        <v>270000</v>
      </c>
      <c r="D37" s="202"/>
      <c r="E37" s="202"/>
    </row>
    <row r="38" spans="1:5">
      <c r="A38" s="202">
        <v>34</v>
      </c>
      <c r="B38" s="240">
        <v>45307</v>
      </c>
      <c r="C38" s="241">
        <v>270000</v>
      </c>
      <c r="D38" s="202"/>
      <c r="E38" s="202"/>
    </row>
    <row r="39" spans="1:5">
      <c r="A39" s="202">
        <v>35</v>
      </c>
      <c r="B39" s="240">
        <v>45338</v>
      </c>
      <c r="C39" s="241">
        <v>270000</v>
      </c>
      <c r="D39" s="202"/>
      <c r="E39" s="202"/>
    </row>
    <row r="40" spans="1:5">
      <c r="A40" s="202">
        <v>36</v>
      </c>
      <c r="B40" s="240">
        <v>45367</v>
      </c>
      <c r="C40" s="241">
        <v>270000</v>
      </c>
      <c r="D40" s="202"/>
      <c r="E40" s="202"/>
    </row>
    <row r="41" spans="1:5">
      <c r="A41" s="202">
        <v>37</v>
      </c>
      <c r="B41" s="240">
        <v>45398</v>
      </c>
      <c r="C41" s="241">
        <v>270000</v>
      </c>
      <c r="D41" s="202"/>
      <c r="E41" s="202"/>
    </row>
    <row r="42" spans="1:5">
      <c r="A42" s="202">
        <v>38</v>
      </c>
      <c r="B42" s="240">
        <v>45428</v>
      </c>
      <c r="C42" s="241">
        <v>270000</v>
      </c>
      <c r="D42" s="202"/>
      <c r="E42" s="202"/>
    </row>
    <row r="43" spans="1:5">
      <c r="A43" s="202">
        <v>39</v>
      </c>
      <c r="B43" s="240">
        <v>45459</v>
      </c>
      <c r="C43" s="241">
        <v>270000</v>
      </c>
      <c r="D43" s="202"/>
      <c r="E43" s="202"/>
    </row>
    <row r="44" spans="1:5">
      <c r="A44" s="202">
        <v>40</v>
      </c>
      <c r="B44" s="240">
        <v>45489</v>
      </c>
      <c r="C44" s="241">
        <v>270000</v>
      </c>
      <c r="D44" s="202"/>
      <c r="E44" s="202"/>
    </row>
    <row r="45" spans="1:5">
      <c r="A45" s="202">
        <v>41</v>
      </c>
      <c r="B45" s="240">
        <v>45520</v>
      </c>
      <c r="C45" s="241">
        <v>270000</v>
      </c>
      <c r="D45" s="202"/>
      <c r="E45" s="202"/>
    </row>
    <row r="46" spans="1:5">
      <c r="A46" s="202">
        <v>42</v>
      </c>
      <c r="B46" s="240">
        <v>45551</v>
      </c>
      <c r="C46" s="241">
        <v>270000</v>
      </c>
      <c r="D46" s="202"/>
      <c r="E46" s="202"/>
    </row>
    <row r="47" spans="1:5">
      <c r="A47" s="202">
        <v>43</v>
      </c>
      <c r="B47" s="240">
        <v>45581</v>
      </c>
      <c r="C47" s="241">
        <v>270000</v>
      </c>
      <c r="D47" s="202"/>
      <c r="E47" s="202"/>
    </row>
    <row r="48" spans="1:5">
      <c r="A48" s="202">
        <v>44</v>
      </c>
      <c r="B48" s="240">
        <v>45612</v>
      </c>
      <c r="C48" s="241">
        <v>270000</v>
      </c>
      <c r="D48" s="202"/>
      <c r="E48" s="202"/>
    </row>
    <row r="49" spans="1:5">
      <c r="A49" s="202">
        <v>45</v>
      </c>
      <c r="B49" s="240">
        <v>45642</v>
      </c>
      <c r="C49" s="241">
        <v>270000</v>
      </c>
      <c r="D49" s="202"/>
      <c r="E49" s="202"/>
    </row>
    <row r="50" spans="1:5">
      <c r="A50" s="202">
        <v>46</v>
      </c>
      <c r="B50" s="240">
        <v>45673</v>
      </c>
      <c r="C50" s="241">
        <v>270000</v>
      </c>
      <c r="D50" s="202"/>
      <c r="E50" s="202"/>
    </row>
    <row r="51" spans="1:5">
      <c r="A51" s="202">
        <v>47</v>
      </c>
      <c r="B51" s="240">
        <v>45704</v>
      </c>
      <c r="C51" s="241">
        <v>270000</v>
      </c>
      <c r="D51" s="202"/>
      <c r="E51" s="202"/>
    </row>
    <row r="52" spans="1:5">
      <c r="A52" s="202">
        <v>48</v>
      </c>
      <c r="B52" s="240">
        <v>45732</v>
      </c>
      <c r="C52" s="241">
        <v>270000</v>
      </c>
      <c r="D52" s="202"/>
      <c r="E52" s="202"/>
    </row>
    <row r="53" spans="1:5">
      <c r="A53" s="202">
        <v>49</v>
      </c>
      <c r="B53" s="240">
        <v>45763</v>
      </c>
      <c r="C53" s="241">
        <v>270000</v>
      </c>
      <c r="D53" s="202"/>
      <c r="E53" s="202"/>
    </row>
    <row r="54" spans="1:5">
      <c r="A54" s="202">
        <v>50</v>
      </c>
      <c r="B54" s="240">
        <v>45793</v>
      </c>
      <c r="C54" s="241">
        <v>270000</v>
      </c>
      <c r="D54" s="202"/>
      <c r="E54" s="202"/>
    </row>
    <row r="55" spans="1:5">
      <c r="A55" s="202">
        <v>51</v>
      </c>
      <c r="B55" s="240">
        <v>45824</v>
      </c>
      <c r="C55" s="241">
        <v>270000</v>
      </c>
      <c r="D55" s="202"/>
      <c r="E55" s="202"/>
    </row>
    <row r="56" spans="1:5">
      <c r="A56" s="202">
        <v>52</v>
      </c>
      <c r="B56" s="240">
        <v>45854</v>
      </c>
      <c r="C56" s="241">
        <v>270000</v>
      </c>
      <c r="D56" s="202"/>
      <c r="E56" s="202"/>
    </row>
    <row r="57" spans="1:5">
      <c r="A57" s="202">
        <v>53</v>
      </c>
      <c r="B57" s="240">
        <v>45885</v>
      </c>
      <c r="C57" s="241">
        <v>270000</v>
      </c>
      <c r="D57" s="202"/>
      <c r="E57" s="202"/>
    </row>
    <row r="58" spans="1:5">
      <c r="A58" s="202">
        <v>54</v>
      </c>
      <c r="B58" s="240">
        <v>45916</v>
      </c>
      <c r="C58" s="241">
        <v>270000</v>
      </c>
      <c r="D58" s="202"/>
      <c r="E58" s="202"/>
    </row>
    <row r="59" spans="1:5">
      <c r="A59" s="202">
        <v>55</v>
      </c>
      <c r="B59" s="240">
        <v>45946</v>
      </c>
      <c r="C59" s="241">
        <v>270000</v>
      </c>
      <c r="D59" s="202"/>
      <c r="E59" s="202"/>
    </row>
    <row r="60" spans="1:5">
      <c r="A60" s="202">
        <v>56</v>
      </c>
      <c r="B60" s="240">
        <v>45977</v>
      </c>
      <c r="C60" s="241">
        <v>270000</v>
      </c>
      <c r="D60" s="202"/>
      <c r="E60" s="202"/>
    </row>
    <row r="61" spans="1:5">
      <c r="A61" s="202">
        <v>57</v>
      </c>
      <c r="B61" s="240">
        <v>46007</v>
      </c>
      <c r="C61" s="241">
        <v>270000</v>
      </c>
      <c r="D61" s="202"/>
      <c r="E61" s="202"/>
    </row>
    <row r="62" spans="1:5">
      <c r="A62" s="202">
        <v>58</v>
      </c>
      <c r="B62" s="240">
        <v>46038</v>
      </c>
      <c r="C62" s="241">
        <v>270000</v>
      </c>
      <c r="D62" s="202"/>
      <c r="E62" s="202"/>
    </row>
    <row r="63" spans="1:5">
      <c r="A63" s="202">
        <v>59</v>
      </c>
      <c r="B63" s="240">
        <v>46069</v>
      </c>
      <c r="C63" s="241">
        <v>270000</v>
      </c>
      <c r="D63" s="202"/>
      <c r="E63" s="202"/>
    </row>
    <row r="64" spans="1:5">
      <c r="A64" s="202">
        <v>60</v>
      </c>
      <c r="B64" s="240">
        <v>46097</v>
      </c>
      <c r="C64" s="241">
        <v>270000</v>
      </c>
      <c r="D64" s="202"/>
      <c r="E64" s="202"/>
    </row>
    <row r="65" spans="1:5">
      <c r="A65" s="202">
        <v>61</v>
      </c>
      <c r="B65" s="240">
        <v>46128</v>
      </c>
      <c r="C65" s="241">
        <v>270000</v>
      </c>
      <c r="D65" s="202"/>
      <c r="E65" s="202"/>
    </row>
    <row r="66" spans="1:5">
      <c r="A66" s="202">
        <v>62</v>
      </c>
      <c r="B66" s="240">
        <v>46158</v>
      </c>
      <c r="C66" s="241">
        <v>270000</v>
      </c>
      <c r="D66" s="202"/>
      <c r="E66" s="202"/>
    </row>
    <row r="67" spans="1:5">
      <c r="A67" s="202">
        <v>63</v>
      </c>
      <c r="B67" s="240">
        <v>46189</v>
      </c>
      <c r="C67" s="241">
        <v>270000</v>
      </c>
      <c r="D67" s="202"/>
      <c r="E67" s="202"/>
    </row>
    <row r="68" spans="1:5">
      <c r="A68" s="202">
        <v>64</v>
      </c>
      <c r="B68" s="240">
        <v>46219</v>
      </c>
      <c r="C68" s="241">
        <v>270000</v>
      </c>
      <c r="D68" s="202"/>
      <c r="E68" s="202"/>
    </row>
    <row r="69" spans="1:5">
      <c r="A69" s="202">
        <v>65</v>
      </c>
      <c r="B69" s="240">
        <v>46250</v>
      </c>
      <c r="C69" s="241">
        <v>270000</v>
      </c>
      <c r="D69" s="202"/>
      <c r="E69" s="202"/>
    </row>
    <row r="70" spans="1:5">
      <c r="A70" s="202">
        <v>66</v>
      </c>
      <c r="B70" s="240">
        <v>46281</v>
      </c>
      <c r="C70" s="241">
        <v>270000</v>
      </c>
      <c r="D70" s="202"/>
      <c r="E70" s="202"/>
    </row>
    <row r="71" spans="1:5">
      <c r="A71" s="202">
        <v>67</v>
      </c>
      <c r="B71" s="240">
        <v>46311</v>
      </c>
      <c r="C71" s="241">
        <v>270000</v>
      </c>
      <c r="D71" s="202"/>
      <c r="E71" s="202"/>
    </row>
    <row r="72" spans="1:5">
      <c r="A72" s="202">
        <v>68</v>
      </c>
      <c r="B72" s="240">
        <v>46342</v>
      </c>
      <c r="C72" s="241">
        <v>270000</v>
      </c>
      <c r="D72" s="202"/>
      <c r="E72" s="202"/>
    </row>
    <row r="73" spans="1:5">
      <c r="A73" s="202">
        <v>69</v>
      </c>
      <c r="B73" s="240">
        <v>46372</v>
      </c>
      <c r="C73" s="241">
        <v>270000</v>
      </c>
      <c r="D73" s="202"/>
      <c r="E73" s="202"/>
    </row>
    <row r="74" spans="1:5">
      <c r="A74" s="202">
        <v>70</v>
      </c>
      <c r="B74" s="240">
        <v>46403</v>
      </c>
      <c r="C74" s="241">
        <v>270000</v>
      </c>
      <c r="D74" s="202"/>
      <c r="E74" s="202"/>
    </row>
    <row r="75" spans="1:5">
      <c r="A75" s="202">
        <v>71</v>
      </c>
      <c r="B75" s="240">
        <v>46434</v>
      </c>
      <c r="C75" s="241">
        <v>270000</v>
      </c>
      <c r="D75" s="202"/>
      <c r="E75" s="202"/>
    </row>
    <row r="76" spans="1:5">
      <c r="A76" s="202">
        <v>72</v>
      </c>
      <c r="B76" s="240">
        <v>46462</v>
      </c>
      <c r="C76" s="241">
        <v>270000</v>
      </c>
      <c r="D76" s="202"/>
      <c r="E76" s="202"/>
    </row>
    <row r="77" spans="1:5">
      <c r="A77" s="202">
        <v>73</v>
      </c>
      <c r="B77" s="240">
        <v>46493</v>
      </c>
      <c r="C77" s="241">
        <v>270000</v>
      </c>
      <c r="D77" s="202"/>
      <c r="E77" s="202"/>
    </row>
    <row r="78" spans="1:5">
      <c r="A78" s="202">
        <v>74</v>
      </c>
      <c r="B78" s="240">
        <v>46523</v>
      </c>
      <c r="C78" s="241">
        <v>270000</v>
      </c>
      <c r="D78" s="202"/>
      <c r="E78" s="202"/>
    </row>
    <row r="79" spans="1:5">
      <c r="A79" s="202">
        <v>75</v>
      </c>
      <c r="B79" s="240">
        <v>46554</v>
      </c>
      <c r="C79" s="241">
        <v>270000</v>
      </c>
      <c r="D79" s="202"/>
      <c r="E79" s="202"/>
    </row>
    <row r="80" spans="1:5">
      <c r="A80" s="202">
        <v>76</v>
      </c>
      <c r="B80" s="240">
        <v>46584</v>
      </c>
      <c r="C80" s="241">
        <v>270000</v>
      </c>
      <c r="D80" s="202"/>
      <c r="E80" s="202"/>
    </row>
    <row r="81" spans="1:5">
      <c r="A81" s="202">
        <v>77</v>
      </c>
      <c r="B81" s="240">
        <v>46615</v>
      </c>
      <c r="C81" s="241">
        <v>270000</v>
      </c>
      <c r="D81" s="202"/>
      <c r="E81" s="202"/>
    </row>
    <row r="82" spans="1:5">
      <c r="A82" s="202">
        <v>78</v>
      </c>
      <c r="B82" s="240">
        <v>46646</v>
      </c>
      <c r="C82" s="241">
        <v>270000</v>
      </c>
      <c r="D82" s="202"/>
      <c r="E82" s="202"/>
    </row>
    <row r="83" spans="1:5">
      <c r="A83" s="202">
        <v>79</v>
      </c>
      <c r="B83" s="240">
        <v>46676</v>
      </c>
      <c r="C83" s="241">
        <v>270000</v>
      </c>
      <c r="D83" s="202"/>
      <c r="E83" s="202"/>
    </row>
    <row r="84" spans="1:5">
      <c r="A84" s="202">
        <v>80</v>
      </c>
      <c r="B84" s="240">
        <v>46707</v>
      </c>
      <c r="C84" s="241">
        <v>270000</v>
      </c>
      <c r="D84" s="202"/>
      <c r="E84" s="202"/>
    </row>
    <row r="85" spans="1:5">
      <c r="A85" s="202">
        <v>81</v>
      </c>
      <c r="B85" s="240">
        <v>46737</v>
      </c>
      <c r="C85" s="241">
        <v>270000</v>
      </c>
      <c r="D85" s="202"/>
      <c r="E85" s="202"/>
    </row>
    <row r="86" spans="1:5">
      <c r="A86" s="202">
        <v>82</v>
      </c>
      <c r="B86" s="240">
        <v>46768</v>
      </c>
      <c r="C86" s="241">
        <v>270000</v>
      </c>
      <c r="D86" s="202"/>
      <c r="E86" s="202"/>
    </row>
    <row r="87" spans="1:5">
      <c r="A87" s="202">
        <v>83</v>
      </c>
      <c r="B87" s="240">
        <v>46799</v>
      </c>
      <c r="C87" s="241">
        <v>270000</v>
      </c>
      <c r="D87" s="202"/>
      <c r="E87" s="202"/>
    </row>
    <row r="88" spans="1:5">
      <c r="A88" s="202">
        <v>84</v>
      </c>
      <c r="B88" s="240">
        <v>46828</v>
      </c>
      <c r="C88" s="241">
        <v>270000</v>
      </c>
      <c r="D88" s="202"/>
      <c r="E88" s="202"/>
    </row>
    <row r="89" spans="1:5">
      <c r="A89" s="202">
        <v>85</v>
      </c>
      <c r="B89" s="240">
        <v>46859</v>
      </c>
      <c r="C89" s="241">
        <v>270000</v>
      </c>
      <c r="D89" s="202"/>
      <c r="E89" s="202"/>
    </row>
    <row r="90" spans="1:5">
      <c r="A90" s="202">
        <v>86</v>
      </c>
      <c r="B90" s="240">
        <v>46889</v>
      </c>
      <c r="C90" s="241">
        <v>270000</v>
      </c>
      <c r="D90" s="202"/>
      <c r="E90" s="202"/>
    </row>
    <row r="91" spans="1:5">
      <c r="A91" s="202">
        <v>87</v>
      </c>
      <c r="B91" s="240">
        <v>46920</v>
      </c>
      <c r="C91" s="241">
        <v>270000</v>
      </c>
      <c r="D91" s="202"/>
      <c r="E91" s="202"/>
    </row>
    <row r="92" spans="1:5">
      <c r="A92" s="202">
        <v>88</v>
      </c>
      <c r="B92" s="240">
        <v>46950</v>
      </c>
      <c r="C92" s="241">
        <v>270000</v>
      </c>
      <c r="D92" s="202"/>
      <c r="E92" s="202"/>
    </row>
    <row r="93" spans="1:5">
      <c r="A93" s="202">
        <v>89</v>
      </c>
      <c r="B93" s="240">
        <v>46981</v>
      </c>
      <c r="C93" s="241">
        <v>270000</v>
      </c>
      <c r="D93" s="202"/>
      <c r="E93" s="202"/>
    </row>
    <row r="94" spans="1:5">
      <c r="A94" s="202">
        <v>90</v>
      </c>
      <c r="B94" s="240">
        <v>47012</v>
      </c>
      <c r="C94" s="241">
        <v>270000</v>
      </c>
      <c r="D94" s="202"/>
      <c r="E94" s="202"/>
    </row>
    <row r="95" spans="1:5">
      <c r="A95" s="202">
        <v>91</v>
      </c>
      <c r="B95" s="240">
        <v>47042</v>
      </c>
      <c r="C95" s="241">
        <v>270000</v>
      </c>
      <c r="D95" s="202"/>
      <c r="E95" s="202"/>
    </row>
    <row r="96" spans="1:5">
      <c r="A96" s="202">
        <v>92</v>
      </c>
      <c r="B96" s="240">
        <v>47073</v>
      </c>
      <c r="C96" s="241">
        <v>270000</v>
      </c>
      <c r="D96" s="202"/>
      <c r="E96" s="202"/>
    </row>
    <row r="97" spans="1:5">
      <c r="A97" s="202">
        <v>93</v>
      </c>
      <c r="B97" s="240">
        <v>47103</v>
      </c>
      <c r="C97" s="241">
        <v>270000</v>
      </c>
      <c r="D97" s="202"/>
      <c r="E97" s="202"/>
    </row>
    <row r="98" spans="1:5">
      <c r="A98" s="202">
        <v>94</v>
      </c>
      <c r="B98" s="240">
        <v>47134</v>
      </c>
      <c r="C98" s="241">
        <v>270000</v>
      </c>
      <c r="D98" s="202"/>
      <c r="E98" s="202"/>
    </row>
    <row r="99" spans="1:5">
      <c r="A99" s="202">
        <v>95</v>
      </c>
      <c r="B99" s="240">
        <v>47165</v>
      </c>
      <c r="C99" s="241">
        <v>270000</v>
      </c>
      <c r="D99" s="202"/>
      <c r="E99" s="202"/>
    </row>
    <row r="100" spans="1:5">
      <c r="A100" s="202">
        <v>96</v>
      </c>
      <c r="B100" s="240">
        <v>47193</v>
      </c>
      <c r="C100" s="241">
        <v>270000</v>
      </c>
      <c r="D100" s="202"/>
      <c r="E100" s="202"/>
    </row>
    <row r="101" spans="1:5">
      <c r="A101" s="202">
        <v>97</v>
      </c>
      <c r="B101" s="240">
        <v>47224</v>
      </c>
      <c r="C101" s="241">
        <v>270000</v>
      </c>
      <c r="D101" s="202"/>
      <c r="E101" s="202"/>
    </row>
    <row r="102" spans="1:5">
      <c r="A102" s="202">
        <v>98</v>
      </c>
      <c r="B102" s="240">
        <v>47254</v>
      </c>
      <c r="C102" s="241">
        <v>270000</v>
      </c>
      <c r="D102" s="202"/>
      <c r="E102" s="202"/>
    </row>
    <row r="103" spans="1:5">
      <c r="A103" s="202">
        <v>99</v>
      </c>
      <c r="B103" s="240">
        <v>47285</v>
      </c>
      <c r="C103" s="241">
        <v>270000</v>
      </c>
      <c r="D103" s="202"/>
      <c r="E103" s="202"/>
    </row>
    <row r="104" spans="1:5">
      <c r="A104" s="202">
        <v>100</v>
      </c>
      <c r="B104" s="240">
        <v>47315</v>
      </c>
      <c r="C104" s="241">
        <v>270000</v>
      </c>
      <c r="D104" s="202"/>
      <c r="E104" s="202"/>
    </row>
    <row r="105" spans="1:5">
      <c r="A105" s="202">
        <v>101</v>
      </c>
      <c r="B105" s="240">
        <v>47346</v>
      </c>
      <c r="C105" s="241">
        <v>270000</v>
      </c>
      <c r="D105" s="202"/>
      <c r="E105" s="202"/>
    </row>
    <row r="106" spans="1:5">
      <c r="A106" s="202">
        <v>102</v>
      </c>
      <c r="B106" s="240">
        <v>47377</v>
      </c>
      <c r="C106" s="241">
        <v>270000</v>
      </c>
      <c r="D106" s="202"/>
      <c r="E106" s="202"/>
    </row>
    <row r="107" spans="1:5">
      <c r="A107" s="202">
        <v>103</v>
      </c>
      <c r="B107" s="240">
        <v>47407</v>
      </c>
      <c r="C107" s="241">
        <v>270000</v>
      </c>
      <c r="D107" s="202"/>
      <c r="E107" s="202"/>
    </row>
    <row r="108" spans="1:5">
      <c r="A108" s="202">
        <v>104</v>
      </c>
      <c r="B108" s="240">
        <v>47438</v>
      </c>
      <c r="C108" s="241">
        <v>270000</v>
      </c>
      <c r="D108" s="202"/>
      <c r="E108" s="202"/>
    </row>
    <row r="109" spans="1:5">
      <c r="A109" s="202">
        <v>105</v>
      </c>
      <c r="B109" s="240">
        <v>47468</v>
      </c>
      <c r="C109" s="241">
        <v>270000</v>
      </c>
      <c r="D109" s="202"/>
      <c r="E109" s="202"/>
    </row>
    <row r="110" spans="1:5">
      <c r="A110" s="202">
        <v>106</v>
      </c>
      <c r="B110" s="240">
        <v>47499</v>
      </c>
      <c r="C110" s="241">
        <v>270000</v>
      </c>
      <c r="D110" s="202"/>
      <c r="E110" s="202"/>
    </row>
    <row r="111" spans="1:5">
      <c r="A111" s="202">
        <v>107</v>
      </c>
      <c r="B111" s="240">
        <v>47530</v>
      </c>
      <c r="C111" s="241">
        <v>270000</v>
      </c>
      <c r="D111" s="202"/>
      <c r="E111" s="202"/>
    </row>
    <row r="112" spans="1:5">
      <c r="A112" s="202">
        <v>108</v>
      </c>
      <c r="B112" s="240">
        <v>47558</v>
      </c>
      <c r="C112" s="241">
        <v>270000</v>
      </c>
      <c r="D112" s="202"/>
      <c r="E112" s="202"/>
    </row>
    <row r="113" spans="1:5">
      <c r="A113" s="202">
        <v>109</v>
      </c>
      <c r="B113" s="240">
        <v>47589</v>
      </c>
      <c r="C113" s="241">
        <v>270000</v>
      </c>
      <c r="D113" s="202"/>
      <c r="E113" s="202"/>
    </row>
    <row r="114" spans="1:5">
      <c r="A114" s="202">
        <v>110</v>
      </c>
      <c r="B114" s="240">
        <v>47619</v>
      </c>
      <c r="C114" s="241">
        <v>270000</v>
      </c>
      <c r="D114" s="202"/>
      <c r="E114" s="202"/>
    </row>
    <row r="115" spans="1:5">
      <c r="A115" s="202">
        <v>111</v>
      </c>
      <c r="B115" s="240">
        <v>47650</v>
      </c>
      <c r="C115" s="241">
        <v>270000</v>
      </c>
      <c r="D115" s="202"/>
      <c r="E115" s="202"/>
    </row>
    <row r="116" spans="1:5">
      <c r="A116" s="202">
        <v>112</v>
      </c>
      <c r="B116" s="240">
        <v>47680</v>
      </c>
      <c r="C116" s="241">
        <v>270000</v>
      </c>
      <c r="D116" s="202"/>
      <c r="E116" s="202"/>
    </row>
    <row r="117" spans="1:5">
      <c r="A117" s="202">
        <v>113</v>
      </c>
      <c r="B117" s="240">
        <v>47711</v>
      </c>
      <c r="C117" s="241">
        <v>270000</v>
      </c>
      <c r="D117" s="202"/>
      <c r="E117" s="202"/>
    </row>
    <row r="118" spans="1:5">
      <c r="A118" s="202">
        <v>114</v>
      </c>
      <c r="B118" s="240">
        <v>47742</v>
      </c>
      <c r="C118" s="241">
        <v>270000</v>
      </c>
      <c r="D118" s="202"/>
      <c r="E118" s="202"/>
    </row>
    <row r="119" spans="1:5">
      <c r="A119" s="202">
        <v>115</v>
      </c>
      <c r="B119" s="240">
        <v>47772</v>
      </c>
      <c r="C119" s="241">
        <v>270000</v>
      </c>
      <c r="D119" s="202"/>
      <c r="E119" s="202"/>
    </row>
    <row r="120" spans="1:5">
      <c r="A120" s="202">
        <v>116</v>
      </c>
      <c r="B120" s="240">
        <v>47803</v>
      </c>
      <c r="C120" s="241">
        <v>270000</v>
      </c>
      <c r="D120" s="202"/>
      <c r="E120" s="202"/>
    </row>
    <row r="121" spans="1:5">
      <c r="A121" s="202">
        <v>117</v>
      </c>
      <c r="B121" s="240">
        <v>47833</v>
      </c>
      <c r="C121" s="241">
        <v>270000</v>
      </c>
      <c r="D121" s="202"/>
      <c r="E121" s="202"/>
    </row>
    <row r="122" spans="1:5">
      <c r="A122" s="202">
        <v>118</v>
      </c>
      <c r="B122" s="240">
        <v>47864</v>
      </c>
      <c r="C122" s="241">
        <v>270000</v>
      </c>
      <c r="D122" s="202"/>
      <c r="E122" s="202"/>
    </row>
    <row r="123" spans="1:5">
      <c r="A123" s="202">
        <v>119</v>
      </c>
      <c r="B123" s="240">
        <v>47895</v>
      </c>
      <c r="C123" s="241">
        <v>270000</v>
      </c>
      <c r="D123" s="202"/>
      <c r="E123" s="202"/>
    </row>
    <row r="124" spans="1:5">
      <c r="A124" s="202">
        <v>120</v>
      </c>
      <c r="B124" s="240">
        <v>47923</v>
      </c>
      <c r="C124" s="241">
        <v>270000</v>
      </c>
      <c r="D124" s="202"/>
      <c r="E124" s="202"/>
    </row>
    <row r="125" spans="1:5">
      <c r="C125" s="243"/>
    </row>
    <row r="126" spans="1:5">
      <c r="C126" s="243"/>
    </row>
    <row r="127" spans="1:5">
      <c r="C127" s="243"/>
    </row>
    <row r="128" spans="1:5">
      <c r="C128" s="243"/>
    </row>
    <row r="129" spans="3:3">
      <c r="C129" s="243"/>
    </row>
    <row r="130" spans="3:3">
      <c r="C130" s="243"/>
    </row>
    <row r="131" spans="3:3">
      <c r="C131" s="243"/>
    </row>
    <row r="132" spans="3:3">
      <c r="C132" s="243"/>
    </row>
    <row r="133" spans="3:3">
      <c r="C133" s="243"/>
    </row>
    <row r="134" spans="3:3">
      <c r="C134" s="243"/>
    </row>
    <row r="135" spans="3:3">
      <c r="C135" s="243"/>
    </row>
    <row r="136" spans="3:3">
      <c r="C136" s="243"/>
    </row>
    <row r="137" spans="3:3">
      <c r="C137" s="243"/>
    </row>
    <row r="138" spans="3:3">
      <c r="C138" s="243"/>
    </row>
    <row r="139" spans="3:3">
      <c r="C139" s="243"/>
    </row>
    <row r="140" spans="3:3">
      <c r="C140" s="243"/>
    </row>
    <row r="141" spans="3:3">
      <c r="C141" s="243"/>
    </row>
    <row r="142" spans="3:3">
      <c r="C142" s="243"/>
    </row>
    <row r="143" spans="3:3">
      <c r="C143" s="243"/>
    </row>
    <row r="144" spans="3:3">
      <c r="C144" s="243"/>
    </row>
    <row r="145" spans="3:3">
      <c r="C145" s="243"/>
    </row>
    <row r="146" spans="3:3">
      <c r="C146" s="243"/>
    </row>
    <row r="147" spans="3:3">
      <c r="C147" s="243"/>
    </row>
    <row r="148" spans="3:3">
      <c r="C148" s="243"/>
    </row>
    <row r="149" spans="3:3">
      <c r="C149" s="243"/>
    </row>
    <row r="150" spans="3:3">
      <c r="C150" s="243"/>
    </row>
    <row r="151" spans="3:3">
      <c r="C151" s="243"/>
    </row>
    <row r="152" spans="3:3">
      <c r="C152" s="243"/>
    </row>
    <row r="153" spans="3:3">
      <c r="C153" s="243"/>
    </row>
    <row r="154" spans="3:3">
      <c r="C154" s="243"/>
    </row>
    <row r="155" spans="3:3">
      <c r="C155" s="243"/>
    </row>
    <row r="156" spans="3:3">
      <c r="C156" s="243"/>
    </row>
    <row r="157" spans="3:3">
      <c r="C157" s="243"/>
    </row>
    <row r="158" spans="3:3">
      <c r="C158" s="243"/>
    </row>
    <row r="159" spans="3:3">
      <c r="C159" s="243"/>
    </row>
    <row r="160" spans="3:3">
      <c r="C160" s="243"/>
    </row>
    <row r="161" spans="3:3">
      <c r="C161" s="243"/>
    </row>
    <row r="162" spans="3:3">
      <c r="C162" s="243"/>
    </row>
    <row r="163" spans="3:3">
      <c r="C163" s="243"/>
    </row>
    <row r="164" spans="3:3">
      <c r="C164" s="243"/>
    </row>
    <row r="165" spans="3:3">
      <c r="C165" s="243"/>
    </row>
    <row r="166" spans="3:3">
      <c r="C166" s="243"/>
    </row>
    <row r="167" spans="3:3">
      <c r="C167" s="243"/>
    </row>
    <row r="168" spans="3:3">
      <c r="C168" s="243"/>
    </row>
    <row r="169" spans="3:3">
      <c r="C169" s="243"/>
    </row>
    <row r="170" spans="3:3">
      <c r="C170" s="243"/>
    </row>
    <row r="171" spans="3:3">
      <c r="C171" s="243"/>
    </row>
    <row r="172" spans="3:3">
      <c r="C172" s="243"/>
    </row>
    <row r="173" spans="3:3">
      <c r="C173" s="243"/>
    </row>
    <row r="174" spans="3:3">
      <c r="C174" s="243"/>
    </row>
    <row r="175" spans="3:3">
      <c r="C175" s="243"/>
    </row>
    <row r="176" spans="3:3">
      <c r="C176" s="243"/>
    </row>
    <row r="177" spans="3:3">
      <c r="C177" s="243"/>
    </row>
    <row r="178" spans="3:3">
      <c r="C178" s="243"/>
    </row>
    <row r="179" spans="3:3">
      <c r="C179" s="243"/>
    </row>
    <row r="180" spans="3:3">
      <c r="C180" s="243"/>
    </row>
    <row r="181" spans="3:3">
      <c r="C181" s="243"/>
    </row>
    <row r="182" spans="3:3">
      <c r="C182" s="243"/>
    </row>
    <row r="183" spans="3:3">
      <c r="C183" s="243"/>
    </row>
    <row r="184" spans="3:3">
      <c r="C184" s="243"/>
    </row>
    <row r="185" spans="3:3">
      <c r="C185" s="243"/>
    </row>
    <row r="186" spans="3:3">
      <c r="C186" s="243"/>
    </row>
    <row r="187" spans="3:3">
      <c r="C187" s="243"/>
    </row>
    <row r="188" spans="3:3">
      <c r="C188" s="243"/>
    </row>
    <row r="189" spans="3:3">
      <c r="C189" s="243"/>
    </row>
    <row r="190" spans="3:3">
      <c r="C190" s="243"/>
    </row>
    <row r="191" spans="3:3">
      <c r="C191" s="243"/>
    </row>
    <row r="192" spans="3:3">
      <c r="C192" s="243"/>
    </row>
    <row r="193" spans="3:3">
      <c r="C193" s="243"/>
    </row>
    <row r="194" spans="3:3">
      <c r="C194" s="243"/>
    </row>
    <row r="195" spans="3:3">
      <c r="C195" s="243"/>
    </row>
    <row r="196" spans="3:3">
      <c r="C196" s="243"/>
    </row>
    <row r="197" spans="3:3">
      <c r="C197" s="243"/>
    </row>
    <row r="198" spans="3:3">
      <c r="C198" s="243"/>
    </row>
    <row r="199" spans="3:3">
      <c r="C199" s="243"/>
    </row>
    <row r="200" spans="3:3">
      <c r="C200" s="243"/>
    </row>
    <row r="201" spans="3:3">
      <c r="C201" s="243"/>
    </row>
    <row r="202" spans="3:3">
      <c r="C202" s="243"/>
    </row>
    <row r="203" spans="3:3">
      <c r="C203" s="243"/>
    </row>
    <row r="204" spans="3:3">
      <c r="C204" s="243"/>
    </row>
    <row r="205" spans="3:3">
      <c r="C205" s="243"/>
    </row>
    <row r="206" spans="3:3">
      <c r="C206" s="243"/>
    </row>
    <row r="207" spans="3:3">
      <c r="C207" s="243"/>
    </row>
    <row r="208" spans="3:3">
      <c r="C208" s="243"/>
    </row>
    <row r="209" spans="3:3">
      <c r="C209" s="243"/>
    </row>
    <row r="210" spans="3:3">
      <c r="C210" s="243"/>
    </row>
    <row r="211" spans="3:3">
      <c r="C211" s="243"/>
    </row>
    <row r="212" spans="3:3">
      <c r="C212" s="243"/>
    </row>
    <row r="213" spans="3:3">
      <c r="C213" s="243"/>
    </row>
    <row r="214" spans="3:3">
      <c r="C214" s="243"/>
    </row>
    <row r="215" spans="3:3">
      <c r="C215" s="243"/>
    </row>
    <row r="216" spans="3:3">
      <c r="C216" s="243"/>
    </row>
    <row r="217" spans="3:3">
      <c r="C217" s="243"/>
    </row>
    <row r="218" spans="3:3">
      <c r="C218" s="243"/>
    </row>
    <row r="219" spans="3:3">
      <c r="C219" s="243"/>
    </row>
    <row r="220" spans="3:3">
      <c r="C220" s="243"/>
    </row>
    <row r="221" spans="3:3">
      <c r="C221" s="243"/>
    </row>
    <row r="222" spans="3:3">
      <c r="C222" s="243"/>
    </row>
    <row r="223" spans="3:3">
      <c r="C223" s="243"/>
    </row>
    <row r="224" spans="3:3">
      <c r="C224" s="243"/>
    </row>
    <row r="225" spans="3:3">
      <c r="C225" s="243"/>
    </row>
    <row r="226" spans="3:3">
      <c r="C226" s="243"/>
    </row>
    <row r="227" spans="3:3">
      <c r="C227" s="243"/>
    </row>
    <row r="228" spans="3:3">
      <c r="C228" s="243"/>
    </row>
    <row r="229" spans="3:3">
      <c r="C229" s="243"/>
    </row>
    <row r="230" spans="3:3">
      <c r="C230" s="243"/>
    </row>
    <row r="231" spans="3:3">
      <c r="C231" s="243"/>
    </row>
    <row r="232" spans="3:3">
      <c r="C232" s="243"/>
    </row>
    <row r="233" spans="3:3">
      <c r="C233" s="243"/>
    </row>
    <row r="234" spans="3:3">
      <c r="C234" s="243"/>
    </row>
    <row r="235" spans="3:3">
      <c r="C235" s="243"/>
    </row>
    <row r="236" spans="3:3">
      <c r="C236" s="243"/>
    </row>
    <row r="237" spans="3:3">
      <c r="C237" s="243"/>
    </row>
    <row r="238" spans="3:3">
      <c r="C238" s="243"/>
    </row>
    <row r="239" spans="3:3">
      <c r="C239" s="243"/>
    </row>
    <row r="240" spans="3:3">
      <c r="C240" s="243"/>
    </row>
    <row r="241" spans="3:3">
      <c r="C241" s="243"/>
    </row>
    <row r="242" spans="3:3">
      <c r="C242" s="243"/>
    </row>
    <row r="243" spans="3:3">
      <c r="C243" s="243"/>
    </row>
    <row r="244" spans="3:3">
      <c r="C244" s="243"/>
    </row>
    <row r="245" spans="3:3">
      <c r="C245" s="243"/>
    </row>
    <row r="246" spans="3:3">
      <c r="C246" s="243"/>
    </row>
    <row r="247" spans="3:3">
      <c r="C247" s="243"/>
    </row>
    <row r="248" spans="3:3">
      <c r="C248" s="243"/>
    </row>
    <row r="249" spans="3:3">
      <c r="C249" s="243"/>
    </row>
    <row r="250" spans="3:3">
      <c r="C250" s="243"/>
    </row>
    <row r="251" spans="3:3">
      <c r="C251" s="243"/>
    </row>
    <row r="252" spans="3:3">
      <c r="C252" s="243"/>
    </row>
    <row r="253" spans="3:3">
      <c r="C253" s="243"/>
    </row>
    <row r="254" spans="3:3">
      <c r="C254" s="243"/>
    </row>
    <row r="255" spans="3:3">
      <c r="C255" s="243"/>
    </row>
    <row r="256" spans="3:3">
      <c r="C256" s="243"/>
    </row>
    <row r="257" spans="3:3">
      <c r="C257" s="243"/>
    </row>
    <row r="258" spans="3:3">
      <c r="C258" s="243"/>
    </row>
    <row r="259" spans="3:3">
      <c r="C259" s="243"/>
    </row>
    <row r="260" spans="3:3">
      <c r="C260" s="243"/>
    </row>
    <row r="261" spans="3:3">
      <c r="C261" s="243"/>
    </row>
    <row r="262" spans="3:3">
      <c r="C262" s="243"/>
    </row>
    <row r="263" spans="3:3">
      <c r="C263" s="243"/>
    </row>
    <row r="264" spans="3:3">
      <c r="C264" s="243"/>
    </row>
    <row r="265" spans="3:3">
      <c r="C265" s="243"/>
    </row>
    <row r="266" spans="3:3">
      <c r="C266" s="243"/>
    </row>
    <row r="267" spans="3:3">
      <c r="C267" s="243"/>
    </row>
    <row r="268" spans="3:3">
      <c r="C268" s="243"/>
    </row>
    <row r="269" spans="3:3">
      <c r="C269" s="243"/>
    </row>
    <row r="270" spans="3:3">
      <c r="C270" s="243"/>
    </row>
    <row r="271" spans="3:3">
      <c r="C271" s="243"/>
    </row>
    <row r="272" spans="3:3">
      <c r="C272" s="243"/>
    </row>
    <row r="273" spans="3:3">
      <c r="C273" s="243"/>
    </row>
    <row r="274" spans="3:3">
      <c r="C274" s="243"/>
    </row>
    <row r="275" spans="3:3">
      <c r="C275" s="243"/>
    </row>
    <row r="276" spans="3:3">
      <c r="C276" s="243"/>
    </row>
    <row r="277" spans="3:3">
      <c r="C277" s="243"/>
    </row>
    <row r="278" spans="3:3">
      <c r="C278" s="243"/>
    </row>
    <row r="279" spans="3:3">
      <c r="C279" s="243"/>
    </row>
    <row r="280" spans="3:3">
      <c r="C280" s="243"/>
    </row>
    <row r="281" spans="3:3">
      <c r="C281" s="243"/>
    </row>
    <row r="282" spans="3:3">
      <c r="C282" s="243"/>
    </row>
    <row r="283" spans="3:3">
      <c r="C283" s="243"/>
    </row>
    <row r="284" spans="3:3">
      <c r="C284" s="243"/>
    </row>
    <row r="285" spans="3:3">
      <c r="C285" s="243"/>
    </row>
    <row r="286" spans="3:3">
      <c r="C286" s="243"/>
    </row>
    <row r="287" spans="3:3">
      <c r="C287" s="243"/>
    </row>
    <row r="288" spans="3:3">
      <c r="C288" s="243"/>
    </row>
    <row r="289" spans="3:3">
      <c r="C289" s="243"/>
    </row>
    <row r="290" spans="3:3">
      <c r="C290" s="243"/>
    </row>
    <row r="291" spans="3:3">
      <c r="C291" s="243"/>
    </row>
    <row r="292" spans="3:3">
      <c r="C292" s="243"/>
    </row>
    <row r="293" spans="3:3">
      <c r="C293" s="243"/>
    </row>
    <row r="294" spans="3:3">
      <c r="C294" s="243"/>
    </row>
    <row r="295" spans="3:3">
      <c r="C295" s="243"/>
    </row>
    <row r="296" spans="3:3">
      <c r="C296" s="243"/>
    </row>
    <row r="297" spans="3:3">
      <c r="C297" s="243"/>
    </row>
    <row r="298" spans="3:3">
      <c r="C298" s="243"/>
    </row>
    <row r="299" spans="3:3">
      <c r="C299" s="243"/>
    </row>
    <row r="300" spans="3:3">
      <c r="C300" s="243"/>
    </row>
    <row r="301" spans="3:3">
      <c r="C301" s="243"/>
    </row>
    <row r="302" spans="3:3">
      <c r="C302" s="243"/>
    </row>
    <row r="303" spans="3:3">
      <c r="C303" s="243"/>
    </row>
    <row r="304" spans="3:3">
      <c r="C304" s="243"/>
    </row>
    <row r="305" spans="3:3">
      <c r="C305" s="243"/>
    </row>
    <row r="306" spans="3:3">
      <c r="C306" s="243"/>
    </row>
    <row r="307" spans="3:3">
      <c r="C307" s="243"/>
    </row>
    <row r="308" spans="3:3">
      <c r="C308" s="243"/>
    </row>
    <row r="309" spans="3:3">
      <c r="C309" s="243"/>
    </row>
    <row r="310" spans="3:3">
      <c r="C310" s="243"/>
    </row>
    <row r="311" spans="3:3">
      <c r="C311" s="243"/>
    </row>
    <row r="312" spans="3:3">
      <c r="C312" s="243"/>
    </row>
    <row r="313" spans="3:3">
      <c r="C313" s="243"/>
    </row>
    <row r="314" spans="3:3">
      <c r="C314" s="243"/>
    </row>
    <row r="315" spans="3:3">
      <c r="C315" s="243"/>
    </row>
    <row r="316" spans="3:3">
      <c r="C316" s="243"/>
    </row>
    <row r="317" spans="3:3">
      <c r="C317" s="243"/>
    </row>
    <row r="318" spans="3:3">
      <c r="C318" s="243"/>
    </row>
    <row r="319" spans="3:3">
      <c r="C319" s="243"/>
    </row>
    <row r="320" spans="3:3">
      <c r="C320" s="243"/>
    </row>
    <row r="321" spans="3:3">
      <c r="C321" s="243"/>
    </row>
    <row r="322" spans="3:3">
      <c r="C322" s="243"/>
    </row>
    <row r="323" spans="3:3">
      <c r="C323" s="243"/>
    </row>
    <row r="324" spans="3:3">
      <c r="C324" s="243"/>
    </row>
    <row r="325" spans="3:3">
      <c r="C325" s="243"/>
    </row>
    <row r="326" spans="3:3">
      <c r="C326" s="243"/>
    </row>
    <row r="327" spans="3:3">
      <c r="C327" s="243"/>
    </row>
    <row r="328" spans="3:3">
      <c r="C328" s="243"/>
    </row>
    <row r="329" spans="3:3">
      <c r="C329" s="243"/>
    </row>
    <row r="330" spans="3:3">
      <c r="C330" s="243"/>
    </row>
    <row r="331" spans="3:3">
      <c r="C331" s="243"/>
    </row>
    <row r="332" spans="3:3">
      <c r="C332" s="243"/>
    </row>
    <row r="333" spans="3:3">
      <c r="C333" s="243"/>
    </row>
    <row r="334" spans="3:3">
      <c r="C334" s="243"/>
    </row>
    <row r="335" spans="3:3">
      <c r="C335" s="243"/>
    </row>
    <row r="336" spans="3:3">
      <c r="C336" s="243"/>
    </row>
    <row r="337" spans="3:3">
      <c r="C337" s="243"/>
    </row>
    <row r="338" spans="3:3">
      <c r="C338" s="243"/>
    </row>
    <row r="339" spans="3:3">
      <c r="C339" s="243"/>
    </row>
    <row r="340" spans="3:3">
      <c r="C340" s="243"/>
    </row>
    <row r="341" spans="3:3">
      <c r="C341" s="243"/>
    </row>
    <row r="342" spans="3:3">
      <c r="C342" s="243"/>
    </row>
    <row r="343" spans="3:3">
      <c r="C343" s="243"/>
    </row>
    <row r="344" spans="3:3">
      <c r="C344" s="243"/>
    </row>
    <row r="345" spans="3:3">
      <c r="C345" s="243"/>
    </row>
    <row r="346" spans="3:3">
      <c r="C346" s="243"/>
    </row>
    <row r="347" spans="3:3">
      <c r="C347" s="243"/>
    </row>
    <row r="348" spans="3:3">
      <c r="C348" s="243"/>
    </row>
    <row r="349" spans="3:3">
      <c r="C349" s="243"/>
    </row>
    <row r="350" spans="3:3">
      <c r="C350" s="243"/>
    </row>
    <row r="351" spans="3:3">
      <c r="C351" s="243"/>
    </row>
    <row r="352" spans="3:3">
      <c r="C352" s="243"/>
    </row>
    <row r="353" spans="3:3">
      <c r="C353" s="243"/>
    </row>
    <row r="354" spans="3:3">
      <c r="C354" s="243"/>
    </row>
    <row r="355" spans="3:3">
      <c r="C355" s="243"/>
    </row>
    <row r="356" spans="3:3">
      <c r="C356" s="243"/>
    </row>
    <row r="357" spans="3:3">
      <c r="C357" s="243"/>
    </row>
    <row r="358" spans="3:3">
      <c r="C358" s="243"/>
    </row>
    <row r="359" spans="3:3">
      <c r="C359" s="243"/>
    </row>
    <row r="360" spans="3:3">
      <c r="C360" s="243"/>
    </row>
    <row r="361" spans="3:3">
      <c r="C361" s="243"/>
    </row>
    <row r="362" spans="3:3">
      <c r="C362" s="243"/>
    </row>
    <row r="363" spans="3:3">
      <c r="C363" s="243"/>
    </row>
    <row r="364" spans="3:3">
      <c r="C364" s="243"/>
    </row>
    <row r="365" spans="3:3">
      <c r="C365" s="243"/>
    </row>
    <row r="366" spans="3:3">
      <c r="C366" s="243"/>
    </row>
    <row r="367" spans="3:3">
      <c r="C367" s="243"/>
    </row>
    <row r="368" spans="3:3">
      <c r="C368" s="243"/>
    </row>
    <row r="369" spans="3:3">
      <c r="C369" s="243"/>
    </row>
    <row r="370" spans="3:3">
      <c r="C370" s="243"/>
    </row>
    <row r="371" spans="3:3">
      <c r="C371" s="243"/>
    </row>
    <row r="372" spans="3:3">
      <c r="C372" s="243"/>
    </row>
    <row r="373" spans="3:3">
      <c r="C373" s="243"/>
    </row>
    <row r="374" spans="3:3">
      <c r="C374" s="243"/>
    </row>
    <row r="375" spans="3:3">
      <c r="C375" s="243"/>
    </row>
    <row r="376" spans="3:3">
      <c r="C376" s="243"/>
    </row>
    <row r="377" spans="3:3">
      <c r="C377" s="243"/>
    </row>
    <row r="378" spans="3:3">
      <c r="C378" s="243"/>
    </row>
    <row r="379" spans="3:3">
      <c r="C379" s="243"/>
    </row>
    <row r="380" spans="3:3">
      <c r="C380" s="243"/>
    </row>
    <row r="381" spans="3:3">
      <c r="C381" s="243"/>
    </row>
    <row r="382" spans="3:3">
      <c r="C382" s="243"/>
    </row>
    <row r="383" spans="3:3">
      <c r="C383" s="243"/>
    </row>
    <row r="384" spans="3:3">
      <c r="C384" s="243"/>
    </row>
    <row r="385" spans="3:3">
      <c r="C385" s="243"/>
    </row>
    <row r="386" spans="3:3">
      <c r="C386" s="243"/>
    </row>
    <row r="387" spans="3:3">
      <c r="C387" s="243"/>
    </row>
    <row r="388" spans="3:3">
      <c r="C388" s="243"/>
    </row>
    <row r="389" spans="3:3">
      <c r="C389" s="243"/>
    </row>
    <row r="390" spans="3:3">
      <c r="C390" s="243"/>
    </row>
    <row r="391" spans="3:3">
      <c r="C391" s="243"/>
    </row>
    <row r="392" spans="3:3">
      <c r="C392" s="243"/>
    </row>
    <row r="393" spans="3:3">
      <c r="C393" s="243"/>
    </row>
    <row r="394" spans="3:3">
      <c r="C394" s="243"/>
    </row>
    <row r="395" spans="3:3">
      <c r="C395" s="243"/>
    </row>
    <row r="396" spans="3:3">
      <c r="C396" s="243"/>
    </row>
    <row r="397" spans="3:3">
      <c r="C397" s="243"/>
    </row>
    <row r="398" spans="3:3">
      <c r="C398" s="243"/>
    </row>
    <row r="399" spans="3:3">
      <c r="C399" s="243"/>
    </row>
    <row r="400" spans="3:3">
      <c r="C400" s="243"/>
    </row>
    <row r="401" spans="3:3">
      <c r="C401" s="243"/>
    </row>
    <row r="402" spans="3:3">
      <c r="C402" s="243"/>
    </row>
    <row r="403" spans="3:3">
      <c r="C403" s="243"/>
    </row>
    <row r="404" spans="3:3">
      <c r="C404" s="243"/>
    </row>
    <row r="405" spans="3:3">
      <c r="C405" s="243"/>
    </row>
    <row r="406" spans="3:3">
      <c r="C406" s="243"/>
    </row>
    <row r="407" spans="3:3">
      <c r="C407" s="243"/>
    </row>
    <row r="408" spans="3:3">
      <c r="C408" s="243"/>
    </row>
    <row r="409" spans="3:3">
      <c r="C409" s="243"/>
    </row>
    <row r="410" spans="3:3">
      <c r="C410" s="243"/>
    </row>
    <row r="411" spans="3:3">
      <c r="C411" s="243"/>
    </row>
    <row r="412" spans="3:3">
      <c r="C412" s="243"/>
    </row>
    <row r="413" spans="3:3">
      <c r="C413" s="243"/>
    </row>
    <row r="414" spans="3:3">
      <c r="C414" s="243"/>
    </row>
    <row r="415" spans="3:3">
      <c r="C415" s="243"/>
    </row>
    <row r="416" spans="3:3">
      <c r="C416" s="243"/>
    </row>
    <row r="417" spans="3:3">
      <c r="C417" s="243"/>
    </row>
    <row r="418" spans="3:3">
      <c r="C418" s="243"/>
    </row>
    <row r="419" spans="3:3">
      <c r="C419" s="243"/>
    </row>
    <row r="420" spans="3:3">
      <c r="C420" s="243"/>
    </row>
    <row r="421" spans="3:3">
      <c r="C421" s="243"/>
    </row>
    <row r="422" spans="3:3">
      <c r="C422" s="243"/>
    </row>
    <row r="423" spans="3:3">
      <c r="C423" s="243"/>
    </row>
    <row r="424" spans="3:3">
      <c r="C424" s="243"/>
    </row>
    <row r="425" spans="3:3">
      <c r="C425" s="243"/>
    </row>
    <row r="426" spans="3:3">
      <c r="C426" s="243"/>
    </row>
    <row r="427" spans="3:3">
      <c r="C427" s="243"/>
    </row>
    <row r="428" spans="3:3">
      <c r="C428" s="243"/>
    </row>
    <row r="429" spans="3:3">
      <c r="C429" s="243"/>
    </row>
    <row r="430" spans="3:3">
      <c r="C430" s="243"/>
    </row>
    <row r="431" spans="3:3">
      <c r="C431" s="243"/>
    </row>
    <row r="432" spans="3:3">
      <c r="C432" s="243"/>
    </row>
    <row r="433" spans="3:3">
      <c r="C433" s="243"/>
    </row>
    <row r="434" spans="3:3">
      <c r="C434" s="243"/>
    </row>
    <row r="435" spans="3:3">
      <c r="C435" s="243"/>
    </row>
    <row r="436" spans="3:3">
      <c r="C436" s="243"/>
    </row>
    <row r="437" spans="3:3">
      <c r="C437" s="243"/>
    </row>
    <row r="438" spans="3:3">
      <c r="C438" s="243"/>
    </row>
    <row r="439" spans="3:3">
      <c r="C439" s="243"/>
    </row>
    <row r="440" spans="3:3">
      <c r="C440" s="243"/>
    </row>
    <row r="441" spans="3:3">
      <c r="C441" s="243"/>
    </row>
    <row r="442" spans="3:3">
      <c r="C442" s="243"/>
    </row>
    <row r="443" spans="3:3">
      <c r="C443" s="243"/>
    </row>
    <row r="444" spans="3:3">
      <c r="C444" s="243"/>
    </row>
    <row r="445" spans="3:3">
      <c r="C445" s="243"/>
    </row>
    <row r="446" spans="3:3">
      <c r="C446" s="243"/>
    </row>
    <row r="447" spans="3:3">
      <c r="C447" s="243"/>
    </row>
    <row r="448" spans="3:3">
      <c r="C448" s="243"/>
    </row>
    <row r="449" spans="3:3">
      <c r="C449" s="243"/>
    </row>
    <row r="450" spans="3:3">
      <c r="C450" s="243"/>
    </row>
    <row r="451" spans="3:3">
      <c r="C451" s="243"/>
    </row>
    <row r="452" spans="3:3">
      <c r="C452" s="243"/>
    </row>
    <row r="453" spans="3:3">
      <c r="C453" s="243"/>
    </row>
    <row r="454" spans="3:3">
      <c r="C454" s="243"/>
    </row>
    <row r="455" spans="3:3">
      <c r="C455" s="243"/>
    </row>
    <row r="456" spans="3:3">
      <c r="C456" s="243"/>
    </row>
    <row r="457" spans="3:3">
      <c r="C457" s="243"/>
    </row>
    <row r="458" spans="3:3">
      <c r="C458" s="243"/>
    </row>
    <row r="459" spans="3:3">
      <c r="C459" s="243"/>
    </row>
    <row r="460" spans="3:3">
      <c r="C460" s="243"/>
    </row>
    <row r="461" spans="3:3">
      <c r="C461" s="243"/>
    </row>
    <row r="462" spans="3:3">
      <c r="C462" s="243"/>
    </row>
    <row r="463" spans="3:3">
      <c r="C463" s="243"/>
    </row>
    <row r="464" spans="3:3">
      <c r="C464" s="243"/>
    </row>
    <row r="465" spans="3:3">
      <c r="C465" s="243"/>
    </row>
    <row r="466" spans="3:3">
      <c r="C466" s="243"/>
    </row>
    <row r="467" spans="3:3">
      <c r="C467" s="243"/>
    </row>
    <row r="468" spans="3:3">
      <c r="C468" s="243"/>
    </row>
    <row r="469" spans="3:3">
      <c r="C469" s="243"/>
    </row>
    <row r="470" spans="3:3">
      <c r="C470" s="243"/>
    </row>
    <row r="471" spans="3:3">
      <c r="C471" s="243"/>
    </row>
  </sheetData>
  <mergeCells count="1">
    <mergeCell ref="A1:E3"/>
  </mergeCells>
  <printOptions verticalCentered="1"/>
  <pageMargins left="0.70763888888888904" right="0.70763888888888904" top="0.74791666666666701" bottom="0.74791666666666701" header="0.31388888888888899" footer="0.3138888888888889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941"/>
  <sheetViews>
    <sheetView topLeftCell="F16" workbookViewId="0">
      <selection sqref="A1:M27"/>
    </sheetView>
  </sheetViews>
  <sheetFormatPr defaultColWidth="9.83203125" defaultRowHeight="15" customHeight="1"/>
  <cols>
    <col min="1" max="1" width="3.08203125" style="1" customWidth="1"/>
    <col min="2" max="2" width="16.83203125" style="1" customWidth="1"/>
    <col min="3" max="3" width="22.58203125" style="1" customWidth="1"/>
    <col min="4" max="4" width="34.33203125" style="1" customWidth="1"/>
    <col min="5" max="5" width="22.33203125" style="1" customWidth="1"/>
    <col min="6" max="6" width="11.33203125" style="1" customWidth="1"/>
    <col min="7" max="9" width="11.75" style="1" customWidth="1"/>
    <col min="10" max="12" width="13.25" style="1" customWidth="1"/>
    <col min="13" max="13" width="1.25" style="1" customWidth="1"/>
    <col min="14" max="14" width="15.33203125" style="1" customWidth="1"/>
    <col min="15" max="29" width="8.75" style="1" customWidth="1"/>
    <col min="30" max="16384" width="9.83203125" style="1"/>
  </cols>
  <sheetData>
    <row r="1" spans="1:29" ht="18" customHeight="1">
      <c r="A1" s="989" t="s">
        <v>3267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</row>
    <row r="2" spans="1:29" ht="18" customHeight="1">
      <c r="A2" s="992" t="s">
        <v>3268</v>
      </c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</row>
    <row r="3" spans="1:29" ht="18" customHeight="1">
      <c r="A3" s="992" t="s">
        <v>3269</v>
      </c>
      <c r="B3" s="992"/>
      <c r="C3" s="992"/>
      <c r="D3" s="992"/>
      <c r="E3" s="992"/>
      <c r="F3" s="992"/>
      <c r="G3" s="992"/>
      <c r="H3" s="992"/>
      <c r="I3" s="992"/>
      <c r="J3" s="992"/>
      <c r="K3" s="992"/>
      <c r="L3" s="992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</row>
    <row r="4" spans="1:29" ht="15" customHeight="1">
      <c r="A4" s="996" t="s">
        <v>25</v>
      </c>
      <c r="B4" s="817"/>
      <c r="C4" s="817"/>
      <c r="D4" s="817"/>
      <c r="E4" s="817"/>
      <c r="F4" s="817"/>
      <c r="G4" s="817"/>
      <c r="H4" s="817"/>
      <c r="I4" s="817"/>
      <c r="J4" s="817"/>
      <c r="K4" s="72"/>
      <c r="L4" s="72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56"/>
    </row>
    <row r="5" spans="1:29" ht="15" customHeight="1">
      <c r="A5" s="990" t="s">
        <v>3270</v>
      </c>
      <c r="B5" s="990" t="s">
        <v>3271</v>
      </c>
      <c r="C5" s="990" t="s">
        <v>3272</v>
      </c>
      <c r="D5" s="990" t="s">
        <v>3273</v>
      </c>
      <c r="E5" s="990" t="s">
        <v>3274</v>
      </c>
      <c r="F5" s="990" t="s">
        <v>3275</v>
      </c>
      <c r="G5" s="990" t="s">
        <v>13</v>
      </c>
      <c r="H5" s="991" t="s">
        <v>3276</v>
      </c>
      <c r="I5" s="991" t="s">
        <v>3277</v>
      </c>
      <c r="J5" s="991" t="s">
        <v>21</v>
      </c>
      <c r="K5" s="990" t="s">
        <v>3278</v>
      </c>
      <c r="L5" s="990" t="s">
        <v>3279</v>
      </c>
      <c r="M5" s="256"/>
      <c r="N5" s="993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</row>
    <row r="6" spans="1:29" ht="15" customHeight="1">
      <c r="A6" s="789"/>
      <c r="B6" s="789"/>
      <c r="C6" s="789"/>
      <c r="D6" s="789"/>
      <c r="E6" s="789"/>
      <c r="F6" s="789"/>
      <c r="G6" s="789"/>
      <c r="H6" s="882"/>
      <c r="I6" s="882"/>
      <c r="J6" s="882"/>
      <c r="K6" s="997"/>
      <c r="L6" s="789"/>
      <c r="M6" s="256"/>
      <c r="N6" s="993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</row>
    <row r="7" spans="1:29" ht="33.75" customHeight="1">
      <c r="A7" s="258">
        <v>1</v>
      </c>
      <c r="B7" s="259" t="s">
        <v>1511</v>
      </c>
      <c r="C7" s="9" t="s">
        <v>3280</v>
      </c>
      <c r="D7" s="9" t="s">
        <v>1375</v>
      </c>
      <c r="E7" s="9" t="s">
        <v>1507</v>
      </c>
      <c r="F7" s="9" t="s">
        <v>296</v>
      </c>
      <c r="G7" s="259">
        <v>44936</v>
      </c>
      <c r="H7" s="260">
        <v>8800000</v>
      </c>
      <c r="I7" s="260">
        <v>11550000</v>
      </c>
      <c r="J7" s="260">
        <f t="shared" ref="J7:J12" si="0">I7-H7</f>
        <v>2750000</v>
      </c>
      <c r="K7" s="259">
        <v>45000</v>
      </c>
      <c r="L7" s="259" t="s">
        <v>3281</v>
      </c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</row>
    <row r="8" spans="1:29" ht="33.75" customHeight="1">
      <c r="A8" s="258">
        <v>2</v>
      </c>
      <c r="B8" s="259" t="s">
        <v>1522</v>
      </c>
      <c r="C8" s="9" t="s">
        <v>3282</v>
      </c>
      <c r="D8" s="258" t="s">
        <v>1375</v>
      </c>
      <c r="E8" s="258" t="s">
        <v>1519</v>
      </c>
      <c r="F8" s="258" t="s">
        <v>296</v>
      </c>
      <c r="G8" s="259">
        <v>44941</v>
      </c>
      <c r="H8" s="260">
        <v>6600000</v>
      </c>
      <c r="I8" s="260">
        <v>8750000</v>
      </c>
      <c r="J8" s="260">
        <f t="shared" si="0"/>
        <v>2150000</v>
      </c>
      <c r="K8" s="259">
        <v>45000</v>
      </c>
      <c r="L8" s="259" t="s">
        <v>3281</v>
      </c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</row>
    <row r="9" spans="1:29" ht="33.75" customHeight="1">
      <c r="A9" s="258">
        <v>3</v>
      </c>
      <c r="B9" s="259" t="s">
        <v>1532</v>
      </c>
      <c r="C9" s="259" t="s">
        <v>3283</v>
      </c>
      <c r="D9" s="258" t="s">
        <v>1375</v>
      </c>
      <c r="E9" s="258" t="s">
        <v>1528</v>
      </c>
      <c r="F9" s="258" t="s">
        <v>94</v>
      </c>
      <c r="G9" s="259">
        <v>44944</v>
      </c>
      <c r="H9" s="260">
        <v>7279790.5</v>
      </c>
      <c r="I9" s="260">
        <v>15223868.5</v>
      </c>
      <c r="J9" s="260">
        <f t="shared" si="0"/>
        <v>7944078</v>
      </c>
      <c r="K9" s="259">
        <v>45000</v>
      </c>
      <c r="L9" s="259" t="s">
        <v>3284</v>
      </c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</row>
    <row r="10" spans="1:29" ht="33.75" customHeight="1">
      <c r="A10" s="258">
        <v>4</v>
      </c>
      <c r="B10" s="258" t="s">
        <v>1546</v>
      </c>
      <c r="C10" s="259" t="s">
        <v>3285</v>
      </c>
      <c r="D10" s="258" t="s">
        <v>1485</v>
      </c>
      <c r="E10" s="258" t="s">
        <v>1543</v>
      </c>
      <c r="F10" s="258" t="s">
        <v>1491</v>
      </c>
      <c r="G10" s="259">
        <v>44940</v>
      </c>
      <c r="H10" s="260">
        <v>2750000</v>
      </c>
      <c r="I10" s="260">
        <v>3650000</v>
      </c>
      <c r="J10" s="260">
        <f t="shared" si="0"/>
        <v>900000</v>
      </c>
      <c r="K10" s="259">
        <v>44964</v>
      </c>
      <c r="L10" s="259" t="s">
        <v>3284</v>
      </c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</row>
    <row r="11" spans="1:29" ht="33.75" customHeight="1">
      <c r="A11" s="258">
        <v>5</v>
      </c>
      <c r="B11" s="259" t="s">
        <v>1540</v>
      </c>
      <c r="C11" s="259" t="s">
        <v>3286</v>
      </c>
      <c r="D11" s="258" t="s">
        <v>1536</v>
      </c>
      <c r="E11" s="261" t="s">
        <v>3287</v>
      </c>
      <c r="F11" s="258" t="s">
        <v>2468</v>
      </c>
      <c r="G11" s="259">
        <v>44961</v>
      </c>
      <c r="H11" s="260">
        <v>12809512</v>
      </c>
      <c r="I11" s="260">
        <v>29145905</v>
      </c>
      <c r="J11" s="260">
        <f t="shared" si="0"/>
        <v>16336393</v>
      </c>
      <c r="K11" s="259">
        <v>45016</v>
      </c>
      <c r="L11" s="259" t="s">
        <v>3281</v>
      </c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</row>
    <row r="12" spans="1:29" ht="33.75" customHeight="1">
      <c r="A12" s="258">
        <v>6</v>
      </c>
      <c r="B12" s="258" t="s">
        <v>1554</v>
      </c>
      <c r="C12" s="9" t="s">
        <v>1270</v>
      </c>
      <c r="D12" s="9" t="s">
        <v>3288</v>
      </c>
      <c r="E12" s="9" t="s">
        <v>1550</v>
      </c>
      <c r="F12" s="9" t="s">
        <v>3289</v>
      </c>
      <c r="G12" s="259">
        <v>44956</v>
      </c>
      <c r="H12" s="260">
        <v>18241664</v>
      </c>
      <c r="I12" s="260">
        <v>25479164</v>
      </c>
      <c r="J12" s="260">
        <f t="shared" si="0"/>
        <v>7237500</v>
      </c>
      <c r="K12" s="259">
        <v>45026</v>
      </c>
      <c r="L12" s="259" t="s">
        <v>3281</v>
      </c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</row>
    <row r="13" spans="1:29" ht="15" customHeight="1">
      <c r="A13" s="262"/>
      <c r="B13" s="263"/>
      <c r="C13" s="263"/>
      <c r="D13" s="264" t="s">
        <v>3290</v>
      </c>
      <c r="E13" s="262"/>
      <c r="F13" s="998" t="s">
        <v>3291</v>
      </c>
      <c r="G13" s="880"/>
      <c r="H13" s="72"/>
      <c r="I13" s="72"/>
      <c r="J13" s="265">
        <f>SUM(J7:J12)</f>
        <v>37317971</v>
      </c>
      <c r="K13" s="265"/>
      <c r="L13" s="265"/>
      <c r="M13" s="26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</row>
    <row r="14" spans="1:29" ht="15" customHeight="1">
      <c r="A14" s="999" t="s">
        <v>128</v>
      </c>
      <c r="B14" s="889"/>
      <c r="C14" s="889"/>
      <c r="D14" s="889"/>
      <c r="E14" s="889"/>
      <c r="F14" s="889"/>
      <c r="G14" s="268"/>
      <c r="H14" s="268"/>
      <c r="I14" s="268"/>
      <c r="J14" s="269"/>
      <c r="K14" s="269"/>
      <c r="L14" s="269"/>
      <c r="M14" s="26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</row>
    <row r="15" spans="1:29" ht="15" customHeight="1">
      <c r="A15" s="990" t="s">
        <v>3270</v>
      </c>
      <c r="B15" s="990" t="s">
        <v>3271</v>
      </c>
      <c r="C15" s="990" t="s">
        <v>3272</v>
      </c>
      <c r="D15" s="990" t="s">
        <v>3273</v>
      </c>
      <c r="E15" s="990" t="s">
        <v>3274</v>
      </c>
      <c r="F15" s="990" t="s">
        <v>3292</v>
      </c>
      <c r="G15" s="990" t="s">
        <v>13</v>
      </c>
      <c r="H15" s="991" t="s">
        <v>3276</v>
      </c>
      <c r="I15" s="991" t="s">
        <v>3277</v>
      </c>
      <c r="J15" s="991" t="s">
        <v>21</v>
      </c>
      <c r="K15" s="990" t="s">
        <v>3278</v>
      </c>
      <c r="L15" s="990" t="s">
        <v>3279</v>
      </c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</row>
    <row r="16" spans="1:29" ht="15" customHeight="1">
      <c r="A16" s="789"/>
      <c r="B16" s="789"/>
      <c r="C16" s="789"/>
      <c r="D16" s="789"/>
      <c r="E16" s="789"/>
      <c r="F16" s="789"/>
      <c r="G16" s="789"/>
      <c r="H16" s="882"/>
      <c r="I16" s="882"/>
      <c r="J16" s="882"/>
      <c r="K16" s="997"/>
      <c r="L16" s="789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</row>
    <row r="17" spans="1:29" s="270" customFormat="1" ht="22.5" customHeight="1">
      <c r="A17" s="258">
        <v>7</v>
      </c>
      <c r="B17" s="259" t="s">
        <v>1564</v>
      </c>
      <c r="C17" s="271" t="s">
        <v>3293</v>
      </c>
      <c r="D17" s="9" t="s">
        <v>1559</v>
      </c>
      <c r="E17" s="9" t="s">
        <v>1560</v>
      </c>
      <c r="F17" s="9" t="s">
        <v>3294</v>
      </c>
      <c r="G17" s="259">
        <v>44967</v>
      </c>
      <c r="H17" s="260">
        <v>2718021</v>
      </c>
      <c r="I17" s="260">
        <v>3468021</v>
      </c>
      <c r="J17" s="260">
        <f>I17-H17</f>
        <v>750000</v>
      </c>
      <c r="K17" s="259">
        <v>45022</v>
      </c>
      <c r="L17" s="259" t="s">
        <v>3281</v>
      </c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</row>
    <row r="18" spans="1:29" s="270" customFormat="1" ht="22.5" customHeight="1">
      <c r="A18" s="258">
        <v>8</v>
      </c>
      <c r="B18" s="259" t="s">
        <v>1574</v>
      </c>
      <c r="C18" s="271" t="s">
        <v>3293</v>
      </c>
      <c r="D18" s="9" t="s">
        <v>1559</v>
      </c>
      <c r="E18" s="9" t="s">
        <v>1571</v>
      </c>
      <c r="F18" s="9" t="s">
        <v>2104</v>
      </c>
      <c r="G18" s="259">
        <v>45002</v>
      </c>
      <c r="H18" s="260">
        <v>1750000</v>
      </c>
      <c r="I18" s="260">
        <v>2500000</v>
      </c>
      <c r="J18" s="260">
        <f>I18-H18</f>
        <v>750000</v>
      </c>
      <c r="K18" s="259">
        <v>45022</v>
      </c>
      <c r="L18" s="259" t="s">
        <v>3281</v>
      </c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</row>
    <row r="19" spans="1:29" ht="15" customHeight="1">
      <c r="A19" s="267"/>
      <c r="B19" s="36"/>
      <c r="C19" s="36"/>
      <c r="D19" s="36"/>
      <c r="E19" s="36"/>
      <c r="F19" s="994" t="s">
        <v>3295</v>
      </c>
      <c r="G19" s="889"/>
      <c r="J19" s="273">
        <f>SUM(J17:J17)</f>
        <v>750000</v>
      </c>
      <c r="K19" s="273"/>
      <c r="L19" s="273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</row>
    <row r="20" spans="1:29" ht="15" customHeight="1">
      <c r="A20" s="267"/>
      <c r="B20" s="36"/>
      <c r="C20" s="36"/>
      <c r="D20" s="36"/>
      <c r="E20" s="36"/>
      <c r="F20" s="995" t="s">
        <v>3296</v>
      </c>
      <c r="G20" s="865"/>
      <c r="H20" s="72"/>
      <c r="I20" s="72"/>
      <c r="J20" s="274">
        <f>J13+J19</f>
        <v>38067971</v>
      </c>
      <c r="K20" s="274"/>
      <c r="L20" s="274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</row>
    <row r="21" spans="1:29" ht="15" customHeight="1">
      <c r="A21" s="267"/>
      <c r="B21" s="36"/>
      <c r="C21" s="36"/>
      <c r="D21" s="36"/>
      <c r="E21" s="36"/>
      <c r="F21" s="994" t="s">
        <v>3297</v>
      </c>
      <c r="G21" s="889"/>
      <c r="J21" s="275">
        <v>36000000</v>
      </c>
      <c r="K21" s="273"/>
      <c r="L21" s="273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</row>
    <row r="22" spans="1:29" ht="5.25" customHeight="1">
      <c r="A22" s="267"/>
      <c r="B22" s="36"/>
      <c r="C22" s="36"/>
      <c r="D22" s="36"/>
      <c r="E22" s="36"/>
      <c r="F22" s="272"/>
      <c r="G22" s="272"/>
      <c r="H22" s="272"/>
      <c r="I22" s="272"/>
      <c r="J22" s="273"/>
      <c r="K22" s="273"/>
      <c r="L22" s="273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</row>
    <row r="23" spans="1:29" ht="15" customHeight="1">
      <c r="A23" s="267"/>
      <c r="B23" s="36"/>
      <c r="C23" s="36"/>
      <c r="D23" s="36"/>
      <c r="E23" s="36"/>
      <c r="F23" s="994" t="s">
        <v>3298</v>
      </c>
      <c r="G23" s="889"/>
      <c r="J23" s="273">
        <f>J20*12.5/100</f>
        <v>4758496.375</v>
      </c>
      <c r="K23" s="273"/>
      <c r="L23" s="273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</row>
    <row r="24" spans="1:29" ht="6" customHeight="1">
      <c r="A24" s="267"/>
      <c r="B24" s="36"/>
      <c r="C24" s="36"/>
      <c r="D24" s="36"/>
      <c r="E24" s="36"/>
      <c r="F24" s="50"/>
      <c r="G24" s="50"/>
      <c r="H24" s="50"/>
      <c r="I24" s="50"/>
      <c r="J24" s="276"/>
      <c r="K24" s="276"/>
      <c r="L24" s="27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</row>
    <row r="25" spans="1:29" ht="15" customHeight="1">
      <c r="A25" s="267"/>
      <c r="B25" s="36"/>
      <c r="C25" s="36"/>
      <c r="D25" s="36"/>
      <c r="E25" s="36"/>
      <c r="F25" s="995" t="s">
        <v>3299</v>
      </c>
      <c r="G25" s="865"/>
      <c r="H25" s="72"/>
      <c r="I25" s="72"/>
      <c r="J25" s="274">
        <f>SUM(J23:J23)</f>
        <v>4758496.375</v>
      </c>
      <c r="K25" s="274"/>
      <c r="L25" s="274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</row>
    <row r="26" spans="1:29" ht="15.75" customHeight="1">
      <c r="A26" s="256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</row>
    <row r="27" spans="1:29" ht="15.75" customHeight="1">
      <c r="A27" s="256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</row>
    <row r="28" spans="1:29" ht="15.75" customHeight="1">
      <c r="A28" s="256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</row>
    <row r="29" spans="1:29" ht="15.75" customHeight="1">
      <c r="A29" s="256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</row>
    <row r="30" spans="1:29" ht="15.75" customHeight="1">
      <c r="A30" s="256"/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</row>
    <row r="31" spans="1:29" ht="15.75" customHeight="1">
      <c r="A31" s="256"/>
      <c r="B31" s="256"/>
      <c r="C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</row>
    <row r="32" spans="1:29" ht="15.75" customHeight="1">
      <c r="A32" s="256"/>
      <c r="B32" s="256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</row>
    <row r="33" spans="1:29" ht="15.75" customHeight="1">
      <c r="A33" s="256"/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</row>
    <row r="34" spans="1:29" ht="15.75" customHeight="1">
      <c r="A34" s="256"/>
      <c r="B34" s="256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</row>
    <row r="35" spans="1:29" ht="15.75" customHeight="1">
      <c r="A35" s="256"/>
      <c r="B35" s="256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</row>
    <row r="36" spans="1:29" ht="15.75" customHeight="1">
      <c r="A36" s="256"/>
      <c r="B36" s="256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</row>
    <row r="37" spans="1:29" ht="15.75" customHeight="1">
      <c r="A37" s="256"/>
      <c r="B37" s="256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</row>
    <row r="38" spans="1:29" ht="15.75" customHeight="1">
      <c r="A38" s="256"/>
      <c r="B38" s="256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</row>
    <row r="39" spans="1:29" ht="15.75" customHeight="1">
      <c r="A39" s="256"/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</row>
    <row r="40" spans="1:29" ht="15.75" customHeight="1">
      <c r="A40" s="256"/>
      <c r="B40" s="256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</row>
    <row r="41" spans="1:29" ht="15.75" customHeight="1">
      <c r="A41" s="256"/>
      <c r="B41" s="256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</row>
    <row r="42" spans="1:29" ht="15.75" customHeight="1">
      <c r="A42" s="256"/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</row>
    <row r="43" spans="1:29" ht="15.75" customHeight="1">
      <c r="A43" s="256"/>
      <c r="B43" s="256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</row>
    <row r="44" spans="1:29" ht="15.75" customHeight="1">
      <c r="A44" s="256"/>
      <c r="B44" s="256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</row>
    <row r="45" spans="1:29" ht="15.75" customHeight="1">
      <c r="A45" s="256"/>
      <c r="B45" s="256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</row>
    <row r="46" spans="1:29" ht="15.75" customHeight="1">
      <c r="A46" s="256"/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</row>
    <row r="47" spans="1:29" ht="15.75" customHeight="1">
      <c r="A47" s="256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</row>
    <row r="48" spans="1:29" ht="15.75" customHeight="1">
      <c r="A48" s="256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</row>
    <row r="49" spans="1:29" ht="15.75" customHeight="1">
      <c r="A49" s="256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</row>
    <row r="50" spans="1:29" ht="15.75" customHeight="1">
      <c r="A50" s="256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</row>
    <row r="51" spans="1:29" ht="15.75" customHeight="1">
      <c r="A51" s="256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</row>
    <row r="52" spans="1:29" ht="15.75" customHeight="1">
      <c r="A52" s="256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</row>
    <row r="53" spans="1:29" ht="15.75" customHeight="1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</row>
    <row r="54" spans="1:29" ht="15.75" customHeight="1">
      <c r="A54" s="256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</row>
    <row r="55" spans="1:29" ht="15.75" customHeight="1">
      <c r="A55" s="256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</row>
    <row r="56" spans="1:29" ht="15.75" customHeight="1">
      <c r="A56" s="256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</row>
    <row r="57" spans="1:29" ht="15.75" customHeight="1">
      <c r="A57" s="256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</row>
    <row r="58" spans="1:29" ht="15.75" customHeight="1">
      <c r="A58" s="256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</row>
    <row r="59" spans="1:29" ht="15.75" customHeight="1">
      <c r="A59" s="256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</row>
    <row r="60" spans="1:29" ht="15.75" customHeight="1">
      <c r="A60" s="256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</row>
    <row r="61" spans="1:29" ht="15.75" customHeight="1">
      <c r="A61" s="256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</row>
    <row r="62" spans="1:29" ht="15.75" customHeight="1">
      <c r="A62" s="256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</row>
    <row r="63" spans="1:29" ht="15.75" customHeight="1">
      <c r="A63" s="256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</row>
    <row r="64" spans="1:29" ht="15.75" customHeight="1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</row>
    <row r="65" spans="1:29" ht="15.75" customHeight="1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</row>
    <row r="66" spans="1:29" ht="15.75" customHeight="1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</row>
    <row r="67" spans="1:29" ht="15.75" customHeight="1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</row>
    <row r="68" spans="1:29" ht="15.75" customHeight="1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</row>
    <row r="69" spans="1:29" ht="15.75" customHeight="1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</row>
    <row r="70" spans="1:29" ht="15.75" customHeight="1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</row>
    <row r="71" spans="1:29" ht="15.75" customHeight="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</row>
    <row r="72" spans="1:29" ht="15.75" customHeight="1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</row>
    <row r="73" spans="1:29" ht="15.75" customHeight="1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</row>
    <row r="74" spans="1:29" ht="15.75" customHeight="1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</row>
    <row r="75" spans="1:29" ht="15.75" customHeight="1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</row>
    <row r="76" spans="1:29" ht="15.75" customHeight="1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</row>
    <row r="77" spans="1:29" ht="15.75" customHeight="1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</row>
    <row r="78" spans="1:29" ht="15.75" customHeight="1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</row>
    <row r="79" spans="1:29" ht="15.75" customHeight="1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</row>
    <row r="80" spans="1:29" ht="15.75" customHeight="1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</row>
    <row r="81" spans="1:29" ht="15.75" customHeight="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</row>
    <row r="82" spans="1:29" ht="15.75" customHeight="1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</row>
    <row r="83" spans="1:29" ht="15.75" customHeight="1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</row>
    <row r="84" spans="1:29" ht="15.75" customHeight="1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  <c r="AC84" s="256"/>
    </row>
    <row r="85" spans="1:29" ht="15.75" customHeight="1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</row>
    <row r="86" spans="1:29" ht="15.75" customHeight="1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</row>
    <row r="87" spans="1:29" ht="15.75" customHeight="1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</row>
    <row r="88" spans="1:29" ht="15.75" customHeight="1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</row>
    <row r="89" spans="1:29" ht="15.75" customHeight="1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</row>
    <row r="90" spans="1:29" ht="15.75" customHeight="1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</row>
    <row r="91" spans="1:29" ht="15.75" customHeight="1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</row>
    <row r="92" spans="1:29" ht="15.75" customHeight="1">
      <c r="A92" s="256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</row>
    <row r="93" spans="1:29" ht="15.75" customHeight="1">
      <c r="A93" s="256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56"/>
    </row>
    <row r="94" spans="1:29" ht="15.75" customHeight="1">
      <c r="A94" s="256"/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</row>
    <row r="95" spans="1:29" ht="15.75" customHeight="1">
      <c r="A95" s="256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</row>
    <row r="96" spans="1:29" ht="15.75" customHeight="1">
      <c r="A96" s="256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</row>
    <row r="97" spans="1:29" ht="15.75" customHeight="1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</row>
    <row r="98" spans="1:29" ht="15.75" customHeight="1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</row>
    <row r="99" spans="1:29" ht="15.75" customHeight="1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</row>
    <row r="100" spans="1:29" ht="15.75" customHeight="1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</row>
    <row r="101" spans="1:29" ht="15.75" customHeight="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56"/>
    </row>
    <row r="102" spans="1:29" ht="15.75" customHeight="1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</row>
    <row r="103" spans="1:29" ht="15.75" customHeight="1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56"/>
    </row>
    <row r="104" spans="1:29" ht="15.75" customHeight="1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</row>
    <row r="105" spans="1:29" ht="15.75" customHeight="1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</row>
    <row r="106" spans="1:29" ht="15.75" customHeight="1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</row>
    <row r="107" spans="1:29" ht="15.75" customHeight="1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</row>
    <row r="108" spans="1:29" ht="15.75" customHeight="1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</row>
    <row r="109" spans="1:29" ht="15.75" customHeight="1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</row>
    <row r="110" spans="1:29" ht="15.75" customHeight="1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</row>
    <row r="111" spans="1:29" ht="15.75" customHeight="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</row>
    <row r="112" spans="1:29" ht="15.75" customHeight="1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</row>
    <row r="113" spans="1:29" ht="15.75" customHeight="1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</row>
    <row r="114" spans="1:29" ht="15.75" customHeight="1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</row>
    <row r="115" spans="1:29" ht="15.75" customHeight="1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  <c r="AC115" s="256"/>
    </row>
    <row r="116" spans="1:29" ht="15.75" customHeight="1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</row>
    <row r="117" spans="1:29" ht="15.75" customHeight="1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</row>
    <row r="118" spans="1:29" ht="15.75" customHeight="1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  <c r="AC118" s="256"/>
    </row>
    <row r="119" spans="1:29" ht="15.75" customHeight="1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  <c r="AC119" s="256"/>
    </row>
    <row r="120" spans="1:29" ht="15.75" customHeight="1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</row>
    <row r="121" spans="1:29" ht="15.75" customHeight="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</row>
    <row r="122" spans="1:29" ht="15.75" customHeight="1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  <c r="AC122" s="256"/>
    </row>
    <row r="123" spans="1:29" ht="15.75" customHeight="1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  <c r="AC123" s="256"/>
    </row>
    <row r="124" spans="1:29" ht="15.75" customHeight="1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  <c r="AC124" s="256"/>
    </row>
    <row r="125" spans="1:29" ht="15.75" customHeight="1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  <c r="AC125" s="256"/>
    </row>
    <row r="126" spans="1:29" ht="15.75" customHeight="1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</row>
    <row r="127" spans="1:29" ht="15.75" customHeight="1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  <c r="AC127" s="256"/>
    </row>
    <row r="128" spans="1:29" ht="15.75" customHeight="1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  <c r="AC128" s="256"/>
    </row>
    <row r="129" spans="1:29" ht="15.75" customHeight="1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  <c r="AC129" s="256"/>
    </row>
    <row r="130" spans="1:29" ht="15.75" customHeight="1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  <c r="AC130" s="256"/>
    </row>
    <row r="131" spans="1:29" ht="15.75" customHeight="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  <c r="AC131" s="256"/>
    </row>
    <row r="132" spans="1:29" ht="15.75" customHeight="1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  <c r="AC132" s="256"/>
    </row>
    <row r="133" spans="1:29" ht="15.75" customHeight="1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  <c r="AC133" s="256"/>
    </row>
    <row r="134" spans="1:29" ht="15.75" customHeight="1">
      <c r="A134" s="256"/>
      <c r="B134" s="256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  <c r="AC134" s="256"/>
    </row>
    <row r="135" spans="1:29" ht="15.75" customHeight="1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  <c r="AC135" s="256"/>
    </row>
    <row r="136" spans="1:29" ht="15.75" customHeight="1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  <c r="AC136" s="256"/>
    </row>
    <row r="137" spans="1:29" ht="15.75" customHeight="1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  <c r="AB137" s="256"/>
      <c r="AC137" s="256"/>
    </row>
    <row r="138" spans="1:29" ht="15.75" customHeight="1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</row>
    <row r="139" spans="1:29" ht="15.75" customHeight="1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  <c r="AC139" s="256"/>
    </row>
    <row r="140" spans="1:29" ht="15.75" customHeight="1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  <c r="AB140" s="256"/>
      <c r="AC140" s="256"/>
    </row>
    <row r="141" spans="1:29" ht="15.75" customHeight="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  <c r="AB141" s="256"/>
      <c r="AC141" s="256"/>
    </row>
    <row r="142" spans="1:29" ht="15.75" customHeight="1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</row>
    <row r="143" spans="1:29" ht="15.75" customHeight="1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</row>
    <row r="144" spans="1:29" ht="15.75" customHeight="1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256"/>
    </row>
    <row r="145" spans="1:29" ht="15.75" customHeight="1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  <c r="AB145" s="256"/>
      <c r="AC145" s="256"/>
    </row>
    <row r="146" spans="1:29" ht="15.75" customHeight="1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  <c r="AB146" s="256"/>
      <c r="AC146" s="256"/>
    </row>
    <row r="147" spans="1:29" ht="15.75" customHeight="1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  <c r="AC147" s="256"/>
    </row>
    <row r="148" spans="1:29" ht="15.75" customHeight="1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</row>
    <row r="149" spans="1:29" ht="15.75" customHeight="1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</row>
    <row r="150" spans="1:29" ht="15.75" customHeight="1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  <c r="AB150" s="256"/>
      <c r="AC150" s="256"/>
    </row>
    <row r="151" spans="1:29" ht="15.75" customHeight="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  <c r="AA151" s="256"/>
      <c r="AB151" s="256"/>
      <c r="AC151" s="256"/>
    </row>
    <row r="152" spans="1:29" ht="15.75" customHeight="1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  <c r="AB152" s="256"/>
      <c r="AC152" s="256"/>
    </row>
    <row r="153" spans="1:29" ht="15.75" customHeight="1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  <c r="AC153" s="256"/>
    </row>
    <row r="154" spans="1:29" ht="15.75" customHeight="1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56"/>
    </row>
    <row r="155" spans="1:29" ht="15.75" customHeight="1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  <c r="AC155" s="256"/>
    </row>
    <row r="156" spans="1:29" ht="15.75" customHeight="1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  <c r="AA156" s="256"/>
      <c r="AB156" s="256"/>
      <c r="AC156" s="256"/>
    </row>
    <row r="157" spans="1:29" ht="15.75" customHeight="1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  <c r="AA157" s="256"/>
      <c r="AB157" s="256"/>
      <c r="AC157" s="256"/>
    </row>
    <row r="158" spans="1:29" ht="15.75" customHeight="1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  <c r="AB158" s="256"/>
      <c r="AC158" s="256"/>
    </row>
    <row r="159" spans="1:29" ht="15.75" customHeight="1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  <c r="AB159" s="256"/>
      <c r="AC159" s="256"/>
    </row>
    <row r="160" spans="1:29" ht="15.75" customHeight="1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  <c r="AB160" s="256"/>
      <c r="AC160" s="256"/>
    </row>
    <row r="161" spans="1:29" ht="15.75" customHeight="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  <c r="AB161" s="256"/>
      <c r="AC161" s="256"/>
    </row>
    <row r="162" spans="1:29" ht="15.75" customHeight="1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  <c r="AA162" s="256"/>
      <c r="AB162" s="256"/>
      <c r="AC162" s="256"/>
    </row>
    <row r="163" spans="1:29" ht="15.75" customHeight="1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  <c r="AB163" s="256"/>
      <c r="AC163" s="256"/>
    </row>
    <row r="164" spans="1:29" ht="15.75" customHeight="1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  <c r="AB164" s="256"/>
      <c r="AC164" s="256"/>
    </row>
    <row r="165" spans="1:29" ht="15.75" customHeight="1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  <c r="AB165" s="256"/>
      <c r="AC165" s="256"/>
    </row>
    <row r="166" spans="1:29" ht="15.75" customHeight="1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  <c r="AA166" s="256"/>
      <c r="AB166" s="256"/>
      <c r="AC166" s="256"/>
    </row>
    <row r="167" spans="1:29" ht="15.75" customHeight="1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  <c r="AA167" s="256"/>
      <c r="AB167" s="256"/>
      <c r="AC167" s="256"/>
    </row>
    <row r="168" spans="1:29" ht="15.75" customHeight="1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  <c r="AA168" s="256"/>
      <c r="AB168" s="256"/>
      <c r="AC168" s="256"/>
    </row>
    <row r="169" spans="1:29" ht="15.75" customHeight="1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  <c r="AA169" s="256"/>
      <c r="AB169" s="256"/>
      <c r="AC169" s="256"/>
    </row>
    <row r="170" spans="1:29" ht="15.75" customHeight="1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  <c r="AB170" s="256"/>
      <c r="AC170" s="256"/>
    </row>
    <row r="171" spans="1:29" ht="15.75" customHeight="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  <c r="AC171" s="256"/>
    </row>
    <row r="172" spans="1:29" ht="15.75" customHeight="1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  <c r="AB172" s="256"/>
      <c r="AC172" s="256"/>
    </row>
    <row r="173" spans="1:29" ht="15.75" customHeight="1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  <c r="AB173" s="256"/>
      <c r="AC173" s="256"/>
    </row>
    <row r="174" spans="1:29" ht="15.75" customHeight="1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  <c r="AC174" s="256"/>
    </row>
    <row r="175" spans="1:29" ht="15.75" customHeight="1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  <c r="AC175" s="256"/>
    </row>
    <row r="176" spans="1:29" ht="15.75" customHeight="1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  <c r="AB176" s="256"/>
      <c r="AC176" s="256"/>
    </row>
    <row r="177" spans="1:29" ht="15.75" customHeight="1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  <c r="AB177" s="256"/>
      <c r="AC177" s="256"/>
    </row>
    <row r="178" spans="1:29" ht="15.75" customHeight="1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  <c r="AA178" s="256"/>
      <c r="AB178" s="256"/>
      <c r="AC178" s="256"/>
    </row>
    <row r="179" spans="1:29" ht="15.75" customHeight="1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  <c r="AA179" s="256"/>
      <c r="AB179" s="256"/>
      <c r="AC179" s="256"/>
    </row>
    <row r="180" spans="1:29" ht="15.75" customHeight="1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  <c r="AB180" s="256"/>
      <c r="AC180" s="256"/>
    </row>
    <row r="181" spans="1:29" ht="15.75" customHeight="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  <c r="AA181" s="256"/>
      <c r="AB181" s="256"/>
      <c r="AC181" s="256"/>
    </row>
    <row r="182" spans="1:29" ht="15.75" customHeight="1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  <c r="AA182" s="256"/>
      <c r="AB182" s="256"/>
      <c r="AC182" s="256"/>
    </row>
    <row r="183" spans="1:29" ht="15.75" customHeight="1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  <c r="AB183" s="256"/>
      <c r="AC183" s="256"/>
    </row>
    <row r="184" spans="1:29" ht="15.75" customHeight="1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  <c r="AA184" s="256"/>
      <c r="AB184" s="256"/>
      <c r="AC184" s="256"/>
    </row>
    <row r="185" spans="1:29" ht="15.75" customHeight="1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  <c r="AB185" s="256"/>
      <c r="AC185" s="256"/>
    </row>
    <row r="186" spans="1:29" ht="15.75" customHeight="1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  <c r="AB186" s="256"/>
      <c r="AC186" s="256"/>
    </row>
    <row r="187" spans="1:29" ht="15.75" customHeight="1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  <c r="AB187" s="256"/>
      <c r="AC187" s="256"/>
    </row>
    <row r="188" spans="1:29" ht="15.75" customHeight="1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  <c r="AB188" s="256"/>
      <c r="AC188" s="256"/>
    </row>
    <row r="189" spans="1:29" ht="15.75" customHeight="1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  <c r="AA189" s="256"/>
      <c r="AB189" s="256"/>
      <c r="AC189" s="256"/>
    </row>
    <row r="190" spans="1:29" ht="15.75" customHeight="1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  <c r="AA190" s="256"/>
      <c r="AB190" s="256"/>
      <c r="AC190" s="256"/>
    </row>
    <row r="191" spans="1:29" ht="15.75" customHeight="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  <c r="AA191" s="256"/>
      <c r="AB191" s="256"/>
      <c r="AC191" s="256"/>
    </row>
    <row r="192" spans="1:29" ht="15.75" customHeight="1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  <c r="AA192" s="256"/>
      <c r="AB192" s="256"/>
      <c r="AC192" s="256"/>
    </row>
    <row r="193" spans="1:29" ht="15.75" customHeight="1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  <c r="AA193" s="256"/>
      <c r="AB193" s="256"/>
      <c r="AC193" s="256"/>
    </row>
    <row r="194" spans="1:29" ht="15.75" customHeight="1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  <c r="AA194" s="256"/>
      <c r="AB194" s="256"/>
      <c r="AC194" s="256"/>
    </row>
    <row r="195" spans="1:29" ht="15.75" customHeight="1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  <c r="AA195" s="256"/>
      <c r="AB195" s="256"/>
      <c r="AC195" s="256"/>
    </row>
    <row r="196" spans="1:29" ht="15.75" customHeight="1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  <c r="AA196" s="256"/>
      <c r="AB196" s="256"/>
      <c r="AC196" s="256"/>
    </row>
    <row r="197" spans="1:29" ht="15.75" customHeight="1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  <c r="AA197" s="256"/>
      <c r="AB197" s="256"/>
      <c r="AC197" s="256"/>
    </row>
    <row r="198" spans="1:29" ht="15.75" customHeight="1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  <c r="AA198" s="256"/>
      <c r="AB198" s="256"/>
      <c r="AC198" s="256"/>
    </row>
    <row r="199" spans="1:29" ht="15.75" customHeight="1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  <c r="AA199" s="256"/>
      <c r="AB199" s="256"/>
      <c r="AC199" s="256"/>
    </row>
    <row r="200" spans="1:29" ht="15.75" customHeight="1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  <c r="AB200" s="256"/>
      <c r="AC200" s="256"/>
    </row>
    <row r="201" spans="1:29" ht="15.75" customHeight="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  <c r="AA201" s="256"/>
      <c r="AB201" s="256"/>
      <c r="AC201" s="256"/>
    </row>
    <row r="202" spans="1:29" ht="15.75" customHeight="1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  <c r="AA202" s="256"/>
      <c r="AB202" s="256"/>
      <c r="AC202" s="256"/>
    </row>
    <row r="203" spans="1:29" ht="15.75" customHeight="1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  <c r="AA203" s="256"/>
      <c r="AB203" s="256"/>
      <c r="AC203" s="256"/>
    </row>
    <row r="204" spans="1:29" ht="15.75" customHeight="1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  <c r="AA204" s="256"/>
      <c r="AB204" s="256"/>
      <c r="AC204" s="256"/>
    </row>
    <row r="205" spans="1:29" ht="15.75" customHeight="1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  <c r="AB205" s="256"/>
      <c r="AC205" s="256"/>
    </row>
    <row r="206" spans="1:29" ht="15.75" customHeight="1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  <c r="AA206" s="256"/>
      <c r="AB206" s="256"/>
      <c r="AC206" s="256"/>
    </row>
    <row r="207" spans="1:29" ht="15.75" customHeight="1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  <c r="AA207" s="256"/>
      <c r="AB207" s="256"/>
      <c r="AC207" s="256"/>
    </row>
    <row r="208" spans="1:29" ht="15.75" customHeight="1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  <c r="AA208" s="256"/>
      <c r="AB208" s="256"/>
      <c r="AC208" s="256"/>
    </row>
    <row r="209" spans="1:29" ht="15.75" customHeight="1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  <c r="AA209" s="256"/>
      <c r="AB209" s="256"/>
      <c r="AC209" s="256"/>
    </row>
    <row r="210" spans="1:29" ht="15.75" customHeight="1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  <c r="AA210" s="256"/>
      <c r="AB210" s="256"/>
      <c r="AC210" s="256"/>
    </row>
    <row r="211" spans="1:29" ht="15.75" customHeight="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  <c r="AA211" s="256"/>
      <c r="AB211" s="256"/>
      <c r="AC211" s="256"/>
    </row>
    <row r="212" spans="1:29" ht="15.75" customHeight="1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  <c r="AA212" s="256"/>
      <c r="AB212" s="256"/>
      <c r="AC212" s="256"/>
    </row>
    <row r="213" spans="1:29" ht="15.75" customHeight="1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  <c r="AA213" s="256"/>
      <c r="AB213" s="256"/>
      <c r="AC213" s="256"/>
    </row>
    <row r="214" spans="1:29" ht="15.75" customHeight="1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  <c r="AA214" s="256"/>
      <c r="AB214" s="256"/>
      <c r="AC214" s="256"/>
    </row>
    <row r="215" spans="1:29" ht="15.75" customHeight="1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  <c r="AA215" s="256"/>
      <c r="AB215" s="256"/>
      <c r="AC215" s="256"/>
    </row>
    <row r="216" spans="1:29" ht="15.75" customHeight="1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  <c r="AA216" s="256"/>
      <c r="AB216" s="256"/>
      <c r="AC216" s="256"/>
    </row>
    <row r="217" spans="1:29" ht="15.75" customHeight="1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  <c r="AA217" s="256"/>
      <c r="AB217" s="256"/>
      <c r="AC217" s="256"/>
    </row>
    <row r="218" spans="1:29" ht="15.75" customHeight="1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  <c r="AA218" s="256"/>
      <c r="AB218" s="256"/>
      <c r="AC218" s="256"/>
    </row>
    <row r="219" spans="1:29" ht="15.75" customHeight="1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  <c r="AB219" s="256"/>
      <c r="AC219" s="256"/>
    </row>
    <row r="220" spans="1:29" ht="15.75" customHeight="1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  <c r="AB220" s="256"/>
      <c r="AC220" s="256"/>
    </row>
    <row r="221" spans="1:29" ht="15.75" customHeight="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  <c r="AA221" s="256"/>
      <c r="AB221" s="256"/>
      <c r="AC221" s="256"/>
    </row>
    <row r="222" spans="1:29" ht="15.75" customHeight="1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  <c r="AA222" s="256"/>
      <c r="AB222" s="256"/>
      <c r="AC222" s="256"/>
    </row>
    <row r="223" spans="1:29" ht="15.75" customHeight="1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  <c r="AB223" s="256"/>
      <c r="AC223" s="256"/>
    </row>
    <row r="224" spans="1:29" ht="15.75" customHeight="1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  <c r="AB224" s="256"/>
      <c r="AC224" s="256"/>
    </row>
    <row r="225" spans="1:29" ht="15.75" customHeight="1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  <c r="AB225" s="256"/>
      <c r="AC225" s="256"/>
    </row>
    <row r="226" spans="1:29" ht="15.75" customHeight="1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  <c r="AA226" s="256"/>
      <c r="AB226" s="256"/>
      <c r="AC226" s="256"/>
    </row>
    <row r="227" spans="1:29" ht="15.75" customHeight="1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  <c r="AB227" s="256"/>
      <c r="AC227" s="256"/>
    </row>
    <row r="228" spans="1:29" ht="15.75" customHeight="1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  <c r="AB228" s="256"/>
      <c r="AC228" s="256"/>
    </row>
    <row r="229" spans="1:29" ht="15.75" customHeight="1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  <c r="AB229" s="256"/>
      <c r="AC229" s="256"/>
    </row>
    <row r="230" spans="1:29" ht="15.75" customHeight="1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  <c r="AB230" s="256"/>
      <c r="AC230" s="256"/>
    </row>
    <row r="231" spans="1:29" ht="15.75" customHeight="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  <c r="AB231" s="256"/>
      <c r="AC231" s="256"/>
    </row>
    <row r="232" spans="1:29" ht="15.75" customHeight="1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  <c r="AA232" s="256"/>
      <c r="AB232" s="256"/>
      <c r="AC232" s="256"/>
    </row>
    <row r="233" spans="1:29" ht="15.75" customHeight="1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  <c r="AA233" s="256"/>
      <c r="AB233" s="256"/>
      <c r="AC233" s="256"/>
    </row>
    <row r="234" spans="1:29" ht="15.75" customHeight="1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  <c r="AA234" s="256"/>
      <c r="AB234" s="256"/>
      <c r="AC234" s="256"/>
    </row>
    <row r="235" spans="1:29" ht="15.75" customHeight="1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  <c r="AB235" s="256"/>
      <c r="AC235" s="256"/>
    </row>
    <row r="236" spans="1:29" ht="15.75" customHeight="1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  <c r="AA236" s="256"/>
      <c r="AB236" s="256"/>
      <c r="AC236" s="256"/>
    </row>
    <row r="237" spans="1:29" ht="15.75" customHeight="1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  <c r="AB237" s="256"/>
      <c r="AC237" s="256"/>
    </row>
    <row r="238" spans="1:29" ht="15.75" customHeight="1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  <c r="AB238" s="256"/>
      <c r="AC238" s="256"/>
    </row>
    <row r="239" spans="1:29" ht="15.75" customHeight="1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  <c r="AB239" s="256"/>
      <c r="AC239" s="256"/>
    </row>
    <row r="240" spans="1:29" ht="15.75" customHeight="1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  <c r="AB240" s="256"/>
      <c r="AC240" s="256"/>
    </row>
    <row r="241" spans="1:29" ht="15.75" customHeight="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  <c r="AA241" s="256"/>
      <c r="AB241" s="256"/>
      <c r="AC241" s="256"/>
    </row>
    <row r="242" spans="1:29" ht="15.75" customHeight="1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  <c r="AB242" s="256"/>
      <c r="AC242" s="256"/>
    </row>
    <row r="243" spans="1:29" ht="15.75" customHeight="1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  <c r="AB243" s="256"/>
      <c r="AC243" s="256"/>
    </row>
    <row r="244" spans="1:29" ht="15.75" customHeight="1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  <c r="AA244" s="256"/>
      <c r="AB244" s="256"/>
      <c r="AC244" s="256"/>
    </row>
    <row r="245" spans="1:29" ht="15.75" customHeight="1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  <c r="AA245" s="256"/>
      <c r="AB245" s="256"/>
      <c r="AC245" s="256"/>
    </row>
    <row r="246" spans="1:29" ht="15.75" customHeight="1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  <c r="AA246" s="256"/>
      <c r="AB246" s="256"/>
      <c r="AC246" s="256"/>
    </row>
    <row r="247" spans="1:29" ht="15.75" customHeight="1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  <c r="AB247" s="256"/>
      <c r="AC247" s="256"/>
    </row>
    <row r="248" spans="1:29" ht="15.75" customHeight="1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  <c r="AA248" s="256"/>
      <c r="AB248" s="256"/>
      <c r="AC248" s="256"/>
    </row>
    <row r="249" spans="1:29" ht="15.75" customHeight="1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56"/>
    </row>
    <row r="250" spans="1:29" ht="15.75" customHeight="1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  <c r="AA250" s="256"/>
      <c r="AB250" s="256"/>
      <c r="AC250" s="256"/>
    </row>
    <row r="251" spans="1:29" ht="15.75" customHeight="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  <c r="AB251" s="256"/>
      <c r="AC251" s="256"/>
    </row>
    <row r="252" spans="1:29" ht="15.75" customHeight="1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  <c r="AA252" s="256"/>
      <c r="AB252" s="256"/>
      <c r="AC252" s="256"/>
    </row>
    <row r="253" spans="1:29" ht="15.75" customHeight="1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  <c r="AA253" s="256"/>
      <c r="AB253" s="256"/>
      <c r="AC253" s="256"/>
    </row>
    <row r="254" spans="1:29" ht="15.75" customHeight="1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  <c r="AA254" s="256"/>
      <c r="AB254" s="256"/>
      <c r="AC254" s="256"/>
    </row>
    <row r="255" spans="1:29" ht="15.75" customHeight="1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  <c r="AA255" s="256"/>
      <c r="AB255" s="256"/>
      <c r="AC255" s="256"/>
    </row>
    <row r="256" spans="1:29" ht="15.75" customHeight="1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  <c r="AA256" s="256"/>
      <c r="AB256" s="256"/>
      <c r="AC256" s="256"/>
    </row>
    <row r="257" spans="1:29" ht="15.75" customHeight="1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  <c r="AB257" s="256"/>
      <c r="AC257" s="256"/>
    </row>
    <row r="258" spans="1:29" ht="15.75" customHeight="1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  <c r="AA258" s="256"/>
      <c r="AB258" s="256"/>
      <c r="AC258" s="256"/>
    </row>
    <row r="259" spans="1:29" ht="15.75" customHeight="1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  <c r="AB259" s="256"/>
      <c r="AC259" s="256"/>
    </row>
    <row r="260" spans="1:29" ht="15.75" customHeight="1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  <c r="AB260" s="256"/>
      <c r="AC260" s="256"/>
    </row>
    <row r="261" spans="1:29" ht="15.75" customHeight="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  <c r="AB261" s="256"/>
      <c r="AC261" s="256"/>
    </row>
    <row r="262" spans="1:29" ht="15.75" customHeight="1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  <c r="AB262" s="256"/>
      <c r="AC262" s="256"/>
    </row>
    <row r="263" spans="1:29" ht="15.75" customHeight="1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  <c r="AB263" s="256"/>
      <c r="AC263" s="256"/>
    </row>
    <row r="264" spans="1:29" ht="15.75" customHeight="1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  <c r="AB264" s="256"/>
      <c r="AC264" s="256"/>
    </row>
    <row r="265" spans="1:29" ht="15.75" customHeight="1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  <c r="AB265" s="256"/>
      <c r="AC265" s="256"/>
    </row>
    <row r="266" spans="1:29" ht="15.75" customHeight="1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  <c r="AA266" s="256"/>
      <c r="AB266" s="256"/>
      <c r="AC266" s="256"/>
    </row>
    <row r="267" spans="1:29" ht="15.75" customHeight="1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  <c r="AA267" s="256"/>
      <c r="AB267" s="256"/>
      <c r="AC267" s="256"/>
    </row>
    <row r="268" spans="1:29" ht="15.75" customHeight="1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  <c r="AA268" s="256"/>
      <c r="AB268" s="256"/>
      <c r="AC268" s="256"/>
    </row>
    <row r="269" spans="1:29" ht="15.75" customHeight="1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  <c r="AB269" s="256"/>
      <c r="AC269" s="256"/>
    </row>
    <row r="270" spans="1:29" ht="15.75" customHeight="1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  <c r="AB270" s="256"/>
      <c r="AC270" s="256"/>
    </row>
    <row r="271" spans="1:29" ht="15.75" customHeight="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  <c r="AA271" s="256"/>
      <c r="AB271" s="256"/>
      <c r="AC271" s="256"/>
    </row>
    <row r="272" spans="1:29" ht="15.75" customHeight="1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  <c r="AB272" s="256"/>
      <c r="AC272" s="256"/>
    </row>
    <row r="273" spans="1:29" ht="15.75" customHeight="1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  <c r="AA273" s="256"/>
      <c r="AB273" s="256"/>
      <c r="AC273" s="256"/>
    </row>
    <row r="274" spans="1:29" ht="15.75" customHeight="1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  <c r="AB274" s="256"/>
      <c r="AC274" s="256"/>
    </row>
    <row r="275" spans="1:29" ht="15.75" customHeight="1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  <c r="AA275" s="256"/>
      <c r="AB275" s="256"/>
      <c r="AC275" s="256"/>
    </row>
    <row r="276" spans="1:29" ht="15.75" customHeight="1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  <c r="AB276" s="256"/>
      <c r="AC276" s="256"/>
    </row>
    <row r="277" spans="1:29" ht="15.75" customHeight="1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  <c r="AA277" s="256"/>
      <c r="AB277" s="256"/>
      <c r="AC277" s="256"/>
    </row>
    <row r="278" spans="1:29" ht="15.75" customHeight="1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  <c r="AA278" s="256"/>
      <c r="AB278" s="256"/>
      <c r="AC278" s="256"/>
    </row>
    <row r="279" spans="1:29" ht="15.75" customHeight="1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  <c r="AA279" s="256"/>
      <c r="AB279" s="256"/>
      <c r="AC279" s="256"/>
    </row>
    <row r="280" spans="1:29" ht="15.75" customHeight="1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  <c r="AA280" s="256"/>
      <c r="AB280" s="256"/>
      <c r="AC280" s="256"/>
    </row>
    <row r="281" spans="1:29" ht="15.75" customHeight="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  <c r="AA281" s="256"/>
      <c r="AB281" s="256"/>
      <c r="AC281" s="256"/>
    </row>
    <row r="282" spans="1:29" ht="15.75" customHeight="1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  <c r="AA282" s="256"/>
      <c r="AB282" s="256"/>
      <c r="AC282" s="256"/>
    </row>
    <row r="283" spans="1:29" ht="15.75" customHeight="1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  <c r="AA283" s="256"/>
      <c r="AB283" s="256"/>
      <c r="AC283" s="256"/>
    </row>
    <row r="284" spans="1:29" ht="15.75" customHeight="1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  <c r="AA284" s="256"/>
      <c r="AB284" s="256"/>
      <c r="AC284" s="256"/>
    </row>
    <row r="285" spans="1:29" ht="15.75" customHeight="1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  <c r="AB285" s="256"/>
      <c r="AC285" s="256"/>
    </row>
    <row r="286" spans="1:29" ht="15.75" customHeight="1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  <c r="AB286" s="256"/>
      <c r="AC286" s="256"/>
    </row>
    <row r="287" spans="1:29" ht="15.75" customHeight="1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  <c r="AB287" s="256"/>
      <c r="AC287" s="256"/>
    </row>
    <row r="288" spans="1:29" ht="15.75" customHeight="1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  <c r="AA288" s="256"/>
      <c r="AB288" s="256"/>
      <c r="AC288" s="256"/>
    </row>
    <row r="289" spans="1:29" ht="15.75" customHeight="1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  <c r="AB289" s="256"/>
      <c r="AC289" s="256"/>
    </row>
    <row r="290" spans="1:29" ht="15.75" customHeight="1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  <c r="AA290" s="256"/>
      <c r="AB290" s="256"/>
      <c r="AC290" s="256"/>
    </row>
    <row r="291" spans="1:29" ht="15.75" customHeight="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  <c r="AB291" s="256"/>
      <c r="AC291" s="256"/>
    </row>
    <row r="292" spans="1:29" ht="15.75" customHeight="1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  <c r="AA292" s="256"/>
      <c r="AB292" s="256"/>
      <c r="AC292" s="256"/>
    </row>
    <row r="293" spans="1:29" ht="15.75" customHeight="1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  <c r="AB293" s="256"/>
      <c r="AC293" s="256"/>
    </row>
    <row r="294" spans="1:29" ht="15.75" customHeight="1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  <c r="AB294" s="256"/>
      <c r="AC294" s="256"/>
    </row>
    <row r="295" spans="1:29" ht="15.75" customHeight="1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  <c r="AB295" s="256"/>
      <c r="AC295" s="256"/>
    </row>
    <row r="296" spans="1:29" ht="15.75" customHeight="1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  <c r="AA296" s="256"/>
      <c r="AB296" s="256"/>
      <c r="AC296" s="256"/>
    </row>
    <row r="297" spans="1:29" ht="15.75" customHeight="1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  <c r="AB297" s="256"/>
      <c r="AC297" s="256"/>
    </row>
    <row r="298" spans="1:29" ht="15.75" customHeight="1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  <c r="AA298" s="256"/>
      <c r="AB298" s="256"/>
      <c r="AC298" s="256"/>
    </row>
    <row r="299" spans="1:29" ht="15.75" customHeight="1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  <c r="AA299" s="256"/>
      <c r="AB299" s="256"/>
      <c r="AC299" s="256"/>
    </row>
    <row r="300" spans="1:29" ht="15.75" customHeight="1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  <c r="AA300" s="256"/>
      <c r="AB300" s="256"/>
      <c r="AC300" s="256"/>
    </row>
    <row r="301" spans="1:29" ht="15.75" customHeight="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  <c r="AA301" s="256"/>
      <c r="AB301" s="256"/>
      <c r="AC301" s="256"/>
    </row>
    <row r="302" spans="1:29" ht="15.75" customHeight="1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  <c r="AA302" s="256"/>
      <c r="AB302" s="256"/>
      <c r="AC302" s="256"/>
    </row>
    <row r="303" spans="1:29" ht="15.75" customHeight="1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  <c r="AB303" s="256"/>
      <c r="AC303" s="256"/>
    </row>
    <row r="304" spans="1:29" ht="15.75" customHeight="1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  <c r="AA304" s="256"/>
      <c r="AB304" s="256"/>
      <c r="AC304" s="256"/>
    </row>
    <row r="305" spans="1:29" ht="15.75" customHeight="1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  <c r="AA305" s="256"/>
      <c r="AB305" s="256"/>
      <c r="AC305" s="256"/>
    </row>
    <row r="306" spans="1:29" ht="15.75" customHeight="1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  <c r="AB306" s="256"/>
      <c r="AC306" s="256"/>
    </row>
    <row r="307" spans="1:29" ht="15.75" customHeight="1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  <c r="AB307" s="256"/>
      <c r="AC307" s="256"/>
    </row>
    <row r="308" spans="1:29" ht="15.75" customHeight="1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  <c r="AB308" s="256"/>
      <c r="AC308" s="256"/>
    </row>
    <row r="309" spans="1:29" ht="15.75" customHeight="1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  <c r="AB309" s="256"/>
      <c r="AC309" s="256"/>
    </row>
    <row r="310" spans="1:29" ht="15.75" customHeight="1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  <c r="AA310" s="256"/>
      <c r="AB310" s="256"/>
      <c r="AC310" s="256"/>
    </row>
    <row r="311" spans="1:29" ht="15.75" customHeight="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  <c r="AA311" s="256"/>
      <c r="AB311" s="256"/>
      <c r="AC311" s="256"/>
    </row>
    <row r="312" spans="1:29" ht="15.75" customHeight="1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  <c r="AA312" s="256"/>
      <c r="AB312" s="256"/>
      <c r="AC312" s="256"/>
    </row>
    <row r="313" spans="1:29" ht="15.75" customHeight="1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  <c r="AA313" s="256"/>
      <c r="AB313" s="256"/>
      <c r="AC313" s="256"/>
    </row>
    <row r="314" spans="1:29" ht="15.75" customHeight="1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  <c r="AA314" s="256"/>
      <c r="AB314" s="256"/>
      <c r="AC314" s="256"/>
    </row>
    <row r="315" spans="1:29" ht="15.75" customHeight="1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  <c r="AA315" s="256"/>
      <c r="AB315" s="256"/>
      <c r="AC315" s="256"/>
    </row>
    <row r="316" spans="1:29" ht="15.75" customHeight="1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  <c r="AB316" s="256"/>
      <c r="AC316" s="256"/>
    </row>
    <row r="317" spans="1:29" ht="15.75" customHeight="1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  <c r="AB317" s="256"/>
      <c r="AC317" s="256"/>
    </row>
    <row r="318" spans="1:29" ht="15.75" customHeight="1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  <c r="AB318" s="256"/>
      <c r="AC318" s="256"/>
    </row>
    <row r="319" spans="1:29" ht="15.75" customHeight="1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  <c r="AB319" s="256"/>
      <c r="AC319" s="256"/>
    </row>
    <row r="320" spans="1:29" ht="15.75" customHeight="1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  <c r="AB320" s="256"/>
      <c r="AC320" s="256"/>
    </row>
    <row r="321" spans="1:29" ht="15.75" customHeight="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  <c r="AB321" s="256"/>
      <c r="AC321" s="256"/>
    </row>
    <row r="322" spans="1:29" ht="15.75" customHeight="1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  <c r="AB322" s="256"/>
      <c r="AC322" s="256"/>
    </row>
    <row r="323" spans="1:29" ht="15.75" customHeight="1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  <c r="AB323" s="256"/>
      <c r="AC323" s="256"/>
    </row>
    <row r="324" spans="1:29" ht="15.75" customHeight="1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  <c r="AB324" s="256"/>
      <c r="AC324" s="256"/>
    </row>
    <row r="325" spans="1:29" ht="15.75" customHeight="1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  <c r="AB325" s="256"/>
      <c r="AC325" s="256"/>
    </row>
    <row r="326" spans="1:29" ht="15.75" customHeight="1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  <c r="AB326" s="256"/>
      <c r="AC326" s="256"/>
    </row>
    <row r="327" spans="1:29" ht="15.75" customHeight="1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  <c r="AB327" s="256"/>
      <c r="AC327" s="256"/>
    </row>
    <row r="328" spans="1:29" ht="15.75" customHeight="1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  <c r="AB328" s="256"/>
      <c r="AC328" s="256"/>
    </row>
    <row r="329" spans="1:29" ht="15.75" customHeight="1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  <c r="AB329" s="256"/>
      <c r="AC329" s="256"/>
    </row>
    <row r="330" spans="1:29" ht="15.75" customHeight="1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  <c r="AB330" s="256"/>
      <c r="AC330" s="256"/>
    </row>
    <row r="331" spans="1:29" ht="15.75" customHeight="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  <c r="AB331" s="256"/>
      <c r="AC331" s="256"/>
    </row>
    <row r="332" spans="1:29" ht="15.75" customHeight="1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  <c r="AB332" s="256"/>
      <c r="AC332" s="256"/>
    </row>
    <row r="333" spans="1:29" ht="15.75" customHeight="1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  <c r="AB333" s="256"/>
      <c r="AC333" s="256"/>
    </row>
    <row r="334" spans="1:29" ht="15.75" customHeight="1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  <c r="AB334" s="256"/>
      <c r="AC334" s="256"/>
    </row>
    <row r="335" spans="1:29" ht="15.75" customHeight="1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  <c r="AB335" s="256"/>
      <c r="AC335" s="256"/>
    </row>
    <row r="336" spans="1:29" ht="15.75" customHeight="1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  <c r="AB336" s="256"/>
      <c r="AC336" s="256"/>
    </row>
    <row r="337" spans="1:29" ht="15.75" customHeight="1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56"/>
    </row>
    <row r="338" spans="1:29" ht="15.75" customHeight="1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  <c r="AB338" s="256"/>
      <c r="AC338" s="256"/>
    </row>
    <row r="339" spans="1:29" ht="15.75" customHeight="1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</row>
    <row r="340" spans="1:29" ht="15.75" customHeight="1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56"/>
    </row>
    <row r="341" spans="1:29" ht="15.75" customHeight="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56"/>
    </row>
    <row r="342" spans="1:29" ht="15.75" customHeight="1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  <c r="AB342" s="256"/>
      <c r="AC342" s="256"/>
    </row>
    <row r="343" spans="1:29" ht="15.75" customHeight="1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  <c r="AB343" s="256"/>
      <c r="AC343" s="256"/>
    </row>
    <row r="344" spans="1:29" ht="15.75" customHeight="1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  <c r="AB344" s="256"/>
      <c r="AC344" s="256"/>
    </row>
    <row r="345" spans="1:29" ht="15.75" customHeight="1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  <c r="AB345" s="256"/>
      <c r="AC345" s="256"/>
    </row>
    <row r="346" spans="1:29" ht="15.75" customHeight="1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  <c r="AB346" s="256"/>
      <c r="AC346" s="256"/>
    </row>
    <row r="347" spans="1:29" ht="15.75" customHeight="1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  <c r="AB347" s="256"/>
      <c r="AC347" s="256"/>
    </row>
    <row r="348" spans="1:29" ht="15.75" customHeight="1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  <c r="AB348" s="256"/>
      <c r="AC348" s="256"/>
    </row>
    <row r="349" spans="1:29" ht="15.75" customHeight="1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  <c r="AB349" s="256"/>
      <c r="AC349" s="256"/>
    </row>
    <row r="350" spans="1:29" ht="15.75" customHeight="1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  <c r="AB350" s="256"/>
      <c r="AC350" s="256"/>
    </row>
    <row r="351" spans="1:29" ht="15.75" customHeight="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  <c r="AB351" s="256"/>
      <c r="AC351" s="256"/>
    </row>
    <row r="352" spans="1:29" ht="15.75" customHeight="1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  <c r="AB352" s="256"/>
      <c r="AC352" s="256"/>
    </row>
    <row r="353" spans="1:29" ht="15.75" customHeight="1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  <c r="AB353" s="256"/>
      <c r="AC353" s="256"/>
    </row>
    <row r="354" spans="1:29" ht="15.75" customHeight="1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  <c r="AB354" s="256"/>
      <c r="AC354" s="256"/>
    </row>
    <row r="355" spans="1:29" ht="15.75" customHeight="1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  <c r="AB355" s="256"/>
      <c r="AC355" s="256"/>
    </row>
    <row r="356" spans="1:29" ht="15.75" customHeight="1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  <c r="AB356" s="256"/>
      <c r="AC356" s="256"/>
    </row>
    <row r="357" spans="1:29" ht="15.75" customHeight="1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  <c r="AB357" s="256"/>
      <c r="AC357" s="256"/>
    </row>
    <row r="358" spans="1:29" ht="15.75" customHeight="1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  <c r="AB358" s="256"/>
      <c r="AC358" s="256"/>
    </row>
    <row r="359" spans="1:29" ht="15.75" customHeight="1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  <c r="AB359" s="256"/>
      <c r="AC359" s="256"/>
    </row>
    <row r="360" spans="1:29" ht="15.75" customHeight="1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  <c r="AB360" s="256"/>
      <c r="AC360" s="256"/>
    </row>
    <row r="361" spans="1:29" ht="15.75" customHeight="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  <c r="AB361" s="256"/>
      <c r="AC361" s="256"/>
    </row>
    <row r="362" spans="1:29" ht="15.75" customHeight="1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  <c r="AB362" s="256"/>
      <c r="AC362" s="256"/>
    </row>
    <row r="363" spans="1:29" ht="15.75" customHeight="1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  <c r="AB363" s="256"/>
      <c r="AC363" s="256"/>
    </row>
    <row r="364" spans="1:29" ht="15.75" customHeight="1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  <c r="AB364" s="256"/>
      <c r="AC364" s="256"/>
    </row>
    <row r="365" spans="1:29" ht="15.75" customHeight="1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56"/>
    </row>
    <row r="366" spans="1:29" ht="15.75" customHeight="1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  <c r="AB366" s="256"/>
      <c r="AC366" s="256"/>
    </row>
    <row r="367" spans="1:29" ht="15.75" customHeight="1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  <c r="AB367" s="256"/>
      <c r="AC367" s="256"/>
    </row>
    <row r="368" spans="1:29" ht="15.75" customHeight="1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  <c r="AB368" s="256"/>
      <c r="AC368" s="256"/>
    </row>
    <row r="369" spans="1:29" ht="15.75" customHeight="1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  <c r="AB369" s="256"/>
      <c r="AC369" s="256"/>
    </row>
    <row r="370" spans="1:29" ht="15.75" customHeight="1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  <c r="AB370" s="256"/>
      <c r="AC370" s="256"/>
    </row>
    <row r="371" spans="1:29" ht="15.75" customHeight="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  <c r="AB371" s="256"/>
      <c r="AC371" s="256"/>
    </row>
    <row r="372" spans="1:29" ht="15.75" customHeight="1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  <c r="AB372" s="256"/>
      <c r="AC372" s="256"/>
    </row>
    <row r="373" spans="1:29" ht="15.75" customHeight="1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  <c r="AB373" s="256"/>
      <c r="AC373" s="256"/>
    </row>
    <row r="374" spans="1:29" ht="15.75" customHeight="1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  <c r="AB374" s="256"/>
      <c r="AC374" s="256"/>
    </row>
    <row r="375" spans="1:29" ht="15.75" customHeight="1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  <c r="AB375" s="256"/>
      <c r="AC375" s="256"/>
    </row>
    <row r="376" spans="1:29" ht="15.75" customHeight="1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56"/>
    </row>
    <row r="377" spans="1:29" ht="15.75" customHeight="1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  <c r="AB377" s="256"/>
      <c r="AC377" s="256"/>
    </row>
    <row r="378" spans="1:29" ht="15.75" customHeight="1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  <c r="AB378" s="256"/>
      <c r="AC378" s="256"/>
    </row>
    <row r="379" spans="1:29" ht="15.75" customHeight="1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  <c r="AB379" s="256"/>
      <c r="AC379" s="256"/>
    </row>
    <row r="380" spans="1:29" ht="15.75" customHeight="1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  <c r="AB380" s="256"/>
      <c r="AC380" s="256"/>
    </row>
    <row r="381" spans="1:29" ht="15.75" customHeight="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  <c r="AB381" s="256"/>
      <c r="AC381" s="256"/>
    </row>
    <row r="382" spans="1:29" ht="15.75" customHeight="1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  <c r="AB382" s="256"/>
      <c r="AC382" s="256"/>
    </row>
    <row r="383" spans="1:29" ht="15.75" customHeight="1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  <c r="AB383" s="256"/>
      <c r="AC383" s="256"/>
    </row>
    <row r="384" spans="1:29" ht="15.75" customHeight="1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  <c r="AB384" s="256"/>
      <c r="AC384" s="256"/>
    </row>
    <row r="385" spans="1:29" ht="15.75" customHeight="1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  <c r="AB385" s="256"/>
      <c r="AC385" s="256"/>
    </row>
    <row r="386" spans="1:29" ht="15.75" customHeight="1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  <c r="AB386" s="256"/>
      <c r="AC386" s="256"/>
    </row>
    <row r="387" spans="1:29" ht="15.75" customHeight="1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  <c r="AB387" s="256"/>
      <c r="AC387" s="256"/>
    </row>
    <row r="388" spans="1:29" ht="15.75" customHeight="1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  <c r="AB388" s="256"/>
      <c r="AC388" s="256"/>
    </row>
    <row r="389" spans="1:29" ht="15.75" customHeight="1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  <c r="AB389" s="256"/>
      <c r="AC389" s="256"/>
    </row>
    <row r="390" spans="1:29" ht="15.75" customHeight="1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  <c r="AB390" s="256"/>
      <c r="AC390" s="256"/>
    </row>
    <row r="391" spans="1:29" ht="15.75" customHeight="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56"/>
    </row>
    <row r="392" spans="1:29" ht="15.75" customHeight="1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  <c r="AB392" s="256"/>
      <c r="AC392" s="256"/>
    </row>
    <row r="393" spans="1:29" ht="15.75" customHeight="1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56"/>
    </row>
    <row r="394" spans="1:29" ht="15.75" customHeight="1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  <c r="AB394" s="256"/>
      <c r="AC394" s="256"/>
    </row>
    <row r="395" spans="1:29" ht="15.75" customHeight="1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56"/>
    </row>
    <row r="396" spans="1:29" ht="15.75" customHeight="1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  <c r="AB396" s="256"/>
      <c r="AC396" s="256"/>
    </row>
    <row r="397" spans="1:29" ht="15.75" customHeight="1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  <c r="AB397" s="256"/>
      <c r="AC397" s="256"/>
    </row>
    <row r="398" spans="1:29" ht="15.75" customHeight="1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  <c r="AB398" s="256"/>
      <c r="AC398" s="256"/>
    </row>
    <row r="399" spans="1:29" ht="15.75" customHeight="1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6"/>
    </row>
    <row r="400" spans="1:29" ht="15.75" customHeight="1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  <c r="AB400" s="256"/>
      <c r="AC400" s="256"/>
    </row>
    <row r="401" spans="1:29" ht="15.75" customHeight="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  <c r="AB401" s="256"/>
      <c r="AC401" s="256"/>
    </row>
    <row r="402" spans="1:29" ht="15.75" customHeight="1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  <c r="AB402" s="256"/>
      <c r="AC402" s="256"/>
    </row>
    <row r="403" spans="1:29" ht="15.75" customHeight="1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  <c r="AB403" s="256"/>
      <c r="AC403" s="256"/>
    </row>
    <row r="404" spans="1:29" ht="15.75" customHeight="1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  <c r="AB404" s="256"/>
      <c r="AC404" s="256"/>
    </row>
    <row r="405" spans="1:29" ht="15.75" customHeight="1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  <c r="AB405" s="256"/>
      <c r="AC405" s="256"/>
    </row>
    <row r="406" spans="1:29" ht="15.75" customHeight="1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  <c r="AB406" s="256"/>
      <c r="AC406" s="256"/>
    </row>
    <row r="407" spans="1:29" ht="15.75" customHeight="1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  <c r="AB407" s="256"/>
      <c r="AC407" s="256"/>
    </row>
    <row r="408" spans="1:29" ht="15.75" customHeight="1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  <c r="AB408" s="256"/>
      <c r="AC408" s="256"/>
    </row>
    <row r="409" spans="1:29" ht="15.75" customHeight="1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  <c r="AB409" s="256"/>
      <c r="AC409" s="256"/>
    </row>
    <row r="410" spans="1:29" ht="15.75" customHeight="1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56"/>
    </row>
    <row r="411" spans="1:29" ht="15.75" customHeight="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  <c r="AB411" s="256"/>
      <c r="AC411" s="256"/>
    </row>
    <row r="412" spans="1:29" ht="15.75" customHeight="1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56"/>
    </row>
    <row r="413" spans="1:29" ht="15.75" customHeight="1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  <c r="AB413" s="256"/>
      <c r="AC413" s="256"/>
    </row>
    <row r="414" spans="1:29" ht="15.75" customHeight="1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  <c r="AB414" s="256"/>
      <c r="AC414" s="256"/>
    </row>
    <row r="415" spans="1:29" ht="15.75" customHeight="1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  <c r="AB415" s="256"/>
      <c r="AC415" s="256"/>
    </row>
    <row r="416" spans="1:29" ht="15.75" customHeight="1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  <c r="AB416" s="256"/>
      <c r="AC416" s="256"/>
    </row>
    <row r="417" spans="1:29" ht="15.75" customHeight="1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  <c r="AB417" s="256"/>
      <c r="AC417" s="256"/>
    </row>
    <row r="418" spans="1:29" ht="15.75" customHeight="1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  <c r="AB418" s="256"/>
      <c r="AC418" s="256"/>
    </row>
    <row r="419" spans="1:29" ht="15.75" customHeight="1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  <c r="AB419" s="256"/>
      <c r="AC419" s="256"/>
    </row>
    <row r="420" spans="1:29" ht="15.75" customHeight="1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  <c r="AB420" s="256"/>
      <c r="AC420" s="256"/>
    </row>
    <row r="421" spans="1:29" ht="15.75" customHeight="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  <c r="AB421" s="256"/>
      <c r="AC421" s="256"/>
    </row>
    <row r="422" spans="1:29" ht="15.75" customHeight="1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  <c r="AB422" s="256"/>
      <c r="AC422" s="256"/>
    </row>
    <row r="423" spans="1:29" ht="15.75" customHeight="1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  <c r="AB423" s="256"/>
      <c r="AC423" s="256"/>
    </row>
    <row r="424" spans="1:29" ht="15.75" customHeight="1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  <c r="AB424" s="256"/>
      <c r="AC424" s="256"/>
    </row>
    <row r="425" spans="1:29" ht="15.75" customHeight="1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  <c r="AB425" s="256"/>
      <c r="AC425" s="256"/>
    </row>
    <row r="426" spans="1:29" ht="15.75" customHeight="1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  <c r="AB426" s="256"/>
      <c r="AC426" s="256"/>
    </row>
    <row r="427" spans="1:29" ht="15.75" customHeight="1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  <c r="AB427" s="256"/>
      <c r="AC427" s="256"/>
    </row>
    <row r="428" spans="1:29" ht="15.75" customHeight="1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  <c r="AB428" s="256"/>
      <c r="AC428" s="256"/>
    </row>
    <row r="429" spans="1:29" ht="15.75" customHeight="1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  <c r="AB429" s="256"/>
      <c r="AC429" s="256"/>
    </row>
    <row r="430" spans="1:29" ht="15.75" customHeight="1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  <c r="AB430" s="256"/>
      <c r="AC430" s="256"/>
    </row>
    <row r="431" spans="1:29" ht="15.75" customHeight="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6"/>
      <c r="AC431" s="256"/>
    </row>
    <row r="432" spans="1:29" ht="15.75" customHeight="1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  <c r="AB432" s="256"/>
      <c r="AC432" s="256"/>
    </row>
    <row r="433" spans="1:29" ht="15.75" customHeight="1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  <c r="AB433" s="256"/>
      <c r="AC433" s="256"/>
    </row>
    <row r="434" spans="1:29" ht="15.75" customHeight="1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6"/>
      <c r="AC434" s="256"/>
    </row>
    <row r="435" spans="1:29" ht="15.75" customHeight="1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6"/>
      <c r="AC435" s="256"/>
    </row>
    <row r="436" spans="1:29" ht="15.75" customHeight="1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  <c r="AB436" s="256"/>
      <c r="AC436" s="256"/>
    </row>
    <row r="437" spans="1:29" ht="15.75" customHeight="1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  <c r="AB437" s="256"/>
      <c r="AC437" s="256"/>
    </row>
    <row r="438" spans="1:29" ht="15.75" customHeight="1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56"/>
    </row>
    <row r="439" spans="1:29" ht="15.75" customHeight="1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  <c r="AB439" s="256"/>
      <c r="AC439" s="256"/>
    </row>
    <row r="440" spans="1:29" ht="15.75" customHeight="1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56"/>
    </row>
    <row r="441" spans="1:29" ht="15.75" customHeight="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  <c r="AB441" s="256"/>
      <c r="AC441" s="256"/>
    </row>
    <row r="442" spans="1:29" ht="15.75" customHeight="1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6"/>
      <c r="AC442" s="256"/>
    </row>
    <row r="443" spans="1:29" ht="15.75" customHeight="1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  <c r="AB443" s="256"/>
      <c r="AC443" s="256"/>
    </row>
    <row r="444" spans="1:29" ht="15.75" customHeight="1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  <c r="AB444" s="256"/>
      <c r="AC444" s="256"/>
    </row>
    <row r="445" spans="1:29" ht="15.75" customHeight="1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  <c r="AB445" s="256"/>
      <c r="AC445" s="256"/>
    </row>
    <row r="446" spans="1:29" ht="15.75" customHeight="1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  <c r="AB446" s="256"/>
      <c r="AC446" s="256"/>
    </row>
    <row r="447" spans="1:29" ht="15.75" customHeight="1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  <c r="AB447" s="256"/>
      <c r="AC447" s="256"/>
    </row>
    <row r="448" spans="1:29" ht="15.75" customHeight="1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  <c r="AB448" s="256"/>
      <c r="AC448" s="256"/>
    </row>
    <row r="449" spans="1:29" ht="15.75" customHeight="1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  <c r="AB449" s="256"/>
      <c r="AC449" s="256"/>
    </row>
    <row r="450" spans="1:29" ht="15.75" customHeight="1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  <c r="AB450" s="256"/>
      <c r="AC450" s="256"/>
    </row>
    <row r="451" spans="1:29" ht="15.75" customHeight="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  <c r="AB451" s="256"/>
      <c r="AC451" s="256"/>
    </row>
    <row r="452" spans="1:29" ht="15.75" customHeight="1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  <c r="AB452" s="256"/>
      <c r="AC452" s="256"/>
    </row>
    <row r="453" spans="1:29" ht="15.75" customHeight="1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  <c r="AB453" s="256"/>
      <c r="AC453" s="256"/>
    </row>
    <row r="454" spans="1:29" ht="15.75" customHeight="1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  <c r="AB454" s="256"/>
      <c r="AC454" s="256"/>
    </row>
    <row r="455" spans="1:29" ht="15.75" customHeight="1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  <c r="AB455" s="256"/>
      <c r="AC455" s="256"/>
    </row>
    <row r="456" spans="1:29" ht="15.75" customHeight="1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  <c r="AB456" s="256"/>
      <c r="AC456" s="256"/>
    </row>
    <row r="457" spans="1:29" ht="15.75" customHeight="1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  <c r="AB457" s="256"/>
      <c r="AC457" s="256"/>
    </row>
    <row r="458" spans="1:29" ht="15.75" customHeight="1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  <c r="AB458" s="256"/>
      <c r="AC458" s="256"/>
    </row>
    <row r="459" spans="1:29" ht="15.75" customHeight="1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  <c r="AB459" s="256"/>
      <c r="AC459" s="256"/>
    </row>
    <row r="460" spans="1:29" ht="15.75" customHeight="1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  <c r="AB460" s="256"/>
      <c r="AC460" s="256"/>
    </row>
    <row r="461" spans="1:29" ht="15.75" customHeight="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  <c r="AB461" s="256"/>
      <c r="AC461" s="256"/>
    </row>
    <row r="462" spans="1:29" ht="15.75" customHeight="1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  <c r="AB462" s="256"/>
      <c r="AC462" s="256"/>
    </row>
    <row r="463" spans="1:29" ht="15.75" customHeight="1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56"/>
    </row>
    <row r="464" spans="1:29" ht="15.75" customHeight="1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  <c r="AB464" s="256"/>
      <c r="AC464" s="256"/>
    </row>
    <row r="465" spans="1:29" ht="15.75" customHeight="1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56"/>
    </row>
    <row r="466" spans="1:29" ht="15.75" customHeight="1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  <c r="AB466" s="256"/>
      <c r="AC466" s="256"/>
    </row>
    <row r="467" spans="1:29" ht="15.75" customHeight="1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  <c r="AB467" s="256"/>
      <c r="AC467" s="256"/>
    </row>
    <row r="468" spans="1:29" ht="15.75" customHeight="1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  <c r="AB468" s="256"/>
      <c r="AC468" s="256"/>
    </row>
    <row r="469" spans="1:29" ht="15.75" customHeight="1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  <c r="AB469" s="256"/>
      <c r="AC469" s="256"/>
    </row>
    <row r="470" spans="1:29" ht="15.75" customHeight="1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  <c r="AB470" s="256"/>
      <c r="AC470" s="256"/>
    </row>
    <row r="471" spans="1:29" ht="15.75" customHeight="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  <c r="AB471" s="256"/>
      <c r="AC471" s="256"/>
    </row>
    <row r="472" spans="1:29" ht="15.75" customHeight="1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  <c r="AB472" s="256"/>
      <c r="AC472" s="256"/>
    </row>
    <row r="473" spans="1:29" ht="15.75" customHeight="1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  <c r="AB473" s="256"/>
      <c r="AC473" s="256"/>
    </row>
    <row r="474" spans="1:29" ht="15.75" customHeight="1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  <c r="AB474" s="256"/>
      <c r="AC474" s="256"/>
    </row>
    <row r="475" spans="1:29" ht="15.75" customHeight="1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56"/>
    </row>
    <row r="476" spans="1:29" ht="15.75" customHeight="1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56"/>
    </row>
    <row r="477" spans="1:29" ht="15.75" customHeight="1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56"/>
    </row>
    <row r="478" spans="1:29" ht="15.75" customHeight="1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56"/>
    </row>
    <row r="479" spans="1:29" ht="15.75" customHeight="1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56"/>
    </row>
    <row r="480" spans="1:29" ht="15.75" customHeight="1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56"/>
    </row>
    <row r="481" spans="1:29" ht="15.75" customHeight="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56"/>
    </row>
    <row r="482" spans="1:29" ht="15.75" customHeight="1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</row>
    <row r="483" spans="1:29" ht="15.75" customHeight="1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56"/>
    </row>
    <row r="484" spans="1:29" ht="15.75" customHeight="1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</row>
    <row r="485" spans="1:29" ht="15.75" customHeight="1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56"/>
    </row>
    <row r="486" spans="1:29" ht="15.75" customHeight="1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56"/>
    </row>
    <row r="487" spans="1:29" ht="15.75" customHeight="1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56"/>
    </row>
    <row r="488" spans="1:29" ht="15.75" customHeight="1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56"/>
    </row>
    <row r="489" spans="1:29" ht="15.75" customHeight="1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56"/>
    </row>
    <row r="490" spans="1:29" ht="15.75" customHeight="1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56"/>
    </row>
    <row r="491" spans="1:29" ht="15.75" customHeight="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56"/>
    </row>
    <row r="492" spans="1:29" ht="15.75" customHeight="1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56"/>
    </row>
    <row r="493" spans="1:29" ht="15.75" customHeight="1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56"/>
    </row>
    <row r="494" spans="1:29" ht="15.75" customHeight="1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56"/>
    </row>
    <row r="495" spans="1:29" ht="15.75" customHeight="1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56"/>
    </row>
    <row r="496" spans="1:29" ht="15.75" customHeight="1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56"/>
    </row>
    <row r="497" spans="1:29" ht="15.75" customHeight="1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56"/>
    </row>
    <row r="498" spans="1:29" ht="15.75" customHeight="1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56"/>
    </row>
    <row r="499" spans="1:29" ht="15.75" customHeight="1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56"/>
    </row>
    <row r="500" spans="1:29" ht="15.75" customHeight="1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56"/>
    </row>
    <row r="501" spans="1:29" ht="15.75" customHeight="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56"/>
    </row>
    <row r="502" spans="1:29" ht="15.75" customHeight="1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56"/>
    </row>
    <row r="503" spans="1:29" ht="15.75" customHeight="1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56"/>
    </row>
    <row r="504" spans="1:29" ht="15.75" customHeight="1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56"/>
    </row>
    <row r="505" spans="1:29" ht="15.75" customHeight="1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56"/>
    </row>
    <row r="506" spans="1:29" ht="15.75" customHeight="1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56"/>
    </row>
    <row r="507" spans="1:29" ht="15.75" customHeight="1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56"/>
    </row>
    <row r="508" spans="1:29" ht="15.75" customHeight="1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56"/>
    </row>
    <row r="509" spans="1:29" ht="15.75" customHeight="1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56"/>
    </row>
    <row r="510" spans="1:29" ht="15.75" customHeight="1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56"/>
    </row>
    <row r="511" spans="1:29" ht="15.75" customHeight="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56"/>
    </row>
    <row r="512" spans="1:29" ht="15.75" customHeight="1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56"/>
    </row>
    <row r="513" spans="1:29" ht="15.75" customHeight="1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56"/>
    </row>
    <row r="514" spans="1:29" ht="15.75" customHeight="1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56"/>
    </row>
    <row r="515" spans="1:29" ht="15.75" customHeight="1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56"/>
    </row>
    <row r="516" spans="1:29" ht="15.75" customHeight="1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56"/>
    </row>
    <row r="517" spans="1:29" ht="15.75" customHeight="1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56"/>
    </row>
    <row r="518" spans="1:29" ht="15.75" customHeight="1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56"/>
    </row>
    <row r="519" spans="1:29" ht="15.75" customHeight="1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56"/>
    </row>
    <row r="520" spans="1:29" ht="15.75" customHeight="1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56"/>
    </row>
    <row r="521" spans="1:29" ht="15.75" customHeight="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56"/>
    </row>
    <row r="522" spans="1:29" ht="15.75" customHeight="1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56"/>
    </row>
    <row r="523" spans="1:29" ht="15.75" customHeight="1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56"/>
    </row>
    <row r="524" spans="1:29" ht="15.75" customHeight="1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56"/>
    </row>
    <row r="525" spans="1:29" ht="15.75" customHeight="1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56"/>
    </row>
    <row r="526" spans="1:29" ht="15.75" customHeight="1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56"/>
    </row>
    <row r="527" spans="1:29" ht="15.75" customHeight="1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56"/>
    </row>
    <row r="528" spans="1:29" ht="15.75" customHeight="1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56"/>
    </row>
    <row r="529" spans="1:29" ht="15.75" customHeight="1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56"/>
    </row>
    <row r="530" spans="1:29" ht="15.75" customHeight="1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56"/>
    </row>
    <row r="531" spans="1:29" ht="15.75" customHeight="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56"/>
    </row>
    <row r="532" spans="1:29" ht="15.75" customHeight="1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56"/>
    </row>
    <row r="533" spans="1:29" ht="15.75" customHeight="1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56"/>
    </row>
    <row r="534" spans="1:29" ht="15.75" customHeight="1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56"/>
    </row>
    <row r="535" spans="1:29" ht="15.75" customHeight="1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56"/>
    </row>
    <row r="536" spans="1:29" ht="15.75" customHeight="1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56"/>
    </row>
    <row r="537" spans="1:29" ht="15.75" customHeight="1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56"/>
    </row>
    <row r="538" spans="1:29" ht="15.75" customHeight="1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56"/>
    </row>
    <row r="539" spans="1:29" ht="15.75" customHeight="1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56"/>
    </row>
    <row r="540" spans="1:29" ht="15.75" customHeight="1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56"/>
    </row>
    <row r="541" spans="1:29" ht="15.75" customHeight="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56"/>
    </row>
    <row r="542" spans="1:29" ht="15.75" customHeight="1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56"/>
    </row>
    <row r="543" spans="1:29" ht="15.75" customHeight="1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56"/>
    </row>
    <row r="544" spans="1:29" ht="15.75" customHeight="1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56"/>
    </row>
    <row r="545" spans="1:29" ht="15.75" customHeight="1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56"/>
    </row>
    <row r="546" spans="1:29" ht="15.75" customHeight="1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56"/>
    </row>
    <row r="547" spans="1:29" ht="15.75" customHeight="1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56"/>
    </row>
    <row r="548" spans="1:29" ht="15.75" customHeight="1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56"/>
    </row>
    <row r="549" spans="1:29" ht="15.75" customHeight="1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56"/>
    </row>
    <row r="550" spans="1:29" ht="15.75" customHeight="1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56"/>
    </row>
    <row r="551" spans="1:29" ht="15.75" customHeight="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56"/>
    </row>
    <row r="552" spans="1:29" ht="15.75" customHeight="1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56"/>
    </row>
    <row r="553" spans="1:29" ht="15.75" customHeight="1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56"/>
    </row>
    <row r="554" spans="1:29" ht="15.75" customHeight="1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56"/>
    </row>
    <row r="555" spans="1:29" ht="15.75" customHeight="1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56"/>
    </row>
    <row r="556" spans="1:29" ht="15.75" customHeight="1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56"/>
    </row>
    <row r="557" spans="1:29" ht="15.75" customHeight="1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56"/>
    </row>
    <row r="558" spans="1:29" ht="15.75" customHeight="1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56"/>
    </row>
    <row r="559" spans="1:29" ht="15.75" customHeight="1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56"/>
    </row>
    <row r="560" spans="1:29" ht="15.75" customHeight="1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56"/>
    </row>
    <row r="561" spans="1:29" ht="15.75" customHeight="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56"/>
    </row>
    <row r="562" spans="1:29" ht="15.75" customHeight="1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56"/>
    </row>
    <row r="563" spans="1:29" ht="15.75" customHeight="1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56"/>
    </row>
    <row r="564" spans="1:29" ht="15.75" customHeight="1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56"/>
    </row>
    <row r="565" spans="1:29" ht="15.75" customHeight="1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56"/>
    </row>
    <row r="566" spans="1:29" ht="15.75" customHeight="1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56"/>
    </row>
    <row r="567" spans="1:29" ht="15.75" customHeight="1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56"/>
    </row>
    <row r="568" spans="1:29" ht="15.75" customHeight="1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56"/>
    </row>
    <row r="569" spans="1:29" ht="15.75" customHeight="1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56"/>
    </row>
    <row r="570" spans="1:29" ht="15.75" customHeight="1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56"/>
    </row>
    <row r="571" spans="1:29" ht="15.75" customHeight="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56"/>
    </row>
    <row r="572" spans="1:29" ht="15.75" customHeight="1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56"/>
    </row>
    <row r="573" spans="1:29" ht="15.75" customHeight="1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56"/>
    </row>
    <row r="574" spans="1:29" ht="15.75" customHeight="1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56"/>
    </row>
    <row r="575" spans="1:29" ht="15.75" customHeight="1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56"/>
    </row>
    <row r="576" spans="1:29" ht="15.75" customHeight="1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56"/>
    </row>
    <row r="577" spans="1:29" ht="15.75" customHeight="1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56"/>
    </row>
    <row r="578" spans="1:29" ht="15.75" customHeight="1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56"/>
    </row>
    <row r="579" spans="1:29" ht="15.75" customHeight="1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56"/>
    </row>
    <row r="580" spans="1:29" ht="15.75" customHeight="1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56"/>
    </row>
    <row r="581" spans="1:29" ht="15.75" customHeight="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56"/>
    </row>
    <row r="582" spans="1:29" ht="15.75" customHeight="1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56"/>
    </row>
    <row r="583" spans="1:29" ht="15.75" customHeight="1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56"/>
    </row>
    <row r="584" spans="1:29" ht="15.75" customHeight="1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</row>
    <row r="585" spans="1:29" ht="15.75" customHeight="1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56"/>
    </row>
    <row r="586" spans="1:29" ht="15.75" customHeight="1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56"/>
    </row>
    <row r="587" spans="1:29" ht="15.75" customHeight="1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56"/>
    </row>
    <row r="588" spans="1:29" ht="15.75" customHeight="1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56"/>
    </row>
    <row r="589" spans="1:29" ht="15.75" customHeight="1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56"/>
    </row>
    <row r="590" spans="1:29" ht="15.75" customHeight="1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56"/>
    </row>
    <row r="591" spans="1:29" ht="15.75" customHeight="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56"/>
    </row>
    <row r="592" spans="1:29" ht="15.75" customHeight="1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56"/>
    </row>
    <row r="593" spans="1:29" ht="15.75" customHeight="1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56"/>
    </row>
    <row r="594" spans="1:29" ht="15.75" customHeight="1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56"/>
    </row>
    <row r="595" spans="1:29" ht="15.75" customHeight="1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56"/>
    </row>
    <row r="596" spans="1:29" ht="15.75" customHeight="1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56"/>
    </row>
    <row r="597" spans="1:29" ht="15.75" customHeight="1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56"/>
    </row>
    <row r="598" spans="1:29" ht="15.75" customHeight="1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56"/>
    </row>
    <row r="599" spans="1:29" ht="15.75" customHeight="1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56"/>
    </row>
    <row r="600" spans="1:29" ht="15.75" customHeight="1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56"/>
    </row>
    <row r="601" spans="1:29" ht="15.75" customHeight="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56"/>
    </row>
    <row r="602" spans="1:29" ht="15.75" customHeight="1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56"/>
    </row>
    <row r="603" spans="1:29" ht="15.75" customHeight="1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56"/>
    </row>
    <row r="604" spans="1:29" ht="15.75" customHeight="1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56"/>
    </row>
    <row r="605" spans="1:29" ht="15.75" customHeight="1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56"/>
    </row>
    <row r="606" spans="1:29" ht="15.75" customHeight="1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56"/>
    </row>
    <row r="607" spans="1:29" ht="15.75" customHeight="1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56"/>
    </row>
    <row r="608" spans="1:29" ht="15.75" customHeight="1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56"/>
    </row>
    <row r="609" spans="1:29" ht="15.75" customHeight="1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56"/>
    </row>
    <row r="610" spans="1:29" ht="15.75" customHeight="1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56"/>
    </row>
    <row r="611" spans="1:29" ht="15.75" customHeight="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56"/>
    </row>
    <row r="612" spans="1:29" ht="15.75" customHeight="1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56"/>
    </row>
    <row r="613" spans="1:29" ht="15.75" customHeight="1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56"/>
    </row>
    <row r="614" spans="1:29" ht="15.75" customHeight="1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56"/>
    </row>
    <row r="615" spans="1:29" ht="15.75" customHeight="1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56"/>
    </row>
    <row r="616" spans="1:29" ht="15.75" customHeight="1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56"/>
    </row>
    <row r="617" spans="1:29" ht="15.75" customHeight="1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56"/>
    </row>
    <row r="618" spans="1:29" ht="15.75" customHeight="1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56"/>
    </row>
    <row r="619" spans="1:29" ht="15.75" customHeight="1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56"/>
    </row>
    <row r="620" spans="1:29" ht="15.75" customHeight="1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56"/>
    </row>
    <row r="621" spans="1:29" ht="15.75" customHeight="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56"/>
    </row>
    <row r="622" spans="1:29" ht="15.75" customHeight="1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56"/>
    </row>
    <row r="623" spans="1:29" ht="15.75" customHeight="1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56"/>
    </row>
    <row r="624" spans="1:29" ht="15.75" customHeight="1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56"/>
    </row>
    <row r="625" spans="1:29" ht="15.75" customHeight="1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56"/>
    </row>
    <row r="626" spans="1:29" ht="15.75" customHeight="1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56"/>
    </row>
    <row r="627" spans="1:29" ht="15.75" customHeight="1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56"/>
    </row>
    <row r="628" spans="1:29" ht="15.75" customHeight="1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56"/>
    </row>
    <row r="629" spans="1:29" ht="15.75" customHeight="1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56"/>
    </row>
    <row r="630" spans="1:29" ht="15.75" customHeight="1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56"/>
    </row>
    <row r="631" spans="1:29" ht="15.75" customHeight="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56"/>
    </row>
    <row r="632" spans="1:29" ht="15.75" customHeight="1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56"/>
    </row>
    <row r="633" spans="1:29" ht="15.75" customHeight="1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56"/>
    </row>
    <row r="634" spans="1:29" ht="15.75" customHeight="1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56"/>
    </row>
    <row r="635" spans="1:29" ht="15.75" customHeight="1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56"/>
    </row>
    <row r="636" spans="1:29" ht="15.75" customHeight="1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56"/>
    </row>
    <row r="637" spans="1:29" ht="15.75" customHeight="1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56"/>
    </row>
    <row r="638" spans="1:29" ht="15.75" customHeight="1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56"/>
    </row>
    <row r="639" spans="1:29" ht="15.75" customHeight="1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56"/>
    </row>
    <row r="640" spans="1:29" ht="15.75" customHeight="1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56"/>
    </row>
    <row r="641" spans="1:29" ht="15.75" customHeight="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56"/>
    </row>
    <row r="642" spans="1:29" ht="15.75" customHeight="1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56"/>
    </row>
    <row r="643" spans="1:29" ht="15.75" customHeight="1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56"/>
    </row>
    <row r="644" spans="1:29" ht="15.75" customHeight="1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56"/>
    </row>
    <row r="645" spans="1:29" ht="15.75" customHeight="1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56"/>
    </row>
    <row r="646" spans="1:29" ht="15.75" customHeight="1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56"/>
    </row>
    <row r="647" spans="1:29" ht="15.75" customHeight="1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56"/>
    </row>
    <row r="648" spans="1:29" ht="15.75" customHeight="1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56"/>
    </row>
    <row r="649" spans="1:29" ht="15.75" customHeight="1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56"/>
    </row>
    <row r="650" spans="1:29" ht="15.75" customHeight="1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56"/>
    </row>
    <row r="651" spans="1:29" ht="15.75" customHeight="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56"/>
    </row>
    <row r="652" spans="1:29" ht="15.75" customHeight="1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56"/>
    </row>
    <row r="653" spans="1:29" ht="15.75" customHeight="1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56"/>
    </row>
    <row r="654" spans="1:29" ht="15.75" customHeight="1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56"/>
    </row>
    <row r="655" spans="1:29" ht="15.75" customHeight="1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56"/>
    </row>
    <row r="656" spans="1:29" ht="15.75" customHeight="1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56"/>
    </row>
    <row r="657" spans="1:29" ht="15.75" customHeight="1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56"/>
    </row>
    <row r="658" spans="1:29" ht="15.75" customHeight="1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56"/>
    </row>
    <row r="659" spans="1:29" ht="15.75" customHeight="1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56"/>
    </row>
    <row r="660" spans="1:29" ht="15.75" customHeight="1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56"/>
    </row>
    <row r="661" spans="1:29" ht="15.75" customHeight="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56"/>
    </row>
    <row r="662" spans="1:29" ht="15.75" customHeight="1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56"/>
    </row>
    <row r="663" spans="1:29" ht="15.75" customHeight="1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56"/>
    </row>
    <row r="664" spans="1:29" ht="15.75" customHeight="1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56"/>
    </row>
    <row r="665" spans="1:29" ht="15.75" customHeight="1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56"/>
    </row>
    <row r="666" spans="1:29" ht="15.75" customHeight="1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56"/>
    </row>
    <row r="667" spans="1:29" ht="15.75" customHeight="1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56"/>
    </row>
    <row r="668" spans="1:29" ht="15.75" customHeight="1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56"/>
    </row>
    <row r="669" spans="1:29" ht="15.75" customHeight="1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56"/>
    </row>
    <row r="670" spans="1:29" ht="15.75" customHeight="1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56"/>
    </row>
    <row r="671" spans="1:29" ht="15.75" customHeight="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56"/>
    </row>
    <row r="672" spans="1:29" ht="15.75" customHeight="1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56"/>
    </row>
    <row r="673" spans="1:29" ht="15.75" customHeight="1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56"/>
    </row>
    <row r="674" spans="1:29" ht="15.75" customHeight="1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56"/>
    </row>
    <row r="675" spans="1:29" ht="15.75" customHeight="1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56"/>
    </row>
    <row r="676" spans="1:29" ht="15.75" customHeight="1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56"/>
    </row>
    <row r="677" spans="1:29" ht="15.75" customHeight="1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56"/>
    </row>
    <row r="678" spans="1:29" ht="15.75" customHeight="1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56"/>
    </row>
    <row r="679" spans="1:29" ht="15.75" customHeight="1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56"/>
    </row>
    <row r="680" spans="1:29" ht="15.75" customHeight="1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56"/>
    </row>
    <row r="681" spans="1:29" ht="15.75" customHeight="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56"/>
    </row>
    <row r="682" spans="1:29" ht="15.75" customHeight="1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56"/>
    </row>
    <row r="683" spans="1:29" ht="15.75" customHeight="1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56"/>
    </row>
    <row r="684" spans="1:29" ht="15.75" customHeight="1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56"/>
    </row>
    <row r="685" spans="1:29" ht="15.75" customHeight="1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56"/>
    </row>
    <row r="686" spans="1:29" ht="15.75" customHeight="1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56"/>
    </row>
    <row r="687" spans="1:29" ht="15.75" customHeight="1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56"/>
    </row>
    <row r="688" spans="1:29" ht="15.75" customHeight="1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56"/>
    </row>
    <row r="689" spans="1:29" ht="15.75" customHeight="1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56"/>
    </row>
    <row r="690" spans="1:29" ht="15.75" customHeight="1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56"/>
    </row>
    <row r="691" spans="1:29" ht="15.75" customHeight="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56"/>
    </row>
    <row r="692" spans="1:29" ht="15.75" customHeight="1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56"/>
    </row>
    <row r="693" spans="1:29" ht="15.75" customHeight="1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56"/>
    </row>
    <row r="694" spans="1:29" ht="15.75" customHeight="1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56"/>
    </row>
    <row r="695" spans="1:29" ht="15.75" customHeight="1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56"/>
    </row>
    <row r="696" spans="1:29" ht="15.75" customHeight="1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56"/>
    </row>
    <row r="697" spans="1:29" ht="15.75" customHeight="1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56"/>
    </row>
    <row r="698" spans="1:29" ht="15.75" customHeight="1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56"/>
    </row>
    <row r="699" spans="1:29" ht="15.75" customHeight="1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56"/>
    </row>
    <row r="700" spans="1:29" ht="15.75" customHeight="1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56"/>
    </row>
    <row r="701" spans="1:29" ht="15.75" customHeight="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56"/>
    </row>
    <row r="702" spans="1:29" ht="15.75" customHeight="1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56"/>
    </row>
    <row r="703" spans="1:29" ht="15.75" customHeight="1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56"/>
    </row>
    <row r="704" spans="1:29" ht="15.75" customHeight="1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56"/>
    </row>
    <row r="705" spans="1:29" ht="15.75" customHeight="1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56"/>
    </row>
    <row r="706" spans="1:29" ht="15.75" customHeight="1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56"/>
    </row>
    <row r="707" spans="1:29" ht="15.75" customHeight="1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56"/>
    </row>
    <row r="708" spans="1:29" ht="15.75" customHeight="1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56"/>
    </row>
    <row r="709" spans="1:29" ht="15.75" customHeight="1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56"/>
    </row>
    <row r="710" spans="1:29" ht="15.75" customHeight="1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56"/>
    </row>
    <row r="711" spans="1:29" ht="15.75" customHeight="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56"/>
    </row>
    <row r="712" spans="1:29" ht="15.75" customHeight="1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56"/>
    </row>
    <row r="713" spans="1:29" ht="15.75" customHeight="1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56"/>
    </row>
    <row r="714" spans="1:29" ht="15.75" customHeight="1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56"/>
    </row>
    <row r="715" spans="1:29" ht="15.75" customHeight="1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56"/>
    </row>
    <row r="716" spans="1:29" ht="15.75" customHeight="1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</row>
    <row r="717" spans="1:29" ht="15.75" customHeight="1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56"/>
    </row>
    <row r="718" spans="1:29" ht="15.75" customHeight="1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56"/>
    </row>
    <row r="719" spans="1:29" ht="15.75" customHeight="1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56"/>
    </row>
    <row r="720" spans="1:29" ht="15.75" customHeight="1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56"/>
    </row>
    <row r="721" spans="1:29" ht="15.75" customHeight="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56"/>
    </row>
    <row r="722" spans="1:29" ht="15.75" customHeight="1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56"/>
    </row>
    <row r="723" spans="1:29" ht="15.75" customHeight="1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56"/>
    </row>
    <row r="724" spans="1:29" ht="15.75" customHeight="1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56"/>
    </row>
    <row r="725" spans="1:29" ht="15.75" customHeight="1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56"/>
    </row>
    <row r="726" spans="1:29" ht="15.75" customHeight="1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56"/>
    </row>
    <row r="727" spans="1:29" ht="15.75" customHeight="1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56"/>
    </row>
    <row r="728" spans="1:29" ht="15.75" customHeight="1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56"/>
    </row>
    <row r="729" spans="1:29" ht="15.75" customHeight="1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56"/>
    </row>
    <row r="730" spans="1:29" ht="15.75" customHeight="1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56"/>
    </row>
    <row r="731" spans="1:29" ht="15.75" customHeight="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56"/>
    </row>
    <row r="732" spans="1:29" ht="15.75" customHeight="1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56"/>
    </row>
    <row r="733" spans="1:29" ht="15.75" customHeight="1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56"/>
    </row>
    <row r="734" spans="1:29" ht="15.75" customHeight="1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56"/>
    </row>
    <row r="735" spans="1:29" ht="15.75" customHeight="1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56"/>
    </row>
    <row r="736" spans="1:29" ht="15.75" customHeight="1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56"/>
    </row>
    <row r="737" spans="1:29" ht="15.75" customHeight="1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56"/>
    </row>
    <row r="738" spans="1:29" ht="15.75" customHeight="1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56"/>
    </row>
    <row r="739" spans="1:29" ht="15.75" customHeight="1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56"/>
    </row>
    <row r="740" spans="1:29" ht="15.75" customHeight="1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56"/>
    </row>
    <row r="741" spans="1:29" ht="15.75" customHeight="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56"/>
    </row>
    <row r="742" spans="1:29" ht="15.75" customHeight="1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56"/>
    </row>
    <row r="743" spans="1:29" ht="15.75" customHeight="1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56"/>
    </row>
    <row r="744" spans="1:29" ht="15.75" customHeight="1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56"/>
    </row>
    <row r="745" spans="1:29" ht="15.75" customHeight="1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56"/>
    </row>
    <row r="746" spans="1:29" ht="15.75" customHeight="1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56"/>
    </row>
    <row r="747" spans="1:29" ht="15.75" customHeight="1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56"/>
    </row>
    <row r="748" spans="1:29" ht="15.75" customHeight="1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56"/>
    </row>
    <row r="749" spans="1:29" ht="15.75" customHeight="1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56"/>
    </row>
    <row r="750" spans="1:29" ht="15.75" customHeight="1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56"/>
    </row>
    <row r="751" spans="1:29" ht="15.75" customHeight="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56"/>
    </row>
    <row r="752" spans="1:29" ht="15.75" customHeight="1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56"/>
    </row>
    <row r="753" spans="1:29" ht="15.75" customHeight="1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56"/>
    </row>
    <row r="754" spans="1:29" ht="15.75" customHeight="1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56"/>
    </row>
    <row r="755" spans="1:29" ht="15.75" customHeight="1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56"/>
    </row>
    <row r="756" spans="1:29" ht="15.75" customHeight="1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56"/>
    </row>
    <row r="757" spans="1:29" ht="15.75" customHeight="1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56"/>
    </row>
    <row r="758" spans="1:29" ht="15.75" customHeight="1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56"/>
    </row>
    <row r="759" spans="1:29" ht="15.75" customHeight="1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56"/>
    </row>
    <row r="760" spans="1:29" ht="15.75" customHeight="1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56"/>
    </row>
    <row r="761" spans="1:29" ht="15.75" customHeight="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56"/>
    </row>
    <row r="762" spans="1:29" ht="15.75" customHeight="1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56"/>
    </row>
    <row r="763" spans="1:29" ht="15.75" customHeight="1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56"/>
    </row>
    <row r="764" spans="1:29" ht="15.75" customHeight="1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56"/>
    </row>
    <row r="765" spans="1:29" ht="15.75" customHeight="1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56"/>
    </row>
    <row r="766" spans="1:29" ht="15.75" customHeight="1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56"/>
    </row>
    <row r="767" spans="1:29" ht="15.75" customHeight="1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56"/>
    </row>
    <row r="768" spans="1:29" ht="15.75" customHeight="1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56"/>
    </row>
    <row r="769" spans="1:29" ht="15.75" customHeight="1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56"/>
    </row>
    <row r="770" spans="1:29" ht="15.75" customHeight="1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56"/>
    </row>
    <row r="771" spans="1:29" ht="15.75" customHeight="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56"/>
    </row>
    <row r="772" spans="1:29" ht="15.75" customHeight="1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56"/>
    </row>
    <row r="773" spans="1:29" ht="15.75" customHeight="1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56"/>
    </row>
    <row r="774" spans="1:29" ht="15.75" customHeight="1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56"/>
    </row>
    <row r="775" spans="1:29" ht="15.75" customHeight="1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56"/>
    </row>
    <row r="776" spans="1:29" ht="15.75" customHeight="1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56"/>
    </row>
    <row r="777" spans="1:29" ht="15.75" customHeight="1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56"/>
    </row>
    <row r="778" spans="1:29" ht="15.75" customHeight="1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56"/>
    </row>
    <row r="779" spans="1:29" ht="15.75" customHeight="1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56"/>
    </row>
    <row r="780" spans="1:29" ht="15.75" customHeight="1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56"/>
    </row>
    <row r="781" spans="1:29" ht="15.75" customHeight="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56"/>
    </row>
    <row r="782" spans="1:29" ht="15.75" customHeight="1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56"/>
    </row>
    <row r="783" spans="1:29" ht="15.75" customHeight="1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56"/>
    </row>
    <row r="784" spans="1:29" ht="15.75" customHeight="1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56"/>
    </row>
    <row r="785" spans="1:29" ht="15.75" customHeight="1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56"/>
    </row>
    <row r="786" spans="1:29" ht="15.75" customHeight="1">
      <c r="A786" s="256"/>
      <c r="B786" s="256"/>
      <c r="C786" s="256"/>
      <c r="D786" s="256"/>
      <c r="E786" s="256"/>
      <c r="F786" s="256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56"/>
    </row>
    <row r="787" spans="1:29" ht="15.75" customHeight="1">
      <c r="A787" s="256"/>
      <c r="B787" s="256"/>
      <c r="C787" s="256"/>
      <c r="D787" s="256"/>
      <c r="E787" s="256"/>
      <c r="F787" s="256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56"/>
    </row>
    <row r="788" spans="1:29" ht="15.75" customHeight="1">
      <c r="A788" s="256"/>
      <c r="B788" s="256"/>
      <c r="C788" s="256"/>
      <c r="D788" s="256"/>
      <c r="E788" s="256"/>
      <c r="F788" s="256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56"/>
    </row>
    <row r="789" spans="1:29" ht="15.75" customHeight="1">
      <c r="A789" s="256"/>
      <c r="B789" s="256"/>
      <c r="C789" s="256"/>
      <c r="D789" s="256"/>
      <c r="E789" s="256"/>
      <c r="F789" s="256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56"/>
    </row>
    <row r="790" spans="1:29" ht="15.75" customHeight="1">
      <c r="A790" s="256"/>
      <c r="B790" s="256"/>
      <c r="C790" s="256"/>
      <c r="D790" s="256"/>
      <c r="E790" s="256"/>
      <c r="F790" s="256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56"/>
    </row>
    <row r="791" spans="1:29" ht="15.75" customHeight="1">
      <c r="A791" s="256"/>
      <c r="B791" s="256"/>
      <c r="C791" s="256"/>
      <c r="D791" s="256"/>
      <c r="E791" s="256"/>
      <c r="F791" s="256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56"/>
    </row>
    <row r="792" spans="1:29" ht="15.75" customHeight="1">
      <c r="A792" s="256"/>
      <c r="B792" s="256"/>
      <c r="C792" s="256"/>
      <c r="D792" s="256"/>
      <c r="E792" s="256"/>
      <c r="F792" s="256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56"/>
    </row>
    <row r="793" spans="1:29" ht="15.75" customHeight="1">
      <c r="A793" s="256"/>
      <c r="B793" s="256"/>
      <c r="C793" s="256"/>
      <c r="D793" s="256"/>
      <c r="E793" s="256"/>
      <c r="F793" s="256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56"/>
    </row>
    <row r="794" spans="1:29" ht="15.75" customHeight="1">
      <c r="A794" s="256"/>
      <c r="B794" s="256"/>
      <c r="C794" s="256"/>
      <c r="D794" s="256"/>
      <c r="E794" s="256"/>
      <c r="F794" s="256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56"/>
    </row>
    <row r="795" spans="1:29" ht="15.75" customHeight="1">
      <c r="A795" s="256"/>
      <c r="B795" s="256"/>
      <c r="C795" s="256"/>
      <c r="D795" s="256"/>
      <c r="E795" s="256"/>
      <c r="F795" s="256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56"/>
    </row>
    <row r="796" spans="1:29" ht="15.75" customHeight="1">
      <c r="A796" s="256"/>
      <c r="B796" s="256"/>
      <c r="C796" s="256"/>
      <c r="D796" s="256"/>
      <c r="E796" s="256"/>
      <c r="F796" s="256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56"/>
    </row>
    <row r="797" spans="1:29" ht="15.75" customHeight="1">
      <c r="A797" s="256"/>
      <c r="B797" s="256"/>
      <c r="C797" s="256"/>
      <c r="D797" s="256"/>
      <c r="E797" s="256"/>
      <c r="F797" s="256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56"/>
    </row>
    <row r="798" spans="1:29" ht="15.75" customHeight="1">
      <c r="A798" s="256"/>
      <c r="B798" s="256"/>
      <c r="C798" s="256"/>
      <c r="D798" s="256"/>
      <c r="E798" s="256"/>
      <c r="F798" s="256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56"/>
    </row>
    <row r="799" spans="1:29" ht="15.75" customHeight="1">
      <c r="A799" s="256"/>
      <c r="B799" s="256"/>
      <c r="C799" s="256"/>
      <c r="D799" s="256"/>
      <c r="E799" s="256"/>
      <c r="F799" s="256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56"/>
    </row>
    <row r="800" spans="1:29" ht="15.75" customHeight="1">
      <c r="A800" s="256"/>
      <c r="B800" s="256"/>
      <c r="C800" s="256"/>
      <c r="D800" s="256"/>
      <c r="E800" s="256"/>
      <c r="F800" s="256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56"/>
    </row>
    <row r="801" spans="1:29" ht="15.75" customHeight="1">
      <c r="A801" s="256"/>
      <c r="B801" s="256"/>
      <c r="C801" s="256"/>
      <c r="D801" s="256"/>
      <c r="E801" s="256"/>
      <c r="F801" s="256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56"/>
    </row>
    <row r="802" spans="1:29" ht="15.75" customHeight="1">
      <c r="A802" s="256"/>
      <c r="B802" s="256"/>
      <c r="C802" s="256"/>
      <c r="D802" s="256"/>
      <c r="E802" s="256"/>
      <c r="F802" s="256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56"/>
    </row>
    <row r="803" spans="1:29" ht="15.75" customHeight="1">
      <c r="A803" s="256"/>
      <c r="B803" s="256"/>
      <c r="C803" s="256"/>
      <c r="D803" s="256"/>
      <c r="E803" s="256"/>
      <c r="F803" s="256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56"/>
    </row>
    <row r="804" spans="1:29" ht="15.75" customHeight="1">
      <c r="A804" s="256"/>
      <c r="B804" s="256"/>
      <c r="C804" s="256"/>
      <c r="D804" s="256"/>
      <c r="E804" s="256"/>
      <c r="F804" s="256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56"/>
    </row>
    <row r="805" spans="1:29" ht="15.75" customHeight="1">
      <c r="A805" s="256"/>
      <c r="B805" s="256"/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56"/>
    </row>
    <row r="806" spans="1:29" ht="15.75" customHeight="1">
      <c r="A806" s="256"/>
      <c r="B806" s="256"/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56"/>
    </row>
    <row r="807" spans="1:29" ht="15.75" customHeight="1">
      <c r="A807" s="256"/>
      <c r="B807" s="256"/>
      <c r="C807" s="256"/>
      <c r="D807" s="256"/>
      <c r="E807" s="256"/>
      <c r="F807" s="256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56"/>
    </row>
    <row r="808" spans="1:29" ht="15.75" customHeight="1">
      <c r="A808" s="256"/>
      <c r="B808" s="256"/>
      <c r="C808" s="256"/>
      <c r="D808" s="256"/>
      <c r="E808" s="256"/>
      <c r="F808" s="256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56"/>
    </row>
    <row r="809" spans="1:29" ht="15.75" customHeight="1">
      <c r="A809" s="256"/>
      <c r="B809" s="256"/>
      <c r="C809" s="256"/>
      <c r="D809" s="256"/>
      <c r="E809" s="256"/>
      <c r="F809" s="256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56"/>
    </row>
    <row r="810" spans="1:29" ht="15.75" customHeight="1">
      <c r="A810" s="256"/>
      <c r="B810" s="256"/>
      <c r="C810" s="256"/>
      <c r="D810" s="256"/>
      <c r="E810" s="256"/>
      <c r="F810" s="256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56"/>
    </row>
    <row r="811" spans="1:29" ht="15.75" customHeight="1">
      <c r="A811" s="256"/>
      <c r="B811" s="256"/>
      <c r="C811" s="256"/>
      <c r="D811" s="256"/>
      <c r="E811" s="256"/>
      <c r="F811" s="256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56"/>
    </row>
    <row r="812" spans="1:29" ht="15.75" customHeight="1">
      <c r="A812" s="256"/>
      <c r="B812" s="256"/>
      <c r="C812" s="256"/>
      <c r="D812" s="256"/>
      <c r="E812" s="256"/>
      <c r="F812" s="256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56"/>
    </row>
    <row r="813" spans="1:29" ht="15.75" customHeight="1">
      <c r="A813" s="256"/>
      <c r="B813" s="256"/>
      <c r="C813" s="256"/>
      <c r="D813" s="256"/>
      <c r="E813" s="256"/>
      <c r="F813" s="256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56"/>
    </row>
    <row r="814" spans="1:29" ht="15.75" customHeight="1">
      <c r="A814" s="256"/>
      <c r="B814" s="256"/>
      <c r="C814" s="256"/>
      <c r="D814" s="256"/>
      <c r="E814" s="256"/>
      <c r="F814" s="256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56"/>
    </row>
    <row r="815" spans="1:29" ht="15.75" customHeight="1">
      <c r="A815" s="256"/>
      <c r="B815" s="256"/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56"/>
    </row>
    <row r="816" spans="1:29" ht="15.75" customHeight="1">
      <c r="A816" s="256"/>
      <c r="B816" s="256"/>
      <c r="C816" s="256"/>
      <c r="D816" s="256"/>
      <c r="E816" s="256"/>
      <c r="F816" s="256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56"/>
    </row>
    <row r="817" spans="1:29" ht="15.75" customHeight="1">
      <c r="A817" s="256"/>
      <c r="B817" s="256"/>
      <c r="C817" s="256"/>
      <c r="D817" s="256"/>
      <c r="E817" s="256"/>
      <c r="F817" s="256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56"/>
    </row>
    <row r="818" spans="1:29" ht="15.75" customHeight="1">
      <c r="A818" s="256"/>
      <c r="B818" s="256"/>
      <c r="C818" s="256"/>
      <c r="D818" s="256"/>
      <c r="E818" s="256"/>
      <c r="F818" s="256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56"/>
    </row>
    <row r="819" spans="1:29" ht="15.75" customHeight="1">
      <c r="A819" s="256"/>
      <c r="B819" s="256"/>
      <c r="C819" s="256"/>
      <c r="D819" s="256"/>
      <c r="E819" s="256"/>
      <c r="F819" s="256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56"/>
    </row>
    <row r="820" spans="1:29" ht="15.75" customHeight="1">
      <c r="A820" s="256"/>
      <c r="B820" s="256"/>
      <c r="C820" s="256"/>
      <c r="D820" s="256"/>
      <c r="E820" s="256"/>
      <c r="F820" s="256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56"/>
    </row>
    <row r="821" spans="1:29" ht="15.75" customHeight="1">
      <c r="A821" s="256"/>
      <c r="B821" s="256"/>
      <c r="C821" s="256"/>
      <c r="D821" s="256"/>
      <c r="E821" s="256"/>
      <c r="F821" s="256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56"/>
    </row>
    <row r="822" spans="1:29" ht="15.75" customHeight="1">
      <c r="A822" s="256"/>
      <c r="B822" s="256"/>
      <c r="C822" s="256"/>
      <c r="D822" s="256"/>
      <c r="E822" s="256"/>
      <c r="F822" s="256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56"/>
    </row>
    <row r="823" spans="1:29" ht="15.75" customHeight="1">
      <c r="A823" s="256"/>
      <c r="B823" s="256"/>
      <c r="C823" s="256"/>
      <c r="D823" s="256"/>
      <c r="E823" s="256"/>
      <c r="F823" s="256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56"/>
    </row>
    <row r="824" spans="1:29" ht="15.75" customHeight="1">
      <c r="A824" s="256"/>
      <c r="B824" s="256"/>
      <c r="C824" s="256"/>
      <c r="D824" s="256"/>
      <c r="E824" s="256"/>
      <c r="F824" s="256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56"/>
    </row>
    <row r="825" spans="1:29" ht="15.75" customHeight="1">
      <c r="A825" s="256"/>
      <c r="B825" s="256"/>
      <c r="C825" s="256"/>
      <c r="D825" s="256"/>
      <c r="E825" s="256"/>
      <c r="F825" s="256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56"/>
    </row>
    <row r="826" spans="1:29" ht="15.75" customHeight="1">
      <c r="A826" s="256"/>
      <c r="B826" s="256"/>
      <c r="C826" s="256"/>
      <c r="D826" s="256"/>
      <c r="E826" s="256"/>
      <c r="F826" s="256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56"/>
    </row>
    <row r="827" spans="1:29" ht="15.75" customHeight="1">
      <c r="A827" s="256"/>
      <c r="B827" s="256"/>
      <c r="C827" s="256"/>
      <c r="D827" s="256"/>
      <c r="E827" s="256"/>
      <c r="F827" s="256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56"/>
    </row>
    <row r="828" spans="1:29" ht="15.75" customHeight="1">
      <c r="A828" s="256"/>
      <c r="B828" s="256"/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56"/>
    </row>
    <row r="829" spans="1:29" ht="15.75" customHeight="1">
      <c r="A829" s="256"/>
      <c r="B829" s="256"/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56"/>
    </row>
    <row r="830" spans="1:29" ht="15.75" customHeight="1">
      <c r="A830" s="256"/>
      <c r="B830" s="256"/>
      <c r="C830" s="256"/>
      <c r="D830" s="256"/>
      <c r="E830" s="256"/>
      <c r="F830" s="256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56"/>
    </row>
    <row r="831" spans="1:29" ht="15.75" customHeight="1">
      <c r="A831" s="256"/>
      <c r="B831" s="256"/>
      <c r="C831" s="256"/>
      <c r="D831" s="256"/>
      <c r="E831" s="256"/>
      <c r="F831" s="256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56"/>
    </row>
    <row r="832" spans="1:29" ht="15.75" customHeight="1">
      <c r="A832" s="256"/>
      <c r="B832" s="256"/>
      <c r="C832" s="256"/>
      <c r="D832" s="256"/>
      <c r="E832" s="256"/>
      <c r="F832" s="256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56"/>
    </row>
    <row r="833" spans="1:29" ht="15.75" customHeight="1">
      <c r="A833" s="256"/>
      <c r="B833" s="256"/>
      <c r="C833" s="256"/>
      <c r="D833" s="256"/>
      <c r="E833" s="256"/>
      <c r="F833" s="256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56"/>
    </row>
    <row r="834" spans="1:29" ht="15.75" customHeight="1">
      <c r="A834" s="256"/>
      <c r="B834" s="256"/>
      <c r="C834" s="256"/>
      <c r="D834" s="256"/>
      <c r="E834" s="256"/>
      <c r="F834" s="256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56"/>
    </row>
    <row r="835" spans="1:29" ht="15.75" customHeight="1">
      <c r="A835" s="256"/>
      <c r="B835" s="256"/>
      <c r="C835" s="256"/>
      <c r="D835" s="256"/>
      <c r="E835" s="256"/>
      <c r="F835" s="256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56"/>
    </row>
    <row r="836" spans="1:29" ht="15.75" customHeight="1">
      <c r="A836" s="256"/>
      <c r="B836" s="256"/>
      <c r="C836" s="256"/>
      <c r="D836" s="256"/>
      <c r="E836" s="256"/>
      <c r="F836" s="256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56"/>
    </row>
    <row r="837" spans="1:29" ht="15.75" customHeight="1">
      <c r="A837" s="256"/>
      <c r="B837" s="256"/>
      <c r="C837" s="256"/>
      <c r="D837" s="256"/>
      <c r="E837" s="256"/>
      <c r="F837" s="256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56"/>
    </row>
    <row r="838" spans="1:29" ht="15.75" customHeight="1">
      <c r="A838" s="256"/>
      <c r="B838" s="256"/>
      <c r="C838" s="256"/>
      <c r="D838" s="256"/>
      <c r="E838" s="256"/>
      <c r="F838" s="256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56"/>
    </row>
    <row r="839" spans="1:29" ht="15.75" customHeight="1">
      <c r="A839" s="256"/>
      <c r="B839" s="256"/>
      <c r="C839" s="256"/>
      <c r="D839" s="256"/>
      <c r="E839" s="256"/>
      <c r="F839" s="256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56"/>
    </row>
    <row r="840" spans="1:29" ht="15.75" customHeight="1">
      <c r="A840" s="256"/>
      <c r="B840" s="256"/>
      <c r="C840" s="256"/>
      <c r="D840" s="256"/>
      <c r="E840" s="256"/>
      <c r="F840" s="256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56"/>
    </row>
    <row r="841" spans="1:29" ht="15.75" customHeight="1">
      <c r="A841" s="256"/>
      <c r="B841" s="256"/>
      <c r="C841" s="256"/>
      <c r="D841" s="256"/>
      <c r="E841" s="256"/>
      <c r="F841" s="256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56"/>
    </row>
    <row r="842" spans="1:29" ht="15.75" customHeight="1">
      <c r="A842" s="256"/>
      <c r="B842" s="256"/>
      <c r="C842" s="256"/>
      <c r="D842" s="256"/>
      <c r="E842" s="256"/>
      <c r="F842" s="256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56"/>
    </row>
    <row r="843" spans="1:29" ht="15.75" customHeight="1">
      <c r="A843" s="256"/>
      <c r="B843" s="256"/>
      <c r="C843" s="256"/>
      <c r="D843" s="256"/>
      <c r="E843" s="256"/>
      <c r="F843" s="256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56"/>
    </row>
    <row r="844" spans="1:29" ht="15.75" customHeight="1">
      <c r="A844" s="256"/>
      <c r="B844" s="256"/>
      <c r="C844" s="256"/>
      <c r="D844" s="256"/>
      <c r="E844" s="256"/>
      <c r="F844" s="256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56"/>
    </row>
    <row r="845" spans="1:29" ht="15.75" customHeight="1">
      <c r="A845" s="256"/>
      <c r="B845" s="256"/>
      <c r="C845" s="256"/>
      <c r="D845" s="256"/>
      <c r="E845" s="256"/>
      <c r="F845" s="256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56"/>
    </row>
    <row r="846" spans="1:29" ht="15.75" customHeight="1">
      <c r="A846" s="256"/>
      <c r="B846" s="256"/>
      <c r="C846" s="256"/>
      <c r="D846" s="256"/>
      <c r="E846" s="256"/>
      <c r="F846" s="256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56"/>
    </row>
    <row r="847" spans="1:29" ht="15.75" customHeight="1">
      <c r="A847" s="256"/>
      <c r="B847" s="256"/>
      <c r="C847" s="256"/>
      <c r="D847" s="256"/>
      <c r="E847" s="256"/>
      <c r="F847" s="256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56"/>
    </row>
    <row r="848" spans="1:29" ht="15.75" customHeight="1">
      <c r="A848" s="256"/>
      <c r="B848" s="256"/>
      <c r="C848" s="256"/>
      <c r="D848" s="256"/>
      <c r="E848" s="256"/>
      <c r="F848" s="256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56"/>
    </row>
    <row r="849" spans="1:29" ht="15.75" customHeight="1">
      <c r="A849" s="256"/>
      <c r="B849" s="256"/>
      <c r="C849" s="256"/>
      <c r="D849" s="256"/>
      <c r="E849" s="256"/>
      <c r="F849" s="256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56"/>
    </row>
    <row r="850" spans="1:29" ht="15.75" customHeight="1">
      <c r="A850" s="256"/>
      <c r="B850" s="256"/>
      <c r="C850" s="256"/>
      <c r="D850" s="256"/>
      <c r="E850" s="256"/>
      <c r="F850" s="256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56"/>
    </row>
    <row r="851" spans="1:29" ht="15.75" customHeight="1">
      <c r="A851" s="256"/>
      <c r="B851" s="256"/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56"/>
    </row>
    <row r="852" spans="1:29" ht="15.75" customHeight="1">
      <c r="A852" s="256"/>
      <c r="B852" s="256"/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56"/>
    </row>
    <row r="853" spans="1:29" ht="15.75" customHeight="1">
      <c r="A853" s="256"/>
      <c r="B853" s="256"/>
      <c r="C853" s="256"/>
      <c r="D853" s="256"/>
      <c r="E853" s="256"/>
      <c r="F853" s="256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56"/>
    </row>
    <row r="854" spans="1:29" ht="15.75" customHeight="1">
      <c r="A854" s="256"/>
      <c r="B854" s="256"/>
      <c r="C854" s="256"/>
      <c r="D854" s="256"/>
      <c r="E854" s="256"/>
      <c r="F854" s="256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56"/>
    </row>
    <row r="855" spans="1:29" ht="15.75" customHeight="1">
      <c r="A855" s="256"/>
      <c r="B855" s="256"/>
      <c r="C855" s="256"/>
      <c r="D855" s="256"/>
      <c r="E855" s="256"/>
      <c r="F855" s="256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56"/>
    </row>
    <row r="856" spans="1:29" ht="15.75" customHeight="1">
      <c r="A856" s="256"/>
      <c r="B856" s="256"/>
      <c r="C856" s="256"/>
      <c r="D856" s="256"/>
      <c r="E856" s="256"/>
      <c r="F856" s="256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56"/>
    </row>
    <row r="857" spans="1:29" ht="15.75" customHeight="1">
      <c r="A857" s="256"/>
      <c r="B857" s="256"/>
      <c r="C857" s="256"/>
      <c r="D857" s="256"/>
      <c r="E857" s="256"/>
      <c r="F857" s="256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56"/>
    </row>
    <row r="858" spans="1:29" ht="15.75" customHeight="1">
      <c r="A858" s="256"/>
      <c r="B858" s="256"/>
      <c r="C858" s="256"/>
      <c r="D858" s="256"/>
      <c r="E858" s="256"/>
      <c r="F858" s="256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56"/>
    </row>
    <row r="859" spans="1:29" ht="15.75" customHeight="1">
      <c r="A859" s="256"/>
      <c r="B859" s="256"/>
      <c r="C859" s="256"/>
      <c r="D859" s="256"/>
      <c r="E859" s="256"/>
      <c r="F859" s="256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56"/>
    </row>
    <row r="860" spans="1:29" ht="15.75" customHeight="1">
      <c r="A860" s="256"/>
      <c r="B860" s="256"/>
      <c r="C860" s="256"/>
      <c r="D860" s="256"/>
      <c r="E860" s="256"/>
      <c r="F860" s="256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56"/>
    </row>
    <row r="861" spans="1:29" ht="15.75" customHeight="1">
      <c r="A861" s="256"/>
      <c r="B861" s="256"/>
      <c r="C861" s="256"/>
      <c r="D861" s="256"/>
      <c r="E861" s="256"/>
      <c r="F861" s="256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56"/>
    </row>
    <row r="862" spans="1:29" ht="15.75" customHeight="1">
      <c r="A862" s="256"/>
      <c r="B862" s="256"/>
      <c r="C862" s="256"/>
      <c r="D862" s="256"/>
      <c r="E862" s="256"/>
      <c r="F862" s="256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56"/>
    </row>
    <row r="863" spans="1:29" ht="15.75" customHeight="1">
      <c r="A863" s="256"/>
      <c r="B863" s="256"/>
      <c r="C863" s="256"/>
      <c r="D863" s="256"/>
      <c r="E863" s="256"/>
      <c r="F863" s="256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56"/>
    </row>
    <row r="864" spans="1:29" ht="15.75" customHeight="1">
      <c r="A864" s="256"/>
      <c r="B864" s="256"/>
      <c r="C864" s="256"/>
      <c r="D864" s="256"/>
      <c r="E864" s="256"/>
      <c r="F864" s="256"/>
      <c r="G864" s="256"/>
      <c r="H864" s="256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  <c r="AA864" s="256"/>
      <c r="AB864" s="256"/>
      <c r="AC864" s="256"/>
    </row>
    <row r="865" spans="1:29" ht="15.75" customHeight="1">
      <c r="A865" s="256"/>
      <c r="B865" s="256"/>
      <c r="C865" s="256"/>
      <c r="D865" s="256"/>
      <c r="E865" s="256"/>
      <c r="F865" s="256"/>
      <c r="G865" s="256"/>
      <c r="H865" s="256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  <c r="AA865" s="256"/>
      <c r="AB865" s="256"/>
      <c r="AC865" s="256"/>
    </row>
    <row r="866" spans="1:29" ht="15.75" customHeight="1">
      <c r="A866" s="256"/>
      <c r="B866" s="256"/>
      <c r="C866" s="256"/>
      <c r="D866" s="256"/>
      <c r="E866" s="256"/>
      <c r="F866" s="256"/>
      <c r="G866" s="256"/>
      <c r="H866" s="256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  <c r="AA866" s="256"/>
      <c r="AB866" s="256"/>
      <c r="AC866" s="256"/>
    </row>
    <row r="867" spans="1:29" ht="15.75" customHeight="1">
      <c r="A867" s="256"/>
      <c r="B867" s="256"/>
      <c r="C867" s="256"/>
      <c r="D867" s="256"/>
      <c r="E867" s="256"/>
      <c r="F867" s="256"/>
      <c r="G867" s="256"/>
      <c r="H867" s="256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  <c r="AA867" s="256"/>
      <c r="AB867" s="256"/>
      <c r="AC867" s="256"/>
    </row>
    <row r="868" spans="1:29" ht="15.75" customHeight="1">
      <c r="A868" s="256"/>
      <c r="B868" s="256"/>
      <c r="C868" s="256"/>
      <c r="D868" s="256"/>
      <c r="E868" s="256"/>
      <c r="F868" s="256"/>
      <c r="G868" s="256"/>
      <c r="H868" s="256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  <c r="AA868" s="256"/>
      <c r="AB868" s="256"/>
      <c r="AC868" s="256"/>
    </row>
    <row r="869" spans="1:29" ht="15.75" customHeight="1">
      <c r="A869" s="256"/>
      <c r="B869" s="256"/>
      <c r="C869" s="256"/>
      <c r="D869" s="256"/>
      <c r="E869" s="256"/>
      <c r="F869" s="256"/>
      <c r="G869" s="256"/>
      <c r="H869" s="256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  <c r="AA869" s="256"/>
      <c r="AB869" s="256"/>
      <c r="AC869" s="256"/>
    </row>
    <row r="870" spans="1:29" ht="15.75" customHeight="1">
      <c r="A870" s="256"/>
      <c r="B870" s="256"/>
      <c r="C870" s="256"/>
      <c r="D870" s="256"/>
      <c r="E870" s="256"/>
      <c r="F870" s="256"/>
      <c r="G870" s="256"/>
      <c r="H870" s="256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  <c r="AA870" s="256"/>
      <c r="AB870" s="256"/>
      <c r="AC870" s="256"/>
    </row>
    <row r="871" spans="1:29" ht="15.75" customHeight="1">
      <c r="A871" s="256"/>
      <c r="B871" s="256"/>
      <c r="C871" s="256"/>
      <c r="D871" s="256"/>
      <c r="E871" s="256"/>
      <c r="F871" s="256"/>
      <c r="G871" s="256"/>
      <c r="H871" s="256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  <c r="AA871" s="256"/>
      <c r="AB871" s="256"/>
      <c r="AC871" s="256"/>
    </row>
    <row r="872" spans="1:29" ht="15.75" customHeight="1">
      <c r="A872" s="256"/>
      <c r="B872" s="256"/>
      <c r="C872" s="256"/>
      <c r="D872" s="256"/>
      <c r="E872" s="256"/>
      <c r="F872" s="256"/>
      <c r="G872" s="256"/>
      <c r="H872" s="256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  <c r="AA872" s="256"/>
      <c r="AB872" s="256"/>
      <c r="AC872" s="256"/>
    </row>
    <row r="873" spans="1:29" ht="15.75" customHeight="1">
      <c r="A873" s="256"/>
      <c r="B873" s="256"/>
      <c r="C873" s="256"/>
      <c r="D873" s="256"/>
      <c r="E873" s="256"/>
      <c r="F873" s="256"/>
      <c r="G873" s="256"/>
      <c r="H873" s="256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  <c r="AA873" s="256"/>
      <c r="AB873" s="256"/>
      <c r="AC873" s="256"/>
    </row>
    <row r="874" spans="1:29" ht="15.75" customHeight="1">
      <c r="A874" s="256"/>
      <c r="B874" s="256"/>
      <c r="C874" s="256"/>
      <c r="D874" s="256"/>
      <c r="E874" s="256"/>
      <c r="F874" s="256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  <c r="AA874" s="256"/>
      <c r="AB874" s="256"/>
      <c r="AC874" s="256"/>
    </row>
    <row r="875" spans="1:29" ht="15.75" customHeight="1">
      <c r="A875" s="256"/>
      <c r="B875" s="256"/>
      <c r="C875" s="256"/>
      <c r="D875" s="256"/>
      <c r="E875" s="256"/>
      <c r="F875" s="256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  <c r="AA875" s="256"/>
      <c r="AB875" s="256"/>
      <c r="AC875" s="256"/>
    </row>
    <row r="876" spans="1:29" ht="15.75" customHeight="1">
      <c r="A876" s="256"/>
      <c r="B876" s="256"/>
      <c r="C876" s="256"/>
      <c r="D876" s="256"/>
      <c r="E876" s="256"/>
      <c r="F876" s="256"/>
      <c r="G876" s="256"/>
      <c r="H876" s="256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  <c r="AA876" s="256"/>
      <c r="AB876" s="256"/>
      <c r="AC876" s="256"/>
    </row>
    <row r="877" spans="1:29" ht="15.75" customHeight="1">
      <c r="A877" s="256"/>
      <c r="B877" s="256"/>
      <c r="C877" s="256"/>
      <c r="D877" s="256"/>
      <c r="E877" s="256"/>
      <c r="F877" s="256"/>
      <c r="G877" s="256"/>
      <c r="H877" s="256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  <c r="AA877" s="256"/>
      <c r="AB877" s="256"/>
      <c r="AC877" s="256"/>
    </row>
    <row r="878" spans="1:29" ht="15.75" customHeight="1">
      <c r="A878" s="256"/>
      <c r="B878" s="256"/>
      <c r="C878" s="256"/>
      <c r="D878" s="256"/>
      <c r="E878" s="256"/>
      <c r="F878" s="256"/>
      <c r="G878" s="256"/>
      <c r="H878" s="256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  <c r="AA878" s="256"/>
      <c r="AB878" s="256"/>
      <c r="AC878" s="256"/>
    </row>
    <row r="879" spans="1:29" ht="15.75" customHeight="1">
      <c r="A879" s="256"/>
      <c r="B879" s="256"/>
      <c r="C879" s="256"/>
      <c r="D879" s="256"/>
      <c r="E879" s="256"/>
      <c r="F879" s="256"/>
      <c r="G879" s="256"/>
      <c r="H879" s="256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  <c r="AA879" s="256"/>
      <c r="AB879" s="256"/>
      <c r="AC879" s="256"/>
    </row>
    <row r="880" spans="1:29" ht="15.75" customHeight="1">
      <c r="A880" s="256"/>
      <c r="B880" s="256"/>
      <c r="C880" s="256"/>
      <c r="D880" s="256"/>
      <c r="E880" s="256"/>
      <c r="F880" s="256"/>
      <c r="G880" s="256"/>
      <c r="H880" s="256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  <c r="AA880" s="256"/>
      <c r="AB880" s="256"/>
      <c r="AC880" s="256"/>
    </row>
    <row r="881" spans="1:29" ht="15.75" customHeight="1">
      <c r="A881" s="256"/>
      <c r="B881" s="256"/>
      <c r="C881" s="256"/>
      <c r="D881" s="256"/>
      <c r="E881" s="256"/>
      <c r="F881" s="256"/>
      <c r="G881" s="256"/>
      <c r="H881" s="256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  <c r="AA881" s="256"/>
      <c r="AB881" s="256"/>
      <c r="AC881" s="256"/>
    </row>
    <row r="882" spans="1:29" ht="15.75" customHeight="1">
      <c r="A882" s="256"/>
      <c r="B882" s="256"/>
      <c r="C882" s="256"/>
      <c r="D882" s="256"/>
      <c r="E882" s="256"/>
      <c r="F882" s="256"/>
      <c r="G882" s="256"/>
      <c r="H882" s="256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  <c r="AA882" s="256"/>
      <c r="AB882" s="256"/>
      <c r="AC882" s="256"/>
    </row>
    <row r="883" spans="1:29" ht="15.75" customHeight="1">
      <c r="A883" s="256"/>
      <c r="B883" s="256"/>
      <c r="C883" s="256"/>
      <c r="D883" s="256"/>
      <c r="E883" s="256"/>
      <c r="F883" s="256"/>
      <c r="G883" s="256"/>
      <c r="H883" s="256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  <c r="AA883" s="256"/>
      <c r="AB883" s="256"/>
      <c r="AC883" s="256"/>
    </row>
    <row r="884" spans="1:29" ht="15.75" customHeight="1">
      <c r="A884" s="256"/>
      <c r="B884" s="256"/>
      <c r="C884" s="256"/>
      <c r="D884" s="256"/>
      <c r="E884" s="256"/>
      <c r="F884" s="256"/>
      <c r="G884" s="256"/>
      <c r="H884" s="256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  <c r="AA884" s="256"/>
      <c r="AB884" s="256"/>
      <c r="AC884" s="256"/>
    </row>
    <row r="885" spans="1:29" ht="15.75" customHeight="1">
      <c r="A885" s="256"/>
      <c r="B885" s="256"/>
      <c r="C885" s="256"/>
      <c r="D885" s="256"/>
      <c r="E885" s="256"/>
      <c r="F885" s="256"/>
      <c r="G885" s="256"/>
      <c r="H885" s="256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  <c r="AA885" s="256"/>
      <c r="AB885" s="256"/>
      <c r="AC885" s="256"/>
    </row>
    <row r="886" spans="1:29" ht="15.75" customHeight="1">
      <c r="A886" s="256"/>
      <c r="B886" s="256"/>
      <c r="C886" s="256"/>
      <c r="D886" s="256"/>
      <c r="E886" s="256"/>
      <c r="F886" s="256"/>
      <c r="G886" s="256"/>
      <c r="H886" s="256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  <c r="AA886" s="256"/>
      <c r="AB886" s="256"/>
      <c r="AC886" s="256"/>
    </row>
    <row r="887" spans="1:29" ht="15.75" customHeight="1">
      <c r="A887" s="256"/>
      <c r="B887" s="256"/>
      <c r="C887" s="256"/>
      <c r="D887" s="256"/>
      <c r="E887" s="256"/>
      <c r="F887" s="256"/>
      <c r="G887" s="256"/>
      <c r="H887" s="256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  <c r="AA887" s="256"/>
      <c r="AB887" s="256"/>
      <c r="AC887" s="256"/>
    </row>
    <row r="888" spans="1:29" ht="15.75" customHeight="1">
      <c r="A888" s="256"/>
      <c r="B888" s="256"/>
      <c r="C888" s="256"/>
      <c r="D888" s="256"/>
      <c r="E888" s="256"/>
      <c r="F888" s="256"/>
      <c r="G888" s="256"/>
      <c r="H888" s="256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  <c r="AA888" s="256"/>
      <c r="AB888" s="256"/>
      <c r="AC888" s="256"/>
    </row>
    <row r="889" spans="1:29" ht="15.75" customHeight="1">
      <c r="A889" s="256"/>
      <c r="B889" s="256"/>
      <c r="C889" s="256"/>
      <c r="D889" s="256"/>
      <c r="E889" s="256"/>
      <c r="F889" s="256"/>
      <c r="G889" s="256"/>
      <c r="H889" s="256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  <c r="AA889" s="256"/>
      <c r="AB889" s="256"/>
      <c r="AC889" s="256"/>
    </row>
    <row r="890" spans="1:29" ht="15.75" customHeight="1">
      <c r="A890" s="256"/>
      <c r="B890" s="256"/>
      <c r="C890" s="256"/>
      <c r="D890" s="256"/>
      <c r="E890" s="256"/>
      <c r="F890" s="256"/>
      <c r="G890" s="256"/>
      <c r="H890" s="256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  <c r="AA890" s="256"/>
      <c r="AB890" s="256"/>
      <c r="AC890" s="256"/>
    </row>
    <row r="891" spans="1:29" ht="15.75" customHeight="1">
      <c r="A891" s="256"/>
      <c r="B891" s="256"/>
      <c r="C891" s="256"/>
      <c r="D891" s="256"/>
      <c r="E891" s="256"/>
      <c r="F891" s="256"/>
      <c r="G891" s="256"/>
      <c r="H891" s="256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  <c r="AA891" s="256"/>
      <c r="AB891" s="256"/>
      <c r="AC891" s="256"/>
    </row>
    <row r="892" spans="1:29" ht="15.75" customHeight="1">
      <c r="A892" s="256"/>
      <c r="B892" s="256"/>
      <c r="C892" s="256"/>
      <c r="D892" s="256"/>
      <c r="E892" s="256"/>
      <c r="F892" s="256"/>
      <c r="G892" s="256"/>
      <c r="H892" s="256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  <c r="AA892" s="256"/>
      <c r="AB892" s="256"/>
      <c r="AC892" s="256"/>
    </row>
    <row r="893" spans="1:29" ht="15.75" customHeight="1">
      <c r="A893" s="256"/>
      <c r="B893" s="256"/>
      <c r="C893" s="256"/>
      <c r="D893" s="256"/>
      <c r="E893" s="256"/>
      <c r="F893" s="256"/>
      <c r="G893" s="256"/>
      <c r="H893" s="256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  <c r="AA893" s="256"/>
      <c r="AB893" s="256"/>
      <c r="AC893" s="256"/>
    </row>
    <row r="894" spans="1:29" ht="15.75" customHeight="1">
      <c r="A894" s="256"/>
      <c r="B894" s="256"/>
      <c r="C894" s="256"/>
      <c r="D894" s="256"/>
      <c r="E894" s="256"/>
      <c r="F894" s="256"/>
      <c r="G894" s="256"/>
      <c r="H894" s="256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  <c r="AA894" s="256"/>
      <c r="AB894" s="256"/>
      <c r="AC894" s="256"/>
    </row>
    <row r="895" spans="1:29" ht="15.75" customHeight="1">
      <c r="A895" s="256"/>
      <c r="B895" s="256"/>
      <c r="C895" s="256"/>
      <c r="D895" s="256"/>
      <c r="E895" s="256"/>
      <c r="F895" s="256"/>
      <c r="G895" s="256"/>
      <c r="H895" s="256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  <c r="AA895" s="256"/>
      <c r="AB895" s="256"/>
      <c r="AC895" s="256"/>
    </row>
    <row r="896" spans="1:29" ht="15.75" customHeight="1">
      <c r="A896" s="256"/>
      <c r="B896" s="256"/>
      <c r="C896" s="256"/>
      <c r="D896" s="256"/>
      <c r="E896" s="256"/>
      <c r="F896" s="256"/>
      <c r="G896" s="256"/>
      <c r="H896" s="256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  <c r="AA896" s="256"/>
      <c r="AB896" s="256"/>
      <c r="AC896" s="256"/>
    </row>
    <row r="897" spans="1:29" ht="15.75" customHeight="1">
      <c r="A897" s="256"/>
      <c r="B897" s="256"/>
      <c r="C897" s="256"/>
      <c r="D897" s="256"/>
      <c r="E897" s="256"/>
      <c r="F897" s="256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  <c r="AA897" s="256"/>
      <c r="AB897" s="256"/>
      <c r="AC897" s="256"/>
    </row>
    <row r="898" spans="1:29" ht="15.75" customHeight="1">
      <c r="A898" s="256"/>
      <c r="B898" s="256"/>
      <c r="C898" s="256"/>
      <c r="D898" s="256"/>
      <c r="E898" s="256"/>
      <c r="F898" s="256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  <c r="AA898" s="256"/>
      <c r="AB898" s="256"/>
      <c r="AC898" s="256"/>
    </row>
    <row r="899" spans="1:29" ht="15.75" customHeight="1">
      <c r="A899" s="256"/>
      <c r="B899" s="256"/>
      <c r="C899" s="256"/>
      <c r="D899" s="256"/>
      <c r="E899" s="256"/>
      <c r="F899" s="256"/>
      <c r="G899" s="256"/>
      <c r="H899" s="256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  <c r="AA899" s="256"/>
      <c r="AB899" s="256"/>
      <c r="AC899" s="256"/>
    </row>
    <row r="900" spans="1:29" ht="15.75" customHeight="1">
      <c r="A900" s="256"/>
      <c r="B900" s="256"/>
      <c r="C900" s="256"/>
      <c r="D900" s="256"/>
      <c r="E900" s="256"/>
      <c r="F900" s="256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56"/>
    </row>
    <row r="901" spans="1:29" ht="15.75" customHeight="1">
      <c r="A901" s="256"/>
      <c r="B901" s="256"/>
      <c r="C901" s="256"/>
      <c r="D901" s="256"/>
      <c r="E901" s="256"/>
      <c r="F901" s="256"/>
      <c r="G901" s="256"/>
      <c r="H901" s="256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  <c r="AA901" s="256"/>
      <c r="AB901" s="256"/>
      <c r="AC901" s="256"/>
    </row>
    <row r="902" spans="1:29" ht="15.75" customHeight="1">
      <c r="A902" s="256"/>
      <c r="B902" s="256"/>
      <c r="C902" s="256"/>
      <c r="D902" s="256"/>
      <c r="E902" s="256"/>
      <c r="F902" s="256"/>
      <c r="G902" s="256"/>
      <c r="H902" s="256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  <c r="AA902" s="256"/>
      <c r="AB902" s="256"/>
      <c r="AC902" s="256"/>
    </row>
    <row r="903" spans="1:29" ht="15.75" customHeight="1">
      <c r="A903" s="256"/>
      <c r="B903" s="256"/>
      <c r="C903" s="256"/>
      <c r="D903" s="256"/>
      <c r="E903" s="256"/>
      <c r="F903" s="256"/>
      <c r="G903" s="256"/>
      <c r="H903" s="256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  <c r="AA903" s="256"/>
      <c r="AB903" s="256"/>
      <c r="AC903" s="256"/>
    </row>
    <row r="904" spans="1:29" ht="15.75" customHeight="1">
      <c r="A904" s="256"/>
      <c r="B904" s="256"/>
      <c r="C904" s="256"/>
      <c r="D904" s="256"/>
      <c r="E904" s="256"/>
      <c r="F904" s="256"/>
      <c r="G904" s="256"/>
      <c r="H904" s="256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  <c r="AA904" s="256"/>
      <c r="AB904" s="256"/>
      <c r="AC904" s="256"/>
    </row>
    <row r="905" spans="1:29" ht="15.75" customHeight="1">
      <c r="A905" s="256"/>
      <c r="B905" s="256"/>
      <c r="C905" s="256"/>
      <c r="D905" s="256"/>
      <c r="E905" s="256"/>
      <c r="F905" s="256"/>
      <c r="G905" s="256"/>
      <c r="H905" s="256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  <c r="AA905" s="256"/>
      <c r="AB905" s="256"/>
      <c r="AC905" s="256"/>
    </row>
    <row r="906" spans="1:29" ht="15.75" customHeight="1">
      <c r="A906" s="256"/>
      <c r="B906" s="256"/>
      <c r="C906" s="256"/>
      <c r="D906" s="256"/>
      <c r="E906" s="256"/>
      <c r="F906" s="256"/>
      <c r="G906" s="256"/>
      <c r="H906" s="256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  <c r="AA906" s="256"/>
      <c r="AB906" s="256"/>
      <c r="AC906" s="256"/>
    </row>
    <row r="907" spans="1:29" ht="15.75" customHeight="1">
      <c r="A907" s="256"/>
      <c r="B907" s="256"/>
      <c r="C907" s="256"/>
      <c r="D907" s="256"/>
      <c r="E907" s="256"/>
      <c r="F907" s="256"/>
      <c r="G907" s="256"/>
      <c r="H907" s="256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  <c r="AA907" s="256"/>
      <c r="AB907" s="256"/>
      <c r="AC907" s="256"/>
    </row>
    <row r="908" spans="1:29" ht="15.75" customHeight="1">
      <c r="A908" s="256"/>
      <c r="B908" s="256"/>
      <c r="C908" s="256"/>
      <c r="D908" s="256"/>
      <c r="E908" s="256"/>
      <c r="F908" s="256"/>
      <c r="G908" s="256"/>
      <c r="H908" s="256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  <c r="AA908" s="256"/>
      <c r="AB908" s="256"/>
      <c r="AC908" s="256"/>
    </row>
    <row r="909" spans="1:29" ht="15.75" customHeight="1">
      <c r="A909" s="256"/>
      <c r="B909" s="256"/>
      <c r="C909" s="256"/>
      <c r="D909" s="256"/>
      <c r="E909" s="256"/>
      <c r="F909" s="256"/>
      <c r="G909" s="256"/>
      <c r="H909" s="256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  <c r="AA909" s="256"/>
      <c r="AB909" s="256"/>
      <c r="AC909" s="256"/>
    </row>
    <row r="910" spans="1:29" ht="15.75" customHeight="1">
      <c r="A910" s="256"/>
      <c r="B910" s="256"/>
      <c r="C910" s="256"/>
      <c r="D910" s="256"/>
      <c r="E910" s="256"/>
      <c r="F910" s="256"/>
      <c r="G910" s="256"/>
      <c r="H910" s="256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  <c r="AA910" s="256"/>
      <c r="AB910" s="256"/>
      <c r="AC910" s="256"/>
    </row>
    <row r="911" spans="1:29" ht="15.75" customHeight="1">
      <c r="A911" s="256"/>
      <c r="B911" s="256"/>
      <c r="C911" s="256"/>
      <c r="D911" s="256"/>
      <c r="E911" s="256"/>
      <c r="F911" s="256"/>
      <c r="G911" s="256"/>
      <c r="H911" s="256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  <c r="AA911" s="256"/>
      <c r="AB911" s="256"/>
      <c r="AC911" s="256"/>
    </row>
    <row r="912" spans="1:29" ht="15.75" customHeight="1">
      <c r="A912" s="256"/>
      <c r="B912" s="256"/>
      <c r="C912" s="256"/>
      <c r="D912" s="256"/>
      <c r="E912" s="256"/>
      <c r="F912" s="256"/>
      <c r="G912" s="256"/>
      <c r="H912" s="256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  <c r="AA912" s="256"/>
      <c r="AB912" s="256"/>
      <c r="AC912" s="256"/>
    </row>
    <row r="913" spans="1:29" ht="15.75" customHeight="1">
      <c r="A913" s="256"/>
      <c r="B913" s="256"/>
      <c r="C913" s="256"/>
      <c r="D913" s="256"/>
      <c r="E913" s="256"/>
      <c r="F913" s="256"/>
      <c r="G913" s="256"/>
      <c r="H913" s="256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  <c r="AA913" s="256"/>
      <c r="AB913" s="256"/>
      <c r="AC913" s="256"/>
    </row>
    <row r="914" spans="1:29" ht="15.75" customHeight="1">
      <c r="A914" s="256"/>
      <c r="B914" s="256"/>
      <c r="C914" s="256"/>
      <c r="D914" s="256"/>
      <c r="E914" s="256"/>
      <c r="F914" s="256"/>
      <c r="G914" s="256"/>
      <c r="H914" s="256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  <c r="AA914" s="256"/>
      <c r="AB914" s="256"/>
      <c r="AC914" s="256"/>
    </row>
    <row r="915" spans="1:29" ht="15.75" customHeight="1">
      <c r="A915" s="256"/>
      <c r="B915" s="256"/>
      <c r="C915" s="256"/>
      <c r="D915" s="256"/>
      <c r="E915" s="256"/>
      <c r="F915" s="256"/>
      <c r="G915" s="256"/>
      <c r="H915" s="256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  <c r="AA915" s="256"/>
      <c r="AB915" s="256"/>
      <c r="AC915" s="256"/>
    </row>
    <row r="916" spans="1:29" ht="15.75" customHeight="1">
      <c r="A916" s="256"/>
      <c r="B916" s="256"/>
      <c r="C916" s="256"/>
      <c r="D916" s="256"/>
      <c r="E916" s="256"/>
      <c r="F916" s="256"/>
      <c r="G916" s="256"/>
      <c r="H916" s="256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  <c r="AA916" s="256"/>
      <c r="AB916" s="256"/>
      <c r="AC916" s="256"/>
    </row>
    <row r="917" spans="1:29" ht="15.75" customHeight="1">
      <c r="A917" s="256"/>
      <c r="B917" s="256"/>
      <c r="C917" s="256"/>
      <c r="D917" s="256"/>
      <c r="E917" s="256"/>
      <c r="F917" s="256"/>
      <c r="G917" s="256"/>
      <c r="H917" s="256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  <c r="AA917" s="256"/>
      <c r="AB917" s="256"/>
      <c r="AC917" s="256"/>
    </row>
    <row r="918" spans="1:29" ht="15.75" customHeight="1">
      <c r="A918" s="256"/>
      <c r="B918" s="256"/>
      <c r="C918" s="256"/>
      <c r="D918" s="256"/>
      <c r="E918" s="256"/>
      <c r="F918" s="256"/>
      <c r="G918" s="256"/>
      <c r="H918" s="256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  <c r="AA918" s="256"/>
      <c r="AB918" s="256"/>
      <c r="AC918" s="256"/>
    </row>
    <row r="919" spans="1:29" ht="15.75" customHeight="1">
      <c r="A919" s="256"/>
      <c r="B919" s="256"/>
      <c r="C919" s="256"/>
      <c r="D919" s="256"/>
      <c r="E919" s="256"/>
      <c r="F919" s="256"/>
      <c r="G919" s="256"/>
      <c r="H919" s="256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  <c r="AA919" s="256"/>
      <c r="AB919" s="256"/>
      <c r="AC919" s="256"/>
    </row>
    <row r="920" spans="1:29" ht="15.75" customHeight="1">
      <c r="A920" s="256"/>
      <c r="B920" s="256"/>
      <c r="C920" s="256"/>
      <c r="D920" s="256"/>
      <c r="E920" s="256"/>
      <c r="F920" s="256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  <c r="AA920" s="256"/>
      <c r="AB920" s="256"/>
      <c r="AC920" s="256"/>
    </row>
    <row r="921" spans="1:29" ht="15.75" customHeight="1">
      <c r="A921" s="256"/>
      <c r="B921" s="256"/>
      <c r="C921" s="256"/>
      <c r="D921" s="256"/>
      <c r="E921" s="256"/>
      <c r="F921" s="256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  <c r="AA921" s="256"/>
      <c r="AB921" s="256"/>
      <c r="AC921" s="256"/>
    </row>
    <row r="922" spans="1:29" ht="15.75" customHeight="1">
      <c r="A922" s="256"/>
      <c r="B922" s="256"/>
      <c r="C922" s="256"/>
      <c r="D922" s="256"/>
      <c r="E922" s="256"/>
      <c r="F922" s="256"/>
      <c r="G922" s="256"/>
      <c r="H922" s="256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  <c r="AA922" s="256"/>
      <c r="AB922" s="256"/>
      <c r="AC922" s="256"/>
    </row>
    <row r="923" spans="1:29" ht="15.75" customHeight="1">
      <c r="A923" s="256"/>
      <c r="B923" s="256"/>
      <c r="C923" s="256"/>
      <c r="D923" s="256"/>
      <c r="E923" s="256"/>
      <c r="F923" s="256"/>
      <c r="G923" s="256"/>
      <c r="H923" s="256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  <c r="AA923" s="256"/>
      <c r="AB923" s="256"/>
      <c r="AC923" s="256"/>
    </row>
    <row r="924" spans="1:29" ht="15.75" customHeight="1">
      <c r="A924" s="256"/>
      <c r="B924" s="256"/>
      <c r="C924" s="256"/>
      <c r="D924" s="256"/>
      <c r="E924" s="256"/>
      <c r="F924" s="256"/>
      <c r="G924" s="256"/>
      <c r="H924" s="256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  <c r="AA924" s="256"/>
      <c r="AB924" s="256"/>
      <c r="AC924" s="256"/>
    </row>
    <row r="925" spans="1:29" ht="15.75" customHeight="1">
      <c r="A925" s="256"/>
      <c r="B925" s="256"/>
      <c r="C925" s="256"/>
      <c r="D925" s="256"/>
      <c r="E925" s="256"/>
      <c r="F925" s="256"/>
      <c r="G925" s="256"/>
      <c r="H925" s="256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  <c r="AA925" s="256"/>
      <c r="AB925" s="256"/>
      <c r="AC925" s="256"/>
    </row>
    <row r="926" spans="1:29" ht="15.75" customHeight="1">
      <c r="A926" s="256"/>
      <c r="B926" s="256"/>
      <c r="C926" s="256"/>
      <c r="D926" s="256"/>
      <c r="E926" s="256"/>
      <c r="F926" s="256"/>
      <c r="G926" s="256"/>
      <c r="H926" s="256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  <c r="AA926" s="256"/>
      <c r="AB926" s="256"/>
      <c r="AC926" s="256"/>
    </row>
    <row r="927" spans="1:29" ht="15.75" customHeight="1">
      <c r="A927" s="256"/>
      <c r="B927" s="256"/>
      <c r="C927" s="256"/>
      <c r="D927" s="256"/>
      <c r="E927" s="256"/>
      <c r="F927" s="256"/>
      <c r="G927" s="256"/>
      <c r="H927" s="256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  <c r="AA927" s="256"/>
      <c r="AB927" s="256"/>
      <c r="AC927" s="256"/>
    </row>
    <row r="928" spans="1:29" ht="15.75" customHeight="1">
      <c r="A928" s="256"/>
      <c r="B928" s="256"/>
      <c r="C928" s="256"/>
      <c r="D928" s="256"/>
      <c r="E928" s="256"/>
      <c r="F928" s="256"/>
      <c r="G928" s="256"/>
      <c r="H928" s="256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  <c r="AA928" s="256"/>
      <c r="AB928" s="256"/>
      <c r="AC928" s="256"/>
    </row>
    <row r="929" spans="1:29" ht="15.75" customHeight="1">
      <c r="A929" s="256"/>
      <c r="B929" s="256"/>
      <c r="C929" s="256"/>
      <c r="D929" s="256"/>
      <c r="E929" s="256"/>
      <c r="F929" s="256"/>
      <c r="G929" s="256"/>
      <c r="H929" s="256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  <c r="AA929" s="256"/>
      <c r="AB929" s="256"/>
      <c r="AC929" s="256"/>
    </row>
    <row r="930" spans="1:29" ht="15.75" customHeight="1">
      <c r="A930" s="256"/>
      <c r="B930" s="256"/>
      <c r="C930" s="256"/>
      <c r="D930" s="256"/>
      <c r="E930" s="256"/>
      <c r="F930" s="256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  <c r="AA930" s="256"/>
      <c r="AB930" s="256"/>
      <c r="AC930" s="256"/>
    </row>
    <row r="931" spans="1:29" ht="15.75" customHeight="1">
      <c r="A931" s="256"/>
      <c r="B931" s="256"/>
      <c r="C931" s="256"/>
      <c r="D931" s="256"/>
      <c r="E931" s="256"/>
      <c r="F931" s="256"/>
      <c r="G931" s="256"/>
      <c r="H931" s="256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  <c r="AA931" s="256"/>
      <c r="AB931" s="256"/>
      <c r="AC931" s="256"/>
    </row>
    <row r="932" spans="1:29" ht="15.75" customHeight="1">
      <c r="A932" s="256"/>
      <c r="B932" s="256"/>
      <c r="C932" s="256"/>
      <c r="D932" s="256"/>
      <c r="E932" s="256"/>
      <c r="F932" s="256"/>
      <c r="G932" s="256"/>
      <c r="H932" s="256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  <c r="AA932" s="256"/>
      <c r="AB932" s="256"/>
      <c r="AC932" s="256"/>
    </row>
    <row r="933" spans="1:29" ht="15.75" customHeight="1">
      <c r="A933" s="256"/>
      <c r="B933" s="256"/>
      <c r="C933" s="256"/>
      <c r="D933" s="256"/>
      <c r="E933" s="256"/>
      <c r="F933" s="256"/>
      <c r="G933" s="256"/>
      <c r="H933" s="256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  <c r="AA933" s="256"/>
      <c r="AB933" s="256"/>
      <c r="AC933" s="256"/>
    </row>
    <row r="934" spans="1:29" ht="15.75" customHeight="1">
      <c r="A934" s="256"/>
      <c r="B934" s="256"/>
      <c r="C934" s="256"/>
      <c r="D934" s="256"/>
      <c r="E934" s="256"/>
      <c r="F934" s="256"/>
      <c r="G934" s="256"/>
      <c r="H934" s="256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  <c r="AA934" s="256"/>
      <c r="AB934" s="256"/>
      <c r="AC934" s="256"/>
    </row>
    <row r="935" spans="1:29" ht="15.75" customHeight="1">
      <c r="A935" s="256"/>
      <c r="B935" s="256"/>
      <c r="C935" s="256"/>
      <c r="D935" s="256"/>
      <c r="E935" s="256"/>
      <c r="F935" s="256"/>
      <c r="G935" s="256"/>
      <c r="H935" s="256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  <c r="AA935" s="256"/>
      <c r="AB935" s="256"/>
      <c r="AC935" s="256"/>
    </row>
    <row r="936" spans="1:29" ht="15.75" customHeight="1">
      <c r="A936" s="256"/>
      <c r="B936" s="256"/>
      <c r="C936" s="256"/>
      <c r="D936" s="256"/>
      <c r="E936" s="256"/>
      <c r="F936" s="256"/>
      <c r="G936" s="256"/>
      <c r="H936" s="256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  <c r="AA936" s="256"/>
      <c r="AB936" s="256"/>
      <c r="AC936" s="256"/>
    </row>
    <row r="937" spans="1:29" ht="15.75" customHeight="1">
      <c r="A937" s="256"/>
      <c r="B937" s="256"/>
      <c r="C937" s="256"/>
      <c r="D937" s="256"/>
      <c r="E937" s="256"/>
      <c r="F937" s="256"/>
      <c r="G937" s="256"/>
      <c r="H937" s="256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  <c r="AA937" s="256"/>
      <c r="AB937" s="256"/>
      <c r="AC937" s="256"/>
    </row>
    <row r="938" spans="1:29" ht="15.75" customHeight="1">
      <c r="A938" s="256"/>
      <c r="B938" s="256"/>
      <c r="C938" s="256"/>
      <c r="D938" s="256"/>
      <c r="E938" s="256"/>
      <c r="F938" s="256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  <c r="AA938" s="256"/>
      <c r="AB938" s="256"/>
      <c r="AC938" s="256"/>
    </row>
    <row r="939" spans="1:29" ht="15.75" customHeight="1">
      <c r="A939" s="256"/>
      <c r="B939" s="256"/>
      <c r="C939" s="256"/>
      <c r="D939" s="256"/>
      <c r="E939" s="256"/>
      <c r="F939" s="256"/>
      <c r="G939" s="256"/>
      <c r="H939" s="256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  <c r="AA939" s="256"/>
      <c r="AB939" s="256"/>
      <c r="AC939" s="256"/>
    </row>
    <row r="940" spans="1:29" ht="15.75" customHeight="1">
      <c r="A940" s="256"/>
      <c r="B940" s="256"/>
      <c r="C940" s="256"/>
      <c r="D940" s="256"/>
      <c r="E940" s="256"/>
      <c r="F940" s="256"/>
      <c r="G940" s="256"/>
      <c r="H940" s="256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  <c r="AA940" s="256"/>
      <c r="AB940" s="256"/>
      <c r="AC940" s="256"/>
    </row>
    <row r="941" spans="1:29" ht="15.75" customHeight="1">
      <c r="A941" s="256"/>
      <c r="B941" s="256"/>
      <c r="C941" s="256"/>
      <c r="D941" s="256"/>
      <c r="E941" s="256"/>
      <c r="F941" s="256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56"/>
    </row>
  </sheetData>
  <mergeCells count="36">
    <mergeCell ref="F21:G21"/>
    <mergeCell ref="F23:G23"/>
    <mergeCell ref="F25:G25"/>
    <mergeCell ref="K15:K16"/>
    <mergeCell ref="L5:L6"/>
    <mergeCell ref="I15:I16"/>
    <mergeCell ref="K5:K6"/>
    <mergeCell ref="H5:H6"/>
    <mergeCell ref="H15:H16"/>
    <mergeCell ref="G5:G6"/>
    <mergeCell ref="F13:G13"/>
    <mergeCell ref="A14:F14"/>
    <mergeCell ref="L15:L16"/>
    <mergeCell ref="I5:I6"/>
    <mergeCell ref="F5:F6"/>
    <mergeCell ref="E15:E16"/>
    <mergeCell ref="N5:N6"/>
    <mergeCell ref="A3:L3"/>
    <mergeCell ref="D15:D16"/>
    <mergeCell ref="F19:G19"/>
    <mergeCell ref="F20:G20"/>
    <mergeCell ref="C15:C16"/>
    <mergeCell ref="B5:B6"/>
    <mergeCell ref="A15:A16"/>
    <mergeCell ref="A4:J4"/>
    <mergeCell ref="A5:A6"/>
    <mergeCell ref="D5:D6"/>
    <mergeCell ref="C5:C6"/>
    <mergeCell ref="E5:E6"/>
    <mergeCell ref="F15:F16"/>
    <mergeCell ref="A1:L1"/>
    <mergeCell ref="B15:B16"/>
    <mergeCell ref="G15:G16"/>
    <mergeCell ref="J5:J6"/>
    <mergeCell ref="J15:J16"/>
    <mergeCell ref="A2:L2"/>
  </mergeCells>
  <printOptions horizontalCentered="1" verticalCentered="1"/>
  <pageMargins left="0.69930555555555596" right="0.69930555555555596" top="0.75" bottom="0.75" header="0" footer="0"/>
  <pageSetup paperSize="9" scale="6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932"/>
  <sheetViews>
    <sheetView topLeftCell="H10" zoomScale="98" workbookViewId="0">
      <selection activeCell="J8" sqref="J8"/>
    </sheetView>
  </sheetViews>
  <sheetFormatPr defaultColWidth="9.83203125" defaultRowHeight="15" customHeight="1"/>
  <cols>
    <col min="1" max="1" width="3.08203125" style="277" customWidth="1"/>
    <col min="2" max="2" width="17.83203125" style="277" customWidth="1"/>
    <col min="3" max="3" width="22.58203125" style="277" customWidth="1"/>
    <col min="4" max="4" width="34.33203125" style="277" customWidth="1"/>
    <col min="5" max="5" width="22.33203125" style="277" customWidth="1"/>
    <col min="6" max="6" width="14.33203125" style="277" customWidth="1"/>
    <col min="7" max="7" width="11.75" style="277" customWidth="1"/>
    <col min="8" max="8" width="15.83203125" style="277" customWidth="1"/>
    <col min="9" max="9" width="15.83203125" style="278" customWidth="1"/>
    <col min="10" max="10" width="15.83203125" style="277" customWidth="1"/>
    <col min="11" max="11" width="2.33203125" style="277" customWidth="1"/>
    <col min="12" max="17" width="14.25" style="277" customWidth="1"/>
    <col min="18" max="18" width="8.75" style="277" customWidth="1"/>
    <col min="19" max="21" width="13.08203125" style="277" customWidth="1"/>
    <col min="22" max="22" width="10.25" style="277" customWidth="1"/>
    <col min="23" max="27" width="8.75" style="277" customWidth="1"/>
    <col min="28" max="16384" width="9.83203125" style="277"/>
  </cols>
  <sheetData>
    <row r="1" spans="1:27" ht="18" customHeight="1">
      <c r="A1" s="1009" t="s">
        <v>3300</v>
      </c>
      <c r="B1" s="1010"/>
      <c r="C1" s="1010"/>
      <c r="D1" s="1010"/>
      <c r="E1" s="1010"/>
      <c r="F1" s="1010"/>
      <c r="G1" s="1010"/>
      <c r="H1" s="1010"/>
      <c r="I1" s="1010"/>
      <c r="J1" s="1010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</row>
    <row r="2" spans="1:27" ht="18" customHeight="1">
      <c r="A2" s="1013" t="s">
        <v>3268</v>
      </c>
      <c r="B2" s="1010"/>
      <c r="C2" s="1010"/>
      <c r="D2" s="1010"/>
      <c r="E2" s="1010"/>
      <c r="F2" s="1010"/>
      <c r="G2" s="1010"/>
      <c r="H2" s="1010"/>
      <c r="I2" s="1010"/>
      <c r="J2" s="1010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</row>
    <row r="3" spans="1:27" ht="18" customHeight="1">
      <c r="A3" s="1013" t="s">
        <v>3301</v>
      </c>
      <c r="B3" s="1010"/>
      <c r="C3" s="1010"/>
      <c r="D3" s="1010"/>
      <c r="E3" s="1010"/>
      <c r="F3" s="1010"/>
      <c r="G3" s="1010"/>
      <c r="H3" s="1010"/>
      <c r="I3" s="1010"/>
      <c r="J3" s="1010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</row>
    <row r="4" spans="1:27" ht="15" customHeight="1">
      <c r="A4" s="1014" t="s">
        <v>25</v>
      </c>
      <c r="B4" s="1015"/>
      <c r="C4" s="1015"/>
      <c r="D4" s="1015"/>
      <c r="E4" s="1015"/>
      <c r="F4" s="1015"/>
      <c r="G4" s="1015"/>
      <c r="H4" s="1015"/>
      <c r="I4" s="1015"/>
      <c r="J4" s="1015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</row>
    <row r="5" spans="1:27" ht="17.25" customHeight="1">
      <c r="A5" s="1000" t="s">
        <v>3270</v>
      </c>
      <c r="B5" s="1000" t="s">
        <v>3271</v>
      </c>
      <c r="C5" s="1000" t="s">
        <v>3272</v>
      </c>
      <c r="D5" s="1000" t="s">
        <v>3273</v>
      </c>
      <c r="E5" s="1000" t="s">
        <v>3274</v>
      </c>
      <c r="F5" s="1000" t="s">
        <v>3275</v>
      </c>
      <c r="G5" s="1000" t="s">
        <v>13</v>
      </c>
      <c r="H5" s="991" t="s">
        <v>3276</v>
      </c>
      <c r="I5" s="991" t="s">
        <v>3277</v>
      </c>
      <c r="J5" s="1002" t="s">
        <v>21</v>
      </c>
      <c r="K5" s="279"/>
      <c r="L5" s="993" t="s">
        <v>3279</v>
      </c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</row>
    <row r="6" spans="1:27" ht="15" customHeight="1">
      <c r="A6" s="1001"/>
      <c r="B6" s="1001"/>
      <c r="C6" s="1001"/>
      <c r="D6" s="1001"/>
      <c r="E6" s="1001"/>
      <c r="F6" s="1001"/>
      <c r="G6" s="1001"/>
      <c r="H6" s="882"/>
      <c r="I6" s="882"/>
      <c r="J6" s="1003"/>
      <c r="K6" s="279"/>
      <c r="L6" s="993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</row>
    <row r="7" spans="1:27" s="280" customFormat="1" ht="33.75" customHeight="1">
      <c r="A7" s="281">
        <v>1</v>
      </c>
      <c r="B7" s="282" t="s">
        <v>1584</v>
      </c>
      <c r="C7" s="281" t="s">
        <v>1551</v>
      </c>
      <c r="D7" s="281" t="s">
        <v>1580</v>
      </c>
      <c r="E7" s="281" t="s">
        <v>1581</v>
      </c>
      <c r="F7" s="281" t="s">
        <v>1585</v>
      </c>
      <c r="G7" s="283">
        <v>44965</v>
      </c>
      <c r="H7" s="284">
        <v>4510000</v>
      </c>
      <c r="I7" s="284">
        <v>5310000</v>
      </c>
      <c r="J7" s="284">
        <f t="shared" ref="J7:J11" si="0">I7-H7</f>
        <v>800000</v>
      </c>
      <c r="K7" s="285"/>
      <c r="L7" s="256" t="s">
        <v>3281</v>
      </c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</row>
    <row r="8" spans="1:27" s="280" customFormat="1" ht="33.75" customHeight="1">
      <c r="A8" s="281">
        <v>2</v>
      </c>
      <c r="B8" s="282" t="s">
        <v>1591</v>
      </c>
      <c r="C8" s="281" t="s">
        <v>1588</v>
      </c>
      <c r="D8" s="281" t="s">
        <v>1485</v>
      </c>
      <c r="E8" s="281" t="s">
        <v>1587</v>
      </c>
      <c r="F8" s="281" t="s">
        <v>1491</v>
      </c>
      <c r="G8" s="283">
        <v>44970</v>
      </c>
      <c r="H8" s="284">
        <v>3144660</v>
      </c>
      <c r="I8" s="284">
        <v>3994660</v>
      </c>
      <c r="J8" s="284">
        <f t="shared" si="0"/>
        <v>850000</v>
      </c>
      <c r="K8" s="285"/>
      <c r="L8" s="256" t="s">
        <v>3284</v>
      </c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5"/>
    </row>
    <row r="9" spans="1:27" s="280" customFormat="1" ht="33.75" customHeight="1">
      <c r="A9" s="281">
        <v>3</v>
      </c>
      <c r="B9" s="282" t="s">
        <v>1596</v>
      </c>
      <c r="C9" s="281" t="s">
        <v>1588</v>
      </c>
      <c r="D9" s="281" t="s">
        <v>1485</v>
      </c>
      <c r="E9" s="281" t="s">
        <v>1594</v>
      </c>
      <c r="F9" s="281" t="s">
        <v>1491</v>
      </c>
      <c r="G9" s="283">
        <v>44978</v>
      </c>
      <c r="H9" s="284">
        <v>3844660</v>
      </c>
      <c r="I9" s="284">
        <v>5994660</v>
      </c>
      <c r="J9" s="284">
        <f t="shared" si="0"/>
        <v>2150000</v>
      </c>
      <c r="K9" s="285"/>
      <c r="L9" s="256" t="s">
        <v>3284</v>
      </c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5"/>
    </row>
    <row r="10" spans="1:27" s="280" customFormat="1" ht="33.75" customHeight="1">
      <c r="A10" s="281">
        <v>4</v>
      </c>
      <c r="B10" s="282" t="s">
        <v>1601</v>
      </c>
      <c r="C10" s="281" t="s">
        <v>1599</v>
      </c>
      <c r="D10" s="281" t="s">
        <v>749</v>
      </c>
      <c r="E10" s="281" t="s">
        <v>1598</v>
      </c>
      <c r="F10" s="281" t="s">
        <v>1603</v>
      </c>
      <c r="G10" s="283">
        <v>44982</v>
      </c>
      <c r="H10" s="284">
        <v>2232700</v>
      </c>
      <c r="I10" s="284">
        <v>4197700</v>
      </c>
      <c r="J10" s="284">
        <f t="shared" si="0"/>
        <v>1965000</v>
      </c>
      <c r="K10" s="285"/>
      <c r="L10" s="256" t="s">
        <v>3284</v>
      </c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</row>
    <row r="11" spans="1:27" s="280" customFormat="1" ht="33.75" customHeight="1">
      <c r="A11" s="281">
        <v>5</v>
      </c>
      <c r="B11" s="282" t="s">
        <v>1610</v>
      </c>
      <c r="C11" s="281" t="s">
        <v>1588</v>
      </c>
      <c r="D11" s="281" t="s">
        <v>1485</v>
      </c>
      <c r="E11" s="281" t="s">
        <v>1607</v>
      </c>
      <c r="F11" s="281" t="s">
        <v>1491</v>
      </c>
      <c r="G11" s="283">
        <v>44983</v>
      </c>
      <c r="H11" s="284">
        <v>2100000</v>
      </c>
      <c r="I11" s="284">
        <v>2950000</v>
      </c>
      <c r="J11" s="284">
        <f t="shared" si="0"/>
        <v>850000</v>
      </c>
      <c r="K11" s="285"/>
      <c r="L11" s="256" t="s">
        <v>3284</v>
      </c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</row>
    <row r="12" spans="1:27" ht="15" customHeight="1">
      <c r="A12" s="286"/>
      <c r="B12" s="287"/>
      <c r="C12" s="287"/>
      <c r="D12" s="288" t="s">
        <v>3290</v>
      </c>
      <c r="E12" s="286"/>
      <c r="F12" s="1011" t="s">
        <v>3291</v>
      </c>
      <c r="G12" s="1012"/>
      <c r="H12" s="289"/>
      <c r="I12" s="290"/>
      <c r="J12" s="291">
        <f>SUM(J7:J11)</f>
        <v>6615000</v>
      </c>
      <c r="K12" s="292"/>
      <c r="L12" s="256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</row>
    <row r="13" spans="1:27" ht="15" customHeight="1">
      <c r="A13" s="1004" t="s">
        <v>128</v>
      </c>
      <c r="B13" s="1005"/>
      <c r="C13" s="1005"/>
      <c r="D13" s="1005"/>
      <c r="E13" s="1005"/>
      <c r="F13" s="1005"/>
      <c r="G13" s="294"/>
      <c r="H13" s="294"/>
      <c r="I13" s="294"/>
      <c r="J13" s="295"/>
      <c r="K13" s="292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</row>
    <row r="14" spans="1:27" ht="15" customHeight="1">
      <c r="A14" s="1000" t="s">
        <v>3270</v>
      </c>
      <c r="B14" s="1000" t="s">
        <v>3271</v>
      </c>
      <c r="C14" s="1000" t="s">
        <v>3272</v>
      </c>
      <c r="D14" s="1000" t="s">
        <v>3273</v>
      </c>
      <c r="E14" s="1000" t="s">
        <v>3274</v>
      </c>
      <c r="F14" s="1000" t="s">
        <v>3292</v>
      </c>
      <c r="G14" s="1000" t="s">
        <v>13</v>
      </c>
      <c r="H14" s="991" t="s">
        <v>3276</v>
      </c>
      <c r="I14" s="991" t="s">
        <v>3277</v>
      </c>
      <c r="J14" s="1002" t="s">
        <v>21</v>
      </c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</row>
    <row r="15" spans="1:27" ht="15" customHeight="1">
      <c r="A15" s="1001"/>
      <c r="B15" s="1001"/>
      <c r="C15" s="1001"/>
      <c r="D15" s="1001"/>
      <c r="E15" s="1001"/>
      <c r="F15" s="1001"/>
      <c r="G15" s="1001"/>
      <c r="H15" s="882"/>
      <c r="I15" s="882"/>
      <c r="J15" s="1003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</row>
    <row r="16" spans="1:27" s="296" customFormat="1" ht="11.25" customHeight="1">
      <c r="A16" s="297" t="s">
        <v>40</v>
      </c>
      <c r="B16" s="297" t="s">
        <v>40</v>
      </c>
      <c r="C16" s="297" t="s">
        <v>40</v>
      </c>
      <c r="D16" s="297" t="s">
        <v>40</v>
      </c>
      <c r="E16" s="297" t="s">
        <v>40</v>
      </c>
      <c r="F16" s="297" t="s">
        <v>40</v>
      </c>
      <c r="G16" s="297" t="s">
        <v>40</v>
      </c>
      <c r="H16" s="297" t="s">
        <v>40</v>
      </c>
      <c r="I16" s="297" t="s">
        <v>40</v>
      </c>
      <c r="J16" s="298">
        <v>0</v>
      </c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  <c r="AA16" s="279"/>
    </row>
    <row r="17" spans="1:27" ht="15" customHeight="1">
      <c r="A17" s="288"/>
      <c r="B17" s="286"/>
      <c r="C17" s="286"/>
      <c r="D17" s="286"/>
      <c r="E17" s="286"/>
      <c r="F17" s="1006" t="s">
        <v>3295</v>
      </c>
      <c r="G17" s="1005"/>
      <c r="H17" s="293"/>
      <c r="I17" s="300"/>
      <c r="J17" s="301">
        <f>SUM(J16:J16)</f>
        <v>0</v>
      </c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  <c r="AA17" s="279"/>
    </row>
    <row r="18" spans="1:27" ht="15" customHeight="1">
      <c r="A18" s="288"/>
      <c r="B18" s="286"/>
      <c r="C18" s="286"/>
      <c r="D18" s="286"/>
      <c r="E18" s="286"/>
      <c r="F18" s="1007" t="s">
        <v>3296</v>
      </c>
      <c r="G18" s="1008"/>
      <c r="H18" s="302"/>
      <c r="I18" s="303"/>
      <c r="J18" s="304">
        <f>J12+J17</f>
        <v>6615000</v>
      </c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9"/>
      <c r="Y18" s="279"/>
      <c r="Z18" s="279"/>
      <c r="AA18" s="279"/>
    </row>
    <row r="19" spans="1:27" ht="15" customHeight="1">
      <c r="A19" s="288"/>
      <c r="B19" s="286"/>
      <c r="C19" s="286"/>
      <c r="D19" s="286"/>
      <c r="E19" s="286"/>
      <c r="F19" s="1006" t="s">
        <v>3297</v>
      </c>
      <c r="G19" s="1005"/>
      <c r="H19" s="293"/>
      <c r="I19" s="300"/>
      <c r="J19" s="305">
        <v>36000000</v>
      </c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</row>
    <row r="20" spans="1:27" ht="16.5" customHeight="1">
      <c r="A20" s="288"/>
      <c r="B20" s="286"/>
      <c r="C20" s="286"/>
      <c r="D20" s="286"/>
      <c r="E20" s="286"/>
      <c r="F20" s="1006" t="s">
        <v>3302</v>
      </c>
      <c r="G20" s="1005"/>
      <c r="H20" s="293"/>
      <c r="I20" s="300"/>
      <c r="J20" s="301">
        <f>J19-J18</f>
        <v>29385000</v>
      </c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  <c r="AA20" s="279"/>
    </row>
    <row r="21" spans="1:27" ht="15" customHeight="1">
      <c r="A21" s="288"/>
      <c r="B21" s="286"/>
      <c r="C21" s="286"/>
      <c r="D21" s="286"/>
      <c r="E21" s="286"/>
      <c r="F21" s="1006" t="s">
        <v>3298</v>
      </c>
      <c r="G21" s="1005"/>
      <c r="H21" s="293"/>
      <c r="I21" s="300"/>
      <c r="J21" s="301">
        <f>J18*12.5/100</f>
        <v>826875</v>
      </c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79"/>
      <c r="V21" s="279"/>
      <c r="W21" s="279"/>
      <c r="X21" s="279"/>
      <c r="Y21" s="279"/>
      <c r="Z21" s="279"/>
      <c r="AA21" s="279"/>
    </row>
    <row r="22" spans="1:27" ht="6" customHeight="1">
      <c r="A22" s="288"/>
      <c r="B22" s="286"/>
      <c r="C22" s="286"/>
      <c r="D22" s="286"/>
      <c r="E22" s="286"/>
      <c r="F22" s="299"/>
      <c r="G22" s="299"/>
      <c r="H22" s="299"/>
      <c r="I22" s="299"/>
      <c r="J22" s="306"/>
      <c r="K22" s="279"/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279"/>
    </row>
    <row r="23" spans="1:27" ht="15" customHeight="1">
      <c r="A23" s="288"/>
      <c r="B23" s="286"/>
      <c r="C23" s="286"/>
      <c r="D23" s="286"/>
      <c r="E23" s="286"/>
      <c r="F23" s="1007" t="s">
        <v>3299</v>
      </c>
      <c r="G23" s="1008"/>
      <c r="H23" s="302"/>
      <c r="I23" s="303"/>
      <c r="J23" s="304">
        <f>SUM(J21:J21)</f>
        <v>826875</v>
      </c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  <c r="AA23" s="279"/>
    </row>
    <row r="24" spans="1:27" ht="15.75" customHeight="1">
      <c r="A24" s="279"/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</row>
    <row r="25" spans="1:27" ht="15.75" customHeight="1">
      <c r="A25" s="279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  <c r="AA25" s="279"/>
    </row>
    <row r="26" spans="1:27" ht="15.75" customHeight="1">
      <c r="A26" s="279"/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  <c r="AA26" s="279"/>
    </row>
    <row r="27" spans="1:27" ht="15.75" customHeight="1">
      <c r="A27" s="279"/>
      <c r="B27" s="279"/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</row>
    <row r="28" spans="1:27" ht="15.75" customHeight="1">
      <c r="A28" s="279"/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79"/>
    </row>
    <row r="29" spans="1:27" ht="15.75" customHeight="1">
      <c r="A29" s="279"/>
      <c r="B29" s="279"/>
      <c r="C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</row>
    <row r="30" spans="1:27" ht="15.75" customHeight="1">
      <c r="A30" s="279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  <c r="AA30" s="279"/>
    </row>
    <row r="31" spans="1:27" ht="15.75" customHeight="1">
      <c r="A31" s="279"/>
      <c r="B31" s="279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  <c r="AA31" s="279"/>
    </row>
    <row r="32" spans="1:27" ht="15.75" customHeight="1">
      <c r="A32" s="279"/>
      <c r="B32" s="279"/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  <c r="AA32" s="279"/>
    </row>
    <row r="33" spans="1:27" ht="15.75" customHeight="1">
      <c r="A33" s="279"/>
      <c r="B33" s="279"/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</row>
    <row r="34" spans="1:27" ht="15.75" customHeight="1">
      <c r="A34" s="279"/>
      <c r="B34" s="279"/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</row>
    <row r="35" spans="1:27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  <c r="AA35" s="279"/>
    </row>
    <row r="36" spans="1:27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</row>
    <row r="37" spans="1:2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  <c r="AA37" s="279"/>
    </row>
    <row r="38" spans="1:27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  <c r="AA38" s="279"/>
    </row>
    <row r="39" spans="1:27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</row>
    <row r="40" spans="1:27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</row>
    <row r="41" spans="1:27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</row>
    <row r="42" spans="1:27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</row>
    <row r="43" spans="1:27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</row>
    <row r="44" spans="1:27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  <c r="AA44" s="279"/>
    </row>
    <row r="45" spans="1:27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  <c r="AA45" s="279"/>
    </row>
    <row r="46" spans="1:27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  <c r="AA46" s="279"/>
    </row>
    <row r="47" spans="1:2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  <c r="AA47" s="279"/>
    </row>
    <row r="48" spans="1:27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79"/>
    </row>
    <row r="49" spans="1:27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</row>
    <row r="50" spans="1:27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  <c r="AA50" s="279"/>
    </row>
    <row r="51" spans="1:27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  <c r="AA51" s="279"/>
    </row>
    <row r="52" spans="1:27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  <c r="AA52" s="279"/>
    </row>
    <row r="53" spans="1:27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  <c r="AA53" s="279"/>
    </row>
    <row r="54" spans="1:27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  <c r="AA54" s="279"/>
    </row>
    <row r="55" spans="1:27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  <c r="AA55" s="279"/>
    </row>
    <row r="56" spans="1:27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  <c r="AA56" s="279"/>
    </row>
    <row r="57" spans="1:2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  <c r="AA57" s="279"/>
    </row>
    <row r="58" spans="1:27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  <c r="AA58" s="279"/>
    </row>
    <row r="59" spans="1:27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  <c r="AA59" s="279"/>
    </row>
    <row r="60" spans="1:27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  <c r="AA60" s="279"/>
    </row>
    <row r="61" spans="1:27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  <c r="AA61" s="279"/>
    </row>
    <row r="62" spans="1:27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  <c r="AA62" s="279"/>
    </row>
    <row r="63" spans="1:27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  <c r="AA63" s="279"/>
    </row>
    <row r="64" spans="1:27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  <c r="AA64" s="279"/>
    </row>
    <row r="65" spans="1:27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  <c r="AA65" s="279"/>
    </row>
    <row r="66" spans="1:27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</row>
    <row r="67" spans="1:2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  <c r="AA67" s="279"/>
    </row>
    <row r="68" spans="1:27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</row>
    <row r="69" spans="1:27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  <c r="AA69" s="279"/>
    </row>
    <row r="70" spans="1:27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  <c r="AA70" s="279"/>
    </row>
    <row r="71" spans="1:27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  <c r="AA71" s="279"/>
    </row>
    <row r="72" spans="1:27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  <c r="AA72" s="279"/>
    </row>
    <row r="73" spans="1:27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  <c r="AA73" s="279"/>
    </row>
    <row r="74" spans="1:27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  <c r="AA74" s="279"/>
    </row>
    <row r="75" spans="1:27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  <c r="AA75" s="279"/>
    </row>
    <row r="76" spans="1:27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  <c r="AA76" s="279"/>
    </row>
    <row r="77" spans="1:2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  <c r="AA77" s="279"/>
    </row>
    <row r="78" spans="1:27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  <c r="AA78" s="279"/>
    </row>
    <row r="79" spans="1:27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  <c r="AA79" s="279"/>
    </row>
    <row r="80" spans="1:27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  <c r="AA80" s="279"/>
    </row>
    <row r="81" spans="1:27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  <c r="AA81" s="279"/>
    </row>
    <row r="82" spans="1:27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  <c r="AA82" s="279"/>
    </row>
    <row r="83" spans="1:27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  <c r="AA83" s="279"/>
    </row>
    <row r="84" spans="1:27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  <c r="AA84" s="279"/>
    </row>
    <row r="85" spans="1:27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  <c r="AA85" s="279"/>
    </row>
    <row r="86" spans="1:27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  <c r="AA86" s="279"/>
    </row>
    <row r="87" spans="1:2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  <c r="AA87" s="279"/>
    </row>
    <row r="88" spans="1:27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  <c r="AA88" s="279"/>
    </row>
    <row r="89" spans="1:27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  <c r="AA89" s="279"/>
    </row>
    <row r="90" spans="1:27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  <c r="AA90" s="279"/>
    </row>
    <row r="91" spans="1:27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  <c r="AA91" s="279"/>
    </row>
    <row r="92" spans="1:27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  <c r="AA92" s="279"/>
    </row>
    <row r="93" spans="1:27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  <c r="AA93" s="279"/>
    </row>
    <row r="94" spans="1:27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</row>
    <row r="95" spans="1:27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  <c r="AA95" s="279"/>
    </row>
    <row r="96" spans="1:27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  <c r="AA96" s="279"/>
    </row>
    <row r="97" spans="1:2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  <c r="AA97" s="279"/>
    </row>
    <row r="98" spans="1:27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  <c r="AA98" s="279"/>
    </row>
    <row r="99" spans="1:27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  <c r="AA99" s="279"/>
    </row>
    <row r="100" spans="1:27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  <c r="AA100" s="279"/>
    </row>
    <row r="101" spans="1:27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  <c r="AA101" s="279"/>
    </row>
    <row r="102" spans="1:27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  <c r="AA102" s="279"/>
    </row>
    <row r="103" spans="1:27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  <c r="AA103" s="279"/>
    </row>
    <row r="104" spans="1:27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  <c r="AA104" s="279"/>
    </row>
    <row r="105" spans="1:27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  <c r="AA105" s="279"/>
    </row>
    <row r="106" spans="1:27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  <c r="AA106" s="279"/>
    </row>
    <row r="107" spans="1:2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  <c r="AA107" s="279"/>
    </row>
    <row r="108" spans="1:27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  <c r="AA108" s="279"/>
    </row>
    <row r="109" spans="1:27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  <c r="AA109" s="279"/>
    </row>
    <row r="110" spans="1:27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  <c r="AA110" s="279"/>
    </row>
    <row r="111" spans="1:27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  <c r="AA111" s="279"/>
    </row>
    <row r="112" spans="1:27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  <c r="AA112" s="279"/>
    </row>
    <row r="113" spans="1:27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  <c r="AA113" s="279"/>
    </row>
    <row r="114" spans="1:27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  <c r="AA114" s="279"/>
    </row>
    <row r="115" spans="1:27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  <c r="AA115" s="279"/>
    </row>
    <row r="116" spans="1:27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  <c r="AA116" s="279"/>
    </row>
    <row r="117" spans="1:2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  <c r="AA117" s="279"/>
    </row>
    <row r="118" spans="1:27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  <c r="AA118" s="279"/>
    </row>
    <row r="119" spans="1:27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  <c r="AA119" s="279"/>
    </row>
    <row r="120" spans="1:27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  <c r="AA120" s="279"/>
    </row>
    <row r="121" spans="1:27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  <c r="AA121" s="279"/>
    </row>
    <row r="122" spans="1:27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  <c r="AA122" s="279"/>
    </row>
    <row r="123" spans="1:27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  <c r="AA123" s="279"/>
    </row>
    <row r="124" spans="1:27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  <c r="AA124" s="279"/>
    </row>
    <row r="125" spans="1:27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  <c r="AA125" s="279"/>
    </row>
    <row r="126" spans="1:27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  <c r="AA126" s="279"/>
    </row>
    <row r="127" spans="1: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  <c r="AA127" s="279"/>
    </row>
    <row r="128" spans="1:27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  <c r="AA128" s="279"/>
    </row>
    <row r="129" spans="1:27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  <c r="AA129" s="279"/>
    </row>
    <row r="130" spans="1:27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  <c r="AA130" s="279"/>
    </row>
    <row r="131" spans="1:27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  <c r="AA131" s="279"/>
    </row>
    <row r="132" spans="1:27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  <c r="AA132" s="279"/>
    </row>
    <row r="133" spans="1:27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  <c r="AA133" s="279"/>
    </row>
    <row r="134" spans="1:27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  <c r="AA134" s="279"/>
    </row>
    <row r="135" spans="1:27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  <c r="AA135" s="279"/>
    </row>
    <row r="136" spans="1:27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  <c r="AA136" s="279"/>
    </row>
    <row r="137" spans="1:2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  <c r="AA137" s="279"/>
    </row>
    <row r="138" spans="1:27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  <c r="AA138" s="279"/>
    </row>
    <row r="139" spans="1:27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  <c r="AA139" s="279"/>
    </row>
    <row r="140" spans="1:27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  <c r="AA140" s="279"/>
    </row>
    <row r="141" spans="1:27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  <c r="AA141" s="279"/>
    </row>
    <row r="142" spans="1:27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  <c r="AA142" s="279"/>
    </row>
    <row r="143" spans="1:27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  <c r="AA143" s="279"/>
    </row>
    <row r="144" spans="1:27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  <c r="AA144" s="279"/>
    </row>
    <row r="145" spans="1:27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  <c r="AA145" s="279"/>
    </row>
    <row r="146" spans="1:27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  <c r="AA146" s="279"/>
    </row>
    <row r="147" spans="1:2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  <c r="AA147" s="279"/>
    </row>
    <row r="148" spans="1:27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  <c r="AA148" s="279"/>
    </row>
    <row r="149" spans="1:27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  <c r="AA149" s="279"/>
    </row>
    <row r="150" spans="1:27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  <c r="AA150" s="279"/>
    </row>
    <row r="151" spans="1:27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  <c r="AA151" s="279"/>
    </row>
    <row r="152" spans="1:27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  <c r="AA152" s="279"/>
    </row>
    <row r="153" spans="1:27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  <c r="AA153" s="279"/>
    </row>
    <row r="154" spans="1:27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  <c r="AA154" s="279"/>
    </row>
    <row r="155" spans="1:27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  <c r="AA155" s="279"/>
    </row>
    <row r="156" spans="1:27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  <c r="AA156" s="279"/>
    </row>
    <row r="157" spans="1:2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  <c r="AA157" s="279"/>
    </row>
    <row r="158" spans="1:27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  <c r="AA158" s="279"/>
    </row>
    <row r="159" spans="1:27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  <c r="AA159" s="279"/>
    </row>
    <row r="160" spans="1:27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  <c r="AA160" s="279"/>
    </row>
    <row r="161" spans="1:27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  <c r="AA161" s="279"/>
    </row>
    <row r="162" spans="1:27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  <c r="AA162" s="279"/>
    </row>
    <row r="163" spans="1:27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  <c r="AA163" s="279"/>
    </row>
    <row r="164" spans="1:27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  <c r="AA164" s="279"/>
    </row>
    <row r="165" spans="1:27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  <c r="AA165" s="279"/>
    </row>
    <row r="166" spans="1:27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  <c r="AA166" s="279"/>
    </row>
    <row r="167" spans="1:2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  <c r="AA167" s="279"/>
    </row>
    <row r="168" spans="1:27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  <c r="AA168" s="279"/>
    </row>
    <row r="169" spans="1:27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  <c r="AA169" s="279"/>
    </row>
    <row r="170" spans="1:27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  <c r="AA170" s="279"/>
    </row>
    <row r="171" spans="1:27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  <c r="AA171" s="279"/>
    </row>
    <row r="172" spans="1:27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  <c r="AA172" s="279"/>
    </row>
    <row r="173" spans="1:27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  <c r="AA173" s="279"/>
    </row>
    <row r="174" spans="1:27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  <c r="AA174" s="279"/>
    </row>
    <row r="175" spans="1:27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  <c r="AA175" s="279"/>
    </row>
    <row r="176" spans="1:27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  <c r="AA176" s="279"/>
    </row>
    <row r="177" spans="1:2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279"/>
    </row>
    <row r="178" spans="1:27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  <c r="AA178" s="279"/>
    </row>
    <row r="179" spans="1:27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  <c r="AA179" s="279"/>
    </row>
    <row r="180" spans="1:27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  <c r="AA180" s="279"/>
    </row>
    <row r="181" spans="1:27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  <c r="AA181" s="279"/>
    </row>
    <row r="182" spans="1:27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  <c r="AA182" s="279"/>
    </row>
    <row r="183" spans="1:27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  <c r="AA183" s="279"/>
    </row>
    <row r="184" spans="1:27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  <c r="AA184" s="279"/>
    </row>
    <row r="185" spans="1:27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  <c r="AA185" s="279"/>
    </row>
    <row r="186" spans="1:27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  <c r="AA186" s="279"/>
    </row>
    <row r="187" spans="1:2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  <c r="AA187" s="279"/>
    </row>
    <row r="188" spans="1:27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  <c r="AA188" s="279"/>
    </row>
    <row r="189" spans="1:27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  <c r="AA189" s="279"/>
    </row>
    <row r="190" spans="1:27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  <c r="AA190" s="279"/>
    </row>
    <row r="191" spans="1:27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  <c r="AA191" s="279"/>
    </row>
    <row r="192" spans="1:27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  <c r="AA192" s="279"/>
    </row>
    <row r="193" spans="1:27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  <c r="AA193" s="279"/>
    </row>
    <row r="194" spans="1:27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  <c r="AA194" s="279"/>
    </row>
    <row r="195" spans="1:27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  <c r="AA195" s="279"/>
    </row>
    <row r="196" spans="1:27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  <c r="AA196" s="279"/>
    </row>
    <row r="197" spans="1:2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  <c r="AA197" s="279"/>
    </row>
    <row r="198" spans="1:27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  <c r="AA198" s="279"/>
    </row>
    <row r="199" spans="1:27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  <c r="AA199" s="279"/>
    </row>
    <row r="200" spans="1:27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  <c r="AA200" s="279"/>
    </row>
    <row r="201" spans="1:27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  <c r="AA201" s="279"/>
    </row>
    <row r="202" spans="1:27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  <c r="AA202" s="279"/>
    </row>
    <row r="203" spans="1:27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  <c r="AA203" s="279"/>
    </row>
    <row r="204" spans="1:27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  <c r="AA204" s="279"/>
    </row>
    <row r="205" spans="1:27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  <c r="AA205" s="279"/>
    </row>
    <row r="206" spans="1:27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  <c r="AA206" s="279"/>
    </row>
    <row r="207" spans="1:2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  <c r="AA207" s="279"/>
    </row>
    <row r="208" spans="1:27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  <c r="AA208" s="279"/>
    </row>
    <row r="209" spans="1:27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  <c r="AA209" s="279"/>
    </row>
    <row r="210" spans="1:27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  <c r="AA210" s="279"/>
    </row>
    <row r="211" spans="1:27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  <c r="AA211" s="279"/>
    </row>
    <row r="212" spans="1:27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  <c r="AA212" s="279"/>
    </row>
    <row r="213" spans="1:27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  <c r="AA213" s="279"/>
    </row>
    <row r="214" spans="1:27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  <c r="AA214" s="279"/>
    </row>
    <row r="215" spans="1:27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279"/>
    </row>
    <row r="216" spans="1:27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  <c r="AA216" s="279"/>
    </row>
    <row r="217" spans="1:2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  <c r="AA217" s="279"/>
    </row>
    <row r="218" spans="1:27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  <c r="AA218" s="279"/>
    </row>
    <row r="219" spans="1:27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  <c r="AA219" s="279"/>
    </row>
    <row r="220" spans="1:27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  <c r="AA220" s="279"/>
    </row>
    <row r="221" spans="1:27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279"/>
    </row>
    <row r="222" spans="1:27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  <c r="AA222" s="279"/>
    </row>
    <row r="223" spans="1:27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  <c r="AA223" s="279"/>
    </row>
    <row r="224" spans="1:27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  <c r="AA224" s="279"/>
    </row>
    <row r="225" spans="1:27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  <c r="AA225" s="279"/>
    </row>
    <row r="226" spans="1:27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  <c r="AA226" s="279"/>
    </row>
    <row r="227" spans="1: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279"/>
    </row>
    <row r="228" spans="1:27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  <c r="AA228" s="279"/>
    </row>
    <row r="229" spans="1:27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  <c r="AA229" s="279"/>
    </row>
    <row r="230" spans="1:27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  <c r="AA230" s="279"/>
    </row>
    <row r="231" spans="1:27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  <c r="AA231" s="279"/>
    </row>
    <row r="232" spans="1:27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  <c r="AA232" s="279"/>
    </row>
    <row r="233" spans="1:27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  <c r="AA233" s="279"/>
    </row>
    <row r="234" spans="1:27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  <c r="AA234" s="279"/>
    </row>
    <row r="235" spans="1:27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  <c r="AA235" s="279"/>
    </row>
    <row r="236" spans="1:27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  <c r="AA236" s="279"/>
    </row>
    <row r="237" spans="1:2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279"/>
    </row>
    <row r="238" spans="1:27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  <c r="AA238" s="279"/>
    </row>
    <row r="239" spans="1:27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  <c r="AA239" s="279"/>
    </row>
    <row r="240" spans="1:27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  <c r="AA240" s="279"/>
    </row>
    <row r="241" spans="1:27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  <c r="AA241" s="279"/>
    </row>
    <row r="242" spans="1:27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  <c r="AA242" s="279"/>
    </row>
    <row r="243" spans="1:27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  <c r="AA243" s="279"/>
    </row>
    <row r="244" spans="1:27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  <c r="AA244" s="279"/>
    </row>
    <row r="245" spans="1:27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  <c r="AA245" s="279"/>
    </row>
    <row r="246" spans="1:27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  <c r="AA246" s="279"/>
    </row>
    <row r="247" spans="1:2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  <c r="AA247" s="279"/>
    </row>
    <row r="248" spans="1:27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  <c r="AA248" s="279"/>
    </row>
    <row r="249" spans="1:27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  <c r="AA249" s="279"/>
    </row>
    <row r="250" spans="1:27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  <c r="AA250" s="279"/>
    </row>
    <row r="251" spans="1:27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  <c r="AA251" s="279"/>
    </row>
    <row r="252" spans="1:27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  <c r="AA252" s="279"/>
    </row>
    <row r="253" spans="1:27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  <c r="AA253" s="279"/>
    </row>
    <row r="254" spans="1:27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  <c r="AA254" s="279"/>
    </row>
    <row r="255" spans="1:27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  <c r="AA255" s="279"/>
    </row>
    <row r="256" spans="1:27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  <c r="AA256" s="279"/>
    </row>
    <row r="257" spans="1:2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  <c r="AA257" s="279"/>
    </row>
    <row r="258" spans="1:27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  <c r="AA258" s="279"/>
    </row>
    <row r="259" spans="1:27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  <c r="AA259" s="279"/>
    </row>
    <row r="260" spans="1:27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  <c r="AA260" s="279"/>
    </row>
    <row r="261" spans="1:27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  <c r="AA261" s="279"/>
    </row>
    <row r="262" spans="1:27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  <c r="AA262" s="279"/>
    </row>
    <row r="263" spans="1:27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  <c r="AA263" s="279"/>
    </row>
    <row r="264" spans="1:27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  <c r="AA264" s="279"/>
    </row>
    <row r="265" spans="1:27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  <c r="AA265" s="279"/>
    </row>
    <row r="266" spans="1:27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  <c r="AA266" s="279"/>
    </row>
    <row r="267" spans="1:2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  <c r="AA267" s="279"/>
    </row>
    <row r="268" spans="1:27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  <c r="AA268" s="279"/>
    </row>
    <row r="269" spans="1:27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  <c r="AA269" s="279"/>
    </row>
    <row r="270" spans="1:27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  <c r="AA270" s="279"/>
    </row>
    <row r="271" spans="1:27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  <c r="AA271" s="279"/>
    </row>
    <row r="272" spans="1:27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  <c r="AA272" s="279"/>
    </row>
    <row r="273" spans="1:27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  <c r="AA273" s="279"/>
    </row>
    <row r="274" spans="1:27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  <c r="AA274" s="279"/>
    </row>
    <row r="275" spans="1:27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  <c r="AA275" s="279"/>
    </row>
    <row r="276" spans="1:27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  <c r="AA276" s="279"/>
    </row>
    <row r="277" spans="1:2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  <c r="AA277" s="279"/>
    </row>
    <row r="278" spans="1:27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  <c r="AA278" s="279"/>
    </row>
    <row r="279" spans="1:27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  <c r="AA279" s="279"/>
    </row>
    <row r="280" spans="1:27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  <c r="AA280" s="279"/>
    </row>
    <row r="281" spans="1:27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  <c r="AA281" s="279"/>
    </row>
    <row r="282" spans="1:27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  <c r="AA282" s="279"/>
    </row>
    <row r="283" spans="1:27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  <c r="AA283" s="279"/>
    </row>
    <row r="284" spans="1:27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  <c r="AA284" s="279"/>
    </row>
    <row r="285" spans="1:27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  <c r="AA285" s="279"/>
    </row>
    <row r="286" spans="1:27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  <c r="AA286" s="279"/>
    </row>
    <row r="287" spans="1:2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  <c r="AA287" s="279"/>
    </row>
    <row r="288" spans="1:27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  <c r="AA288" s="279"/>
    </row>
    <row r="289" spans="1:27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  <c r="AA289" s="279"/>
    </row>
    <row r="290" spans="1:27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  <c r="AA290" s="279"/>
    </row>
    <row r="291" spans="1:27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  <c r="AA291" s="279"/>
    </row>
    <row r="292" spans="1:27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  <c r="AA292" s="279"/>
    </row>
    <row r="293" spans="1:27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  <c r="AA293" s="279"/>
    </row>
    <row r="294" spans="1:27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  <c r="AA294" s="279"/>
    </row>
    <row r="295" spans="1:27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  <c r="AA295" s="279"/>
    </row>
    <row r="296" spans="1:27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  <c r="AA296" s="279"/>
    </row>
    <row r="297" spans="1:2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  <c r="AA297" s="279"/>
    </row>
    <row r="298" spans="1:27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  <c r="AA298" s="279"/>
    </row>
    <row r="299" spans="1:27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</row>
    <row r="300" spans="1:27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  <c r="AA300" s="279"/>
    </row>
    <row r="301" spans="1:27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  <c r="AA301" s="279"/>
    </row>
    <row r="302" spans="1:27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  <c r="AA302" s="279"/>
    </row>
    <row r="303" spans="1:27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  <c r="AA303" s="279"/>
    </row>
    <row r="304" spans="1:27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  <c r="AA304" s="279"/>
    </row>
    <row r="305" spans="1:27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  <c r="AA305" s="279"/>
    </row>
    <row r="306" spans="1:27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  <c r="AA306" s="279"/>
    </row>
    <row r="307" spans="1:2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</row>
    <row r="308" spans="1:27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  <c r="AA308" s="279"/>
    </row>
    <row r="309" spans="1:27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  <c r="AA309" s="279"/>
    </row>
    <row r="310" spans="1:27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  <c r="AA310" s="279"/>
    </row>
    <row r="311" spans="1:27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  <c r="AA311" s="279"/>
    </row>
    <row r="312" spans="1:27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  <c r="AA312" s="279"/>
    </row>
    <row r="313" spans="1:27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  <c r="AA313" s="279"/>
    </row>
    <row r="314" spans="1:27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  <c r="AA314" s="279"/>
    </row>
    <row r="315" spans="1:27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  <c r="AA315" s="279"/>
    </row>
    <row r="316" spans="1:27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  <c r="AA316" s="279"/>
    </row>
    <row r="317" spans="1:2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  <c r="AA317" s="279"/>
    </row>
    <row r="318" spans="1:27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  <c r="AA318" s="279"/>
    </row>
    <row r="319" spans="1:27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  <c r="AA319" s="279"/>
    </row>
    <row r="320" spans="1:27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  <c r="AA320" s="279"/>
    </row>
    <row r="321" spans="1:27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  <c r="AA321" s="279"/>
    </row>
    <row r="322" spans="1:27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  <c r="AA322" s="279"/>
    </row>
    <row r="323" spans="1:27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  <c r="AA323" s="279"/>
    </row>
    <row r="324" spans="1:27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  <c r="AA324" s="279"/>
    </row>
    <row r="325" spans="1:27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  <c r="AA325" s="279"/>
    </row>
    <row r="326" spans="1:27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  <c r="AA326" s="279"/>
    </row>
    <row r="327" spans="1: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  <c r="AA327" s="279"/>
    </row>
    <row r="328" spans="1:27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  <c r="AA328" s="279"/>
    </row>
    <row r="329" spans="1:27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  <c r="AA329" s="279"/>
    </row>
    <row r="330" spans="1:27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  <c r="AA330" s="279"/>
    </row>
    <row r="331" spans="1:27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  <c r="AA331" s="279"/>
    </row>
    <row r="332" spans="1:27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  <c r="AA332" s="279"/>
    </row>
    <row r="333" spans="1:27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  <c r="AA333" s="279"/>
    </row>
    <row r="334" spans="1:27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  <c r="AA334" s="279"/>
    </row>
    <row r="335" spans="1:27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  <c r="AA335" s="279"/>
    </row>
    <row r="336" spans="1:27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  <c r="AA336" s="279"/>
    </row>
    <row r="337" spans="1:2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  <c r="AA337" s="279"/>
    </row>
    <row r="338" spans="1:27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  <c r="AA338" s="279"/>
    </row>
    <row r="339" spans="1:27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  <c r="AA339" s="279"/>
    </row>
    <row r="340" spans="1:27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  <c r="AA340" s="279"/>
    </row>
    <row r="341" spans="1:27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  <c r="AA341" s="279"/>
    </row>
    <row r="342" spans="1:27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  <c r="AA342" s="279"/>
    </row>
    <row r="343" spans="1:27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  <c r="AA343" s="279"/>
    </row>
    <row r="344" spans="1:27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  <c r="AA344" s="279"/>
    </row>
    <row r="345" spans="1:27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  <c r="AA345" s="279"/>
    </row>
    <row r="346" spans="1:27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  <c r="AA346" s="279"/>
    </row>
    <row r="347" spans="1:2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  <c r="AA347" s="279"/>
    </row>
    <row r="348" spans="1:27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  <c r="AA348" s="279"/>
    </row>
    <row r="349" spans="1:27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  <c r="AA349" s="279"/>
    </row>
    <row r="350" spans="1:27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  <c r="AA350" s="279"/>
    </row>
    <row r="351" spans="1:27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  <c r="AA351" s="279"/>
    </row>
    <row r="352" spans="1:27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  <c r="AA352" s="279"/>
    </row>
    <row r="353" spans="1:27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  <c r="AA353" s="279"/>
    </row>
    <row r="354" spans="1:27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  <c r="AA354" s="279"/>
    </row>
    <row r="355" spans="1:27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  <c r="AA355" s="279"/>
    </row>
    <row r="356" spans="1:27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  <c r="AA356" s="279"/>
    </row>
    <row r="357" spans="1:2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  <c r="AA357" s="279"/>
    </row>
    <row r="358" spans="1:27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  <c r="AA358" s="279"/>
    </row>
    <row r="359" spans="1:27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  <c r="AA359" s="279"/>
    </row>
    <row r="360" spans="1:27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  <c r="AA360" s="279"/>
    </row>
    <row r="361" spans="1:27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  <c r="AA361" s="279"/>
    </row>
    <row r="362" spans="1:27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  <c r="AA362" s="279"/>
    </row>
    <row r="363" spans="1:27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  <c r="AA363" s="279"/>
    </row>
    <row r="364" spans="1:27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</row>
    <row r="365" spans="1:27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  <c r="AA365" s="279"/>
    </row>
    <row r="366" spans="1:27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  <c r="AA366" s="279"/>
    </row>
    <row r="367" spans="1:2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</row>
    <row r="368" spans="1:27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  <c r="AA368" s="279"/>
    </row>
    <row r="369" spans="1:27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  <c r="AA369" s="279"/>
    </row>
    <row r="370" spans="1:27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  <c r="AA370" s="279"/>
    </row>
    <row r="371" spans="1:27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  <c r="AA371" s="279"/>
    </row>
    <row r="372" spans="1:27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  <c r="AA372" s="279"/>
    </row>
    <row r="373" spans="1:27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  <c r="AA373" s="279"/>
    </row>
    <row r="374" spans="1:27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  <c r="AA374" s="279"/>
    </row>
    <row r="375" spans="1:27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  <c r="AA375" s="279"/>
    </row>
    <row r="376" spans="1:27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  <c r="AA376" s="279"/>
    </row>
    <row r="377" spans="1:2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  <c r="AA377" s="279"/>
    </row>
    <row r="378" spans="1:27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  <c r="AA378" s="279"/>
    </row>
    <row r="379" spans="1:27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  <c r="AA379" s="279"/>
    </row>
    <row r="380" spans="1:27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  <c r="AA380" s="279"/>
    </row>
    <row r="381" spans="1:27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  <c r="AA381" s="279"/>
    </row>
    <row r="382" spans="1:27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  <c r="AA382" s="279"/>
    </row>
    <row r="383" spans="1:27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  <c r="AA383" s="279"/>
    </row>
    <row r="384" spans="1:27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  <c r="AA384" s="279"/>
    </row>
    <row r="385" spans="1:27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  <c r="AA385" s="279"/>
    </row>
    <row r="386" spans="1:27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  <c r="AA386" s="279"/>
    </row>
    <row r="387" spans="1:2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  <c r="AA387" s="279"/>
    </row>
    <row r="388" spans="1:27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  <c r="AA388" s="279"/>
    </row>
    <row r="389" spans="1:27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  <c r="AA389" s="279"/>
    </row>
    <row r="390" spans="1:27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  <c r="AA390" s="279"/>
    </row>
    <row r="391" spans="1:27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  <c r="AA391" s="279"/>
    </row>
    <row r="392" spans="1:27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  <c r="AA392" s="279"/>
    </row>
    <row r="393" spans="1:27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  <c r="AA393" s="279"/>
    </row>
    <row r="394" spans="1:27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  <c r="AA394" s="279"/>
    </row>
    <row r="395" spans="1:27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  <c r="AA395" s="279"/>
    </row>
    <row r="396" spans="1:27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  <c r="AA396" s="279"/>
    </row>
    <row r="397" spans="1:2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  <c r="AA397" s="279"/>
    </row>
    <row r="398" spans="1:27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  <c r="AA398" s="279"/>
    </row>
    <row r="399" spans="1:27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  <c r="AA399" s="279"/>
    </row>
    <row r="400" spans="1:27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  <c r="AA400" s="279"/>
    </row>
    <row r="401" spans="1:27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  <c r="AA401" s="279"/>
    </row>
    <row r="402" spans="1:27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  <c r="AA402" s="279"/>
    </row>
    <row r="403" spans="1:27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  <c r="AA403" s="279"/>
    </row>
    <row r="404" spans="1:27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  <c r="AA404" s="279"/>
    </row>
    <row r="405" spans="1:27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  <c r="AA405" s="279"/>
    </row>
    <row r="406" spans="1:27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  <c r="AA406" s="279"/>
    </row>
    <row r="407" spans="1:2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  <c r="AA407" s="279"/>
    </row>
    <row r="408" spans="1:27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  <c r="AA408" s="279"/>
    </row>
    <row r="409" spans="1:27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  <c r="AA409" s="279"/>
    </row>
    <row r="410" spans="1:27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  <c r="AA410" s="279"/>
    </row>
    <row r="411" spans="1:27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  <c r="AA411" s="279"/>
    </row>
    <row r="412" spans="1:27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  <c r="AA412" s="279"/>
    </row>
    <row r="413" spans="1:27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  <c r="AA413" s="279"/>
    </row>
    <row r="414" spans="1:27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  <c r="AA414" s="279"/>
    </row>
    <row r="415" spans="1:27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  <c r="AA415" s="279"/>
    </row>
    <row r="416" spans="1:27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  <c r="AA416" s="279"/>
    </row>
    <row r="417" spans="1:2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  <c r="AA417" s="279"/>
    </row>
    <row r="418" spans="1:27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  <c r="AA418" s="279"/>
    </row>
    <row r="419" spans="1:27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  <c r="AA419" s="279"/>
    </row>
    <row r="420" spans="1:27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  <c r="AA420" s="279"/>
    </row>
    <row r="421" spans="1:27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  <c r="AA421" s="279"/>
    </row>
    <row r="422" spans="1:27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  <c r="AA422" s="279"/>
    </row>
    <row r="423" spans="1:27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  <c r="AA423" s="279"/>
    </row>
    <row r="424" spans="1:27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  <c r="AA424" s="279"/>
    </row>
    <row r="425" spans="1:27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  <c r="AA425" s="279"/>
    </row>
    <row r="426" spans="1:27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  <c r="AA426" s="279"/>
    </row>
    <row r="427" spans="1: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  <c r="AA427" s="279"/>
    </row>
    <row r="428" spans="1:27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  <c r="AA428" s="279"/>
    </row>
    <row r="429" spans="1:27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  <c r="AA429" s="279"/>
    </row>
    <row r="430" spans="1:27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  <c r="AA430" s="279"/>
    </row>
    <row r="431" spans="1:27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  <c r="AA431" s="279"/>
    </row>
    <row r="432" spans="1:27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  <c r="AA432" s="279"/>
    </row>
    <row r="433" spans="1:27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  <c r="AA433" s="279"/>
    </row>
    <row r="434" spans="1:27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  <c r="AA434" s="279"/>
    </row>
    <row r="435" spans="1:27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  <c r="AA435" s="279"/>
    </row>
    <row r="436" spans="1:27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  <c r="AA436" s="279"/>
    </row>
    <row r="437" spans="1:2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  <c r="AA437" s="279"/>
    </row>
    <row r="438" spans="1:27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  <c r="AA438" s="279"/>
    </row>
    <row r="439" spans="1:27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  <c r="AA439" s="279"/>
    </row>
    <row r="440" spans="1:27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  <c r="AA440" s="279"/>
    </row>
    <row r="441" spans="1:27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  <c r="AA441" s="279"/>
    </row>
    <row r="442" spans="1:27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  <c r="AA442" s="279"/>
    </row>
    <row r="443" spans="1:27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  <c r="AA443" s="279"/>
    </row>
    <row r="444" spans="1:27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  <c r="AA444" s="279"/>
    </row>
    <row r="445" spans="1:27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  <c r="AA445" s="279"/>
    </row>
    <row r="446" spans="1:27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  <c r="AA446" s="279"/>
    </row>
    <row r="447" spans="1:2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  <c r="AA447" s="279"/>
    </row>
    <row r="448" spans="1:27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  <c r="AA448" s="279"/>
    </row>
    <row r="449" spans="1:27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  <c r="AA449" s="279"/>
    </row>
    <row r="450" spans="1:27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  <c r="AA450" s="279"/>
    </row>
    <row r="451" spans="1:27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  <c r="AA451" s="279"/>
    </row>
    <row r="452" spans="1:27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  <c r="AA452" s="279"/>
    </row>
    <row r="453" spans="1:27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  <c r="AA453" s="279"/>
    </row>
    <row r="454" spans="1:27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  <c r="AA454" s="279"/>
    </row>
    <row r="455" spans="1:27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  <c r="AA455" s="279"/>
    </row>
    <row r="456" spans="1:27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  <c r="AA456" s="279"/>
    </row>
    <row r="457" spans="1:2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  <c r="AA457" s="279"/>
    </row>
    <row r="458" spans="1:27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  <c r="AA458" s="279"/>
    </row>
    <row r="459" spans="1:27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  <c r="AA459" s="279"/>
    </row>
    <row r="460" spans="1:27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  <c r="AA460" s="279"/>
    </row>
    <row r="461" spans="1:27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  <c r="AA461" s="279"/>
    </row>
    <row r="462" spans="1:27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  <c r="AA462" s="279"/>
    </row>
    <row r="463" spans="1:27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  <c r="AA463" s="279"/>
    </row>
    <row r="464" spans="1:27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  <c r="AA464" s="279"/>
    </row>
    <row r="465" spans="1:27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  <c r="AA465" s="279"/>
    </row>
    <row r="466" spans="1:27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  <c r="AA466" s="279"/>
    </row>
    <row r="467" spans="1:2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  <c r="AA467" s="279"/>
    </row>
    <row r="468" spans="1:27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  <c r="AA468" s="279"/>
    </row>
    <row r="469" spans="1:27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  <c r="AA469" s="279"/>
    </row>
    <row r="470" spans="1:27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  <c r="AA470" s="279"/>
    </row>
    <row r="471" spans="1:27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  <c r="AA471" s="279"/>
    </row>
    <row r="472" spans="1:27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  <c r="AA472" s="279"/>
    </row>
    <row r="473" spans="1:27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  <c r="AA473" s="279"/>
    </row>
    <row r="474" spans="1:27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  <c r="AA474" s="279"/>
    </row>
    <row r="475" spans="1:27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  <c r="AA475" s="279"/>
    </row>
    <row r="476" spans="1:27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  <c r="AA476" s="279"/>
    </row>
    <row r="477" spans="1:2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  <c r="AA477" s="279"/>
    </row>
    <row r="478" spans="1:27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  <c r="AA478" s="279"/>
    </row>
    <row r="479" spans="1:27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  <c r="AA479" s="279"/>
    </row>
    <row r="480" spans="1:27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  <c r="AA480" s="279"/>
    </row>
    <row r="481" spans="1:27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  <c r="AA481" s="279"/>
    </row>
    <row r="482" spans="1:27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  <c r="AA482" s="279"/>
    </row>
    <row r="483" spans="1:27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  <c r="AA483" s="279"/>
    </row>
    <row r="484" spans="1:27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  <c r="AA484" s="279"/>
    </row>
    <row r="485" spans="1:27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  <c r="AA485" s="279"/>
    </row>
    <row r="486" spans="1:27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  <c r="AA486" s="279"/>
    </row>
    <row r="487" spans="1:2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  <c r="AA487" s="279"/>
    </row>
    <row r="488" spans="1:27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  <c r="AA488" s="279"/>
    </row>
    <row r="489" spans="1:27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  <c r="AA489" s="279"/>
    </row>
    <row r="490" spans="1:27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  <c r="AA490" s="279"/>
    </row>
    <row r="491" spans="1:27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  <c r="AA491" s="279"/>
    </row>
    <row r="492" spans="1:27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  <c r="AA492" s="279"/>
    </row>
    <row r="493" spans="1:27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  <c r="AA493" s="279"/>
    </row>
    <row r="494" spans="1:27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  <c r="AA494" s="279"/>
    </row>
    <row r="495" spans="1:27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  <c r="AA495" s="279"/>
    </row>
    <row r="496" spans="1:27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  <c r="AA496" s="279"/>
    </row>
    <row r="497" spans="1:2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  <c r="AA497" s="279"/>
    </row>
    <row r="498" spans="1:27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  <c r="AA498" s="279"/>
    </row>
    <row r="499" spans="1:27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  <c r="AA499" s="279"/>
    </row>
    <row r="500" spans="1:27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  <c r="AA500" s="279"/>
    </row>
    <row r="501" spans="1:27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  <c r="AA501" s="279"/>
    </row>
    <row r="502" spans="1:27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  <c r="AA502" s="279"/>
    </row>
    <row r="503" spans="1:27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  <c r="AA503" s="279"/>
    </row>
    <row r="504" spans="1:27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  <c r="AA504" s="279"/>
    </row>
    <row r="505" spans="1:27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  <c r="AA505" s="279"/>
    </row>
    <row r="506" spans="1:27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  <c r="AA506" s="279"/>
    </row>
    <row r="507" spans="1:2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  <c r="AA507" s="279"/>
    </row>
    <row r="508" spans="1:27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  <c r="AA508" s="279"/>
    </row>
    <row r="509" spans="1:27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  <c r="AA509" s="279"/>
    </row>
    <row r="510" spans="1:27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  <c r="AA510" s="279"/>
    </row>
    <row r="511" spans="1:27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  <c r="AA511" s="279"/>
    </row>
    <row r="512" spans="1:27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  <c r="AA512" s="279"/>
    </row>
    <row r="513" spans="1:27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  <c r="AA513" s="279"/>
    </row>
    <row r="514" spans="1:27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  <c r="AA514" s="279"/>
    </row>
    <row r="515" spans="1:27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  <c r="AA515" s="279"/>
    </row>
    <row r="516" spans="1:27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  <c r="AA516" s="279"/>
    </row>
    <row r="517" spans="1:2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  <c r="AA517" s="279"/>
    </row>
    <row r="518" spans="1:27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  <c r="AA518" s="279"/>
    </row>
    <row r="519" spans="1:27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  <c r="AA519" s="279"/>
    </row>
    <row r="520" spans="1:27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  <c r="AA520" s="279"/>
    </row>
    <row r="521" spans="1:27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  <c r="AA521" s="279"/>
    </row>
    <row r="522" spans="1:27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  <c r="AA522" s="279"/>
    </row>
    <row r="523" spans="1:27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  <c r="AA523" s="279"/>
    </row>
    <row r="524" spans="1:27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  <c r="AA524" s="279"/>
    </row>
    <row r="525" spans="1:27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  <c r="AA525" s="279"/>
    </row>
    <row r="526" spans="1:27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  <c r="AA526" s="279"/>
    </row>
    <row r="527" spans="1: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  <c r="AA527" s="279"/>
    </row>
    <row r="528" spans="1:27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  <c r="AA528" s="279"/>
    </row>
    <row r="529" spans="1:27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  <c r="AA529" s="279"/>
    </row>
    <row r="530" spans="1:27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  <c r="AA530" s="279"/>
    </row>
    <row r="531" spans="1:27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  <c r="AA531" s="279"/>
    </row>
    <row r="532" spans="1:27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  <c r="AA532" s="279"/>
    </row>
    <row r="533" spans="1:27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  <c r="AA533" s="279"/>
    </row>
    <row r="534" spans="1:27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  <c r="AA534" s="279"/>
    </row>
    <row r="535" spans="1:27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  <c r="AA535" s="279"/>
    </row>
    <row r="536" spans="1:27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  <c r="AA536" s="279"/>
    </row>
    <row r="537" spans="1:2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  <c r="AA537" s="279"/>
    </row>
    <row r="538" spans="1:27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  <c r="AA538" s="279"/>
    </row>
    <row r="539" spans="1:27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  <c r="AA539" s="279"/>
    </row>
    <row r="540" spans="1:27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  <c r="AA540" s="279"/>
    </row>
    <row r="541" spans="1:27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  <c r="AA541" s="279"/>
    </row>
    <row r="542" spans="1:27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  <c r="AA542" s="279"/>
    </row>
    <row r="543" spans="1:27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  <c r="AA543" s="279"/>
    </row>
    <row r="544" spans="1:27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  <c r="AA544" s="279"/>
    </row>
    <row r="545" spans="1:27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  <c r="AA545" s="279"/>
    </row>
    <row r="546" spans="1:27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  <c r="AA546" s="279"/>
    </row>
    <row r="547" spans="1:2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  <c r="AA547" s="279"/>
    </row>
    <row r="548" spans="1:27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  <c r="AA548" s="279"/>
    </row>
    <row r="549" spans="1:27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  <c r="AA549" s="279"/>
    </row>
    <row r="550" spans="1:27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  <c r="AA550" s="279"/>
    </row>
    <row r="551" spans="1:27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  <c r="AA551" s="279"/>
    </row>
    <row r="552" spans="1:27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  <c r="AA552" s="279"/>
    </row>
    <row r="553" spans="1:27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  <c r="AA553" s="279"/>
    </row>
    <row r="554" spans="1:27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  <c r="AA554" s="279"/>
    </row>
    <row r="555" spans="1:27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  <c r="AA555" s="279"/>
    </row>
    <row r="556" spans="1:27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  <c r="AA556" s="279"/>
    </row>
    <row r="557" spans="1:2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  <c r="AA557" s="279"/>
    </row>
    <row r="558" spans="1:27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  <c r="AA558" s="279"/>
    </row>
    <row r="559" spans="1:27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  <c r="AA559" s="279"/>
    </row>
    <row r="560" spans="1:27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  <c r="AA560" s="279"/>
    </row>
    <row r="561" spans="1:27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  <c r="AA561" s="279"/>
    </row>
    <row r="562" spans="1:27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  <c r="AA562" s="279"/>
    </row>
    <row r="563" spans="1:27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  <c r="AA563" s="279"/>
    </row>
    <row r="564" spans="1:27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  <c r="AA564" s="279"/>
    </row>
    <row r="565" spans="1:27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  <c r="AA565" s="279"/>
    </row>
    <row r="566" spans="1:27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  <c r="AA566" s="279"/>
    </row>
    <row r="567" spans="1:2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  <c r="AA567" s="279"/>
    </row>
    <row r="568" spans="1:27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  <c r="AA568" s="279"/>
    </row>
    <row r="569" spans="1:27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  <c r="AA569" s="279"/>
    </row>
    <row r="570" spans="1:27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  <c r="AA570" s="279"/>
    </row>
    <row r="571" spans="1:27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  <c r="AA571" s="279"/>
    </row>
    <row r="572" spans="1:27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  <c r="AA572" s="279"/>
    </row>
    <row r="573" spans="1:27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  <c r="AA573" s="279"/>
    </row>
    <row r="574" spans="1:27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  <c r="AA574" s="279"/>
    </row>
    <row r="575" spans="1:27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  <c r="AA575" s="279"/>
    </row>
    <row r="576" spans="1:27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  <c r="AA576" s="279"/>
    </row>
    <row r="577" spans="1:2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  <c r="AA577" s="279"/>
    </row>
    <row r="578" spans="1:27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  <c r="AA578" s="279"/>
    </row>
    <row r="579" spans="1:27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  <c r="AA579" s="279"/>
    </row>
    <row r="580" spans="1:27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  <c r="AA580" s="279"/>
    </row>
    <row r="581" spans="1:27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  <c r="AA581" s="279"/>
    </row>
    <row r="582" spans="1:27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  <c r="AA582" s="279"/>
    </row>
    <row r="583" spans="1:27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  <c r="AA583" s="279"/>
    </row>
    <row r="584" spans="1:27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  <c r="AA584" s="279"/>
    </row>
    <row r="585" spans="1:27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  <c r="AA585" s="279"/>
    </row>
    <row r="586" spans="1:27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  <c r="AA586" s="279"/>
    </row>
    <row r="587" spans="1:2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  <c r="AA587" s="279"/>
    </row>
    <row r="588" spans="1:27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  <c r="AA588" s="279"/>
    </row>
    <row r="589" spans="1:27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  <c r="AA589" s="279"/>
    </row>
    <row r="590" spans="1:27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  <c r="AA590" s="279"/>
    </row>
    <row r="591" spans="1:27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  <c r="AA591" s="279"/>
    </row>
    <row r="592" spans="1:27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  <c r="AA592" s="279"/>
    </row>
    <row r="593" spans="1:27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  <c r="AA593" s="279"/>
    </row>
    <row r="594" spans="1:27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  <c r="AA594" s="279"/>
    </row>
    <row r="595" spans="1:27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  <c r="AA595" s="279"/>
    </row>
    <row r="596" spans="1:27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  <c r="AA596" s="279"/>
    </row>
    <row r="597" spans="1:2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  <c r="AA597" s="279"/>
    </row>
    <row r="598" spans="1:27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  <c r="AA598" s="279"/>
    </row>
    <row r="599" spans="1:27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  <c r="AA599" s="279"/>
    </row>
    <row r="600" spans="1:27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  <c r="AA600" s="279"/>
    </row>
    <row r="601" spans="1:27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  <c r="AA601" s="279"/>
    </row>
    <row r="602" spans="1:27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  <c r="AA602" s="279"/>
    </row>
    <row r="603" spans="1:27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  <c r="AA603" s="279"/>
    </row>
    <row r="604" spans="1:27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  <c r="AA604" s="279"/>
    </row>
    <row r="605" spans="1:27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  <c r="AA605" s="279"/>
    </row>
    <row r="606" spans="1:27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  <c r="AA606" s="279"/>
    </row>
    <row r="607" spans="1:2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  <c r="AA607" s="279"/>
    </row>
    <row r="608" spans="1:27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  <c r="AA608" s="279"/>
    </row>
    <row r="609" spans="1:27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  <c r="AA609" s="279"/>
    </row>
    <row r="610" spans="1:27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  <c r="AA610" s="279"/>
    </row>
    <row r="611" spans="1:27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  <c r="AA611" s="279"/>
    </row>
    <row r="612" spans="1:27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  <c r="AA612" s="279"/>
    </row>
    <row r="613" spans="1:27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  <c r="AA613" s="279"/>
    </row>
    <row r="614" spans="1:27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  <c r="AA614" s="279"/>
    </row>
    <row r="615" spans="1:27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  <c r="AA615" s="279"/>
    </row>
    <row r="616" spans="1:27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  <c r="AA616" s="279"/>
    </row>
    <row r="617" spans="1:2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  <c r="AA617" s="279"/>
    </row>
    <row r="618" spans="1:27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  <c r="AA618" s="279"/>
    </row>
    <row r="619" spans="1:27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  <c r="AA619" s="279"/>
    </row>
    <row r="620" spans="1:27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  <c r="AA620" s="279"/>
    </row>
    <row r="621" spans="1:27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  <c r="AA621" s="279"/>
    </row>
    <row r="622" spans="1:27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  <c r="AA622" s="279"/>
    </row>
    <row r="623" spans="1:27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  <c r="AA623" s="279"/>
    </row>
    <row r="624" spans="1:27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  <c r="AA624" s="279"/>
    </row>
    <row r="625" spans="1:27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  <c r="AA625" s="279"/>
    </row>
    <row r="626" spans="1:27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  <c r="AA626" s="279"/>
    </row>
    <row r="627" spans="1: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  <c r="AA627" s="279"/>
    </row>
    <row r="628" spans="1:27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  <c r="AA628" s="279"/>
    </row>
    <row r="629" spans="1:27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  <c r="AA629" s="279"/>
    </row>
    <row r="630" spans="1:27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  <c r="AA630" s="279"/>
    </row>
    <row r="631" spans="1:27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  <c r="AA631" s="279"/>
    </row>
    <row r="632" spans="1:27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  <c r="AA632" s="279"/>
    </row>
    <row r="633" spans="1:27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  <c r="AA633" s="279"/>
    </row>
    <row r="634" spans="1:27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  <c r="AA634" s="279"/>
    </row>
    <row r="635" spans="1:27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  <c r="AA635" s="279"/>
    </row>
    <row r="636" spans="1:27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  <c r="AA636" s="279"/>
    </row>
    <row r="637" spans="1:2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  <c r="AA637" s="279"/>
    </row>
    <row r="638" spans="1:27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  <c r="AA638" s="279"/>
    </row>
    <row r="639" spans="1:27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  <c r="AA639" s="279"/>
    </row>
    <row r="640" spans="1:27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  <c r="AA640" s="279"/>
    </row>
    <row r="641" spans="1:27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  <c r="AA641" s="279"/>
    </row>
    <row r="642" spans="1:27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  <c r="AA642" s="279"/>
    </row>
    <row r="643" spans="1:27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  <c r="AA643" s="279"/>
    </row>
    <row r="644" spans="1:27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  <c r="AA644" s="279"/>
    </row>
    <row r="645" spans="1:27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  <c r="AA645" s="279"/>
    </row>
    <row r="646" spans="1:27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  <c r="AA646" s="279"/>
    </row>
    <row r="647" spans="1:2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  <c r="AA647" s="279"/>
    </row>
    <row r="648" spans="1:27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  <c r="AA648" s="279"/>
    </row>
    <row r="649" spans="1:27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  <c r="AA649" s="279"/>
    </row>
    <row r="650" spans="1:27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  <c r="AA650" s="279"/>
    </row>
    <row r="651" spans="1:27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  <c r="AA651" s="279"/>
    </row>
    <row r="652" spans="1:27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  <c r="AA652" s="279"/>
    </row>
    <row r="653" spans="1:27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  <c r="AA653" s="279"/>
    </row>
    <row r="654" spans="1:27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  <c r="AA654" s="279"/>
    </row>
    <row r="655" spans="1:27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  <c r="AA655" s="279"/>
    </row>
    <row r="656" spans="1:27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  <c r="AA656" s="279"/>
    </row>
    <row r="657" spans="1:2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  <c r="AA657" s="279"/>
    </row>
    <row r="658" spans="1:27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  <c r="AA658" s="279"/>
    </row>
    <row r="659" spans="1:27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  <c r="AA659" s="279"/>
    </row>
    <row r="660" spans="1:27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  <c r="AA660" s="279"/>
    </row>
    <row r="661" spans="1:27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  <c r="AA661" s="279"/>
    </row>
    <row r="662" spans="1:27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  <c r="AA662" s="279"/>
    </row>
    <row r="663" spans="1:27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  <c r="AA663" s="279"/>
    </row>
    <row r="664" spans="1:27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  <c r="AA664" s="279"/>
    </row>
    <row r="665" spans="1:27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  <c r="AA665" s="279"/>
    </row>
    <row r="666" spans="1:27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  <c r="AA666" s="279"/>
    </row>
    <row r="667" spans="1:2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  <c r="AA667" s="279"/>
    </row>
    <row r="668" spans="1:27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  <c r="AA668" s="279"/>
    </row>
    <row r="669" spans="1:27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  <c r="AA669" s="279"/>
    </row>
    <row r="670" spans="1:27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  <c r="AA670" s="279"/>
    </row>
    <row r="671" spans="1:27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  <c r="AA671" s="279"/>
    </row>
    <row r="672" spans="1:27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  <c r="AA672" s="279"/>
    </row>
    <row r="673" spans="1:27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  <c r="AA673" s="279"/>
    </row>
    <row r="674" spans="1:27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  <c r="AA674" s="279"/>
    </row>
    <row r="675" spans="1:27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  <c r="AA675" s="279"/>
    </row>
    <row r="676" spans="1:27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  <c r="AA676" s="279"/>
    </row>
    <row r="677" spans="1:2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  <c r="AA677" s="279"/>
    </row>
    <row r="678" spans="1:27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  <c r="AA678" s="279"/>
    </row>
    <row r="679" spans="1:27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  <c r="AA679" s="279"/>
    </row>
    <row r="680" spans="1:27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  <c r="AA680" s="279"/>
    </row>
    <row r="681" spans="1:27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  <c r="AA681" s="279"/>
    </row>
    <row r="682" spans="1:27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  <c r="AA682" s="279"/>
    </row>
    <row r="683" spans="1:27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  <c r="AA683" s="279"/>
    </row>
    <row r="684" spans="1:27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  <c r="AA684" s="279"/>
    </row>
    <row r="685" spans="1:27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  <c r="AA685" s="279"/>
    </row>
    <row r="686" spans="1:27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  <c r="AA686" s="279"/>
    </row>
    <row r="687" spans="1:2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  <c r="AA687" s="279"/>
    </row>
    <row r="688" spans="1:27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  <c r="AA688" s="279"/>
    </row>
    <row r="689" spans="1:27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  <c r="AA689" s="279"/>
    </row>
    <row r="690" spans="1:27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  <c r="AA690" s="279"/>
    </row>
    <row r="691" spans="1:27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  <c r="AA691" s="279"/>
    </row>
    <row r="692" spans="1:27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  <c r="AA692" s="279"/>
    </row>
    <row r="693" spans="1:27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  <c r="AA693" s="279"/>
    </row>
    <row r="694" spans="1:27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  <c r="AA694" s="279"/>
    </row>
    <row r="695" spans="1:27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  <c r="AA695" s="279"/>
    </row>
    <row r="696" spans="1:27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  <c r="AA696" s="279"/>
    </row>
    <row r="697" spans="1:2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  <c r="AA697" s="279"/>
    </row>
    <row r="698" spans="1:27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  <c r="AA698" s="279"/>
    </row>
    <row r="699" spans="1:27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  <c r="AA699" s="279"/>
    </row>
    <row r="700" spans="1:27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  <c r="AA700" s="279"/>
    </row>
    <row r="701" spans="1:27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  <c r="AA701" s="279"/>
    </row>
    <row r="702" spans="1:27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  <c r="AA702" s="279"/>
    </row>
    <row r="703" spans="1:27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  <c r="AA703" s="279"/>
    </row>
    <row r="704" spans="1:27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  <c r="AA704" s="279"/>
    </row>
    <row r="705" spans="1:27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  <c r="AA705" s="279"/>
    </row>
    <row r="706" spans="1:27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  <c r="AA706" s="279"/>
    </row>
    <row r="707" spans="1:2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  <c r="AA707" s="279"/>
    </row>
    <row r="708" spans="1:27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  <c r="AA708" s="279"/>
    </row>
    <row r="709" spans="1:27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  <c r="AA709" s="279"/>
    </row>
    <row r="710" spans="1:27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  <c r="AA710" s="279"/>
    </row>
    <row r="711" spans="1:27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  <c r="AA711" s="279"/>
    </row>
    <row r="712" spans="1:27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  <c r="AA712" s="279"/>
    </row>
    <row r="713" spans="1:27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  <c r="AA713" s="279"/>
    </row>
    <row r="714" spans="1:27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  <c r="AA714" s="279"/>
    </row>
    <row r="715" spans="1:27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  <c r="AA715" s="279"/>
    </row>
    <row r="716" spans="1:27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  <c r="AA716" s="279"/>
    </row>
    <row r="717" spans="1:2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  <c r="AA717" s="279"/>
    </row>
    <row r="718" spans="1:27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  <c r="AA718" s="279"/>
    </row>
    <row r="719" spans="1:27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  <c r="AA719" s="279"/>
    </row>
    <row r="720" spans="1:27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  <c r="AA720" s="279"/>
    </row>
    <row r="721" spans="1:27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  <c r="AA721" s="279"/>
    </row>
    <row r="722" spans="1:27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  <c r="AA722" s="279"/>
    </row>
    <row r="723" spans="1:27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  <c r="AA723" s="279"/>
    </row>
    <row r="724" spans="1:27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  <c r="AA724" s="279"/>
    </row>
    <row r="725" spans="1:27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  <c r="AA725" s="279"/>
    </row>
    <row r="726" spans="1:27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  <c r="AA726" s="279"/>
    </row>
    <row r="727" spans="1: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  <c r="AA727" s="279"/>
    </row>
    <row r="728" spans="1:27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  <c r="AA728" s="279"/>
    </row>
    <row r="729" spans="1:27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  <c r="AA729" s="279"/>
    </row>
    <row r="730" spans="1:27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  <c r="AA730" s="279"/>
    </row>
    <row r="731" spans="1:27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  <c r="AA731" s="279"/>
    </row>
    <row r="732" spans="1:27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  <c r="AA732" s="279"/>
    </row>
    <row r="733" spans="1:27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  <c r="AA733" s="279"/>
    </row>
    <row r="734" spans="1:27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  <c r="AA734" s="279"/>
    </row>
    <row r="735" spans="1:27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  <c r="AA735" s="279"/>
    </row>
    <row r="736" spans="1:27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  <c r="AA736" s="279"/>
    </row>
    <row r="737" spans="1:2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  <c r="AA737" s="279"/>
    </row>
    <row r="738" spans="1:27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  <c r="AA738" s="279"/>
    </row>
    <row r="739" spans="1:27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  <c r="AA739" s="279"/>
    </row>
    <row r="740" spans="1:27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  <c r="AA740" s="279"/>
    </row>
    <row r="741" spans="1:27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  <c r="AA741" s="279"/>
    </row>
    <row r="742" spans="1:27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  <c r="AA742" s="279"/>
    </row>
    <row r="743" spans="1:27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  <c r="AA743" s="279"/>
    </row>
    <row r="744" spans="1:27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  <c r="AA744" s="279"/>
    </row>
    <row r="745" spans="1:27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  <c r="AA745" s="279"/>
    </row>
    <row r="746" spans="1:27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  <c r="AA746" s="279"/>
    </row>
    <row r="747" spans="1:2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  <c r="AA747" s="279"/>
    </row>
    <row r="748" spans="1:27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  <c r="AA748" s="279"/>
    </row>
    <row r="749" spans="1:27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  <c r="AA749" s="279"/>
    </row>
    <row r="750" spans="1:27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  <c r="AA750" s="279"/>
    </row>
    <row r="751" spans="1:27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  <c r="AA751" s="279"/>
    </row>
    <row r="752" spans="1:27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  <c r="AA752" s="279"/>
    </row>
    <row r="753" spans="1:27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  <c r="AA753" s="279"/>
    </row>
    <row r="754" spans="1:27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  <c r="AA754" s="279"/>
    </row>
    <row r="755" spans="1:27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  <c r="AA755" s="279"/>
    </row>
    <row r="756" spans="1:27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  <c r="AA756" s="279"/>
    </row>
    <row r="757" spans="1:2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  <c r="AA757" s="279"/>
    </row>
    <row r="758" spans="1:27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  <c r="AA758" s="279"/>
    </row>
    <row r="759" spans="1:27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  <c r="AA759" s="279"/>
    </row>
    <row r="760" spans="1:27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  <c r="AA760" s="279"/>
    </row>
    <row r="761" spans="1:27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  <c r="AA761" s="279"/>
    </row>
    <row r="762" spans="1:27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  <c r="AA762" s="279"/>
    </row>
    <row r="763" spans="1:27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  <c r="AA763" s="279"/>
    </row>
    <row r="764" spans="1:27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  <c r="AA764" s="279"/>
    </row>
    <row r="765" spans="1:27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  <c r="AA765" s="279"/>
    </row>
    <row r="766" spans="1:27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  <c r="AA766" s="279"/>
    </row>
    <row r="767" spans="1:2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  <c r="AA767" s="279"/>
    </row>
    <row r="768" spans="1:27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  <c r="AA768" s="279"/>
    </row>
    <row r="769" spans="1:27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  <c r="AA769" s="279"/>
    </row>
    <row r="770" spans="1:27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  <c r="AA770" s="279"/>
    </row>
    <row r="771" spans="1:27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  <c r="AA771" s="279"/>
    </row>
    <row r="772" spans="1:27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  <c r="AA772" s="279"/>
    </row>
    <row r="773" spans="1:27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  <c r="AA773" s="279"/>
    </row>
    <row r="774" spans="1:27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  <c r="AA774" s="279"/>
    </row>
    <row r="775" spans="1:27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  <c r="AA775" s="279"/>
    </row>
    <row r="776" spans="1:27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  <c r="AA776" s="279"/>
    </row>
    <row r="777" spans="1:2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  <c r="AA777" s="279"/>
    </row>
    <row r="778" spans="1:27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  <c r="AA778" s="279"/>
    </row>
    <row r="779" spans="1:27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  <c r="AA779" s="279"/>
    </row>
    <row r="780" spans="1:27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  <c r="AA780" s="279"/>
    </row>
    <row r="781" spans="1:27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  <c r="AA781" s="279"/>
    </row>
    <row r="782" spans="1:27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  <c r="AA782" s="279"/>
    </row>
    <row r="783" spans="1:27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  <c r="AA783" s="279"/>
    </row>
    <row r="784" spans="1:27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  <c r="AA784" s="279"/>
    </row>
    <row r="785" spans="1:27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  <c r="AA785" s="279"/>
    </row>
    <row r="786" spans="1:27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  <c r="AA786" s="279"/>
    </row>
    <row r="787" spans="1:2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  <c r="AA787" s="279"/>
    </row>
    <row r="788" spans="1:27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  <c r="AA788" s="279"/>
    </row>
    <row r="789" spans="1:27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  <c r="AA789" s="279"/>
    </row>
    <row r="790" spans="1:27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  <c r="AA790" s="279"/>
    </row>
    <row r="791" spans="1:27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  <c r="AA791" s="279"/>
    </row>
    <row r="792" spans="1:27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  <c r="AA792" s="279"/>
    </row>
    <row r="793" spans="1:27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  <c r="AA793" s="279"/>
    </row>
    <row r="794" spans="1:27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  <c r="AA794" s="279"/>
    </row>
    <row r="795" spans="1:27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  <c r="AA795" s="279"/>
    </row>
    <row r="796" spans="1:27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  <c r="AA796" s="279"/>
    </row>
    <row r="797" spans="1:2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  <c r="AA797" s="279"/>
    </row>
    <row r="798" spans="1:27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  <c r="AA798" s="279"/>
    </row>
    <row r="799" spans="1:27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  <c r="AA799" s="279"/>
    </row>
    <row r="800" spans="1:27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  <c r="AA800" s="279"/>
    </row>
    <row r="801" spans="1:27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  <c r="AA801" s="279"/>
    </row>
    <row r="802" spans="1:27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  <c r="AA802" s="279"/>
    </row>
    <row r="803" spans="1:27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  <c r="AA803" s="279"/>
    </row>
    <row r="804" spans="1:27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  <c r="AA804" s="279"/>
    </row>
    <row r="805" spans="1:27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  <c r="AA805" s="279"/>
    </row>
    <row r="806" spans="1:27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  <c r="AA806" s="279"/>
    </row>
    <row r="807" spans="1:2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  <c r="AA807" s="279"/>
    </row>
    <row r="808" spans="1:27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  <c r="AA808" s="279"/>
    </row>
    <row r="809" spans="1:27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  <c r="AA809" s="279"/>
    </row>
    <row r="810" spans="1:27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  <c r="AA810" s="279"/>
    </row>
    <row r="811" spans="1:27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  <c r="AA811" s="279"/>
    </row>
    <row r="812" spans="1:27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  <c r="AA812" s="279"/>
    </row>
    <row r="813" spans="1:27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  <c r="AA813" s="279"/>
    </row>
    <row r="814" spans="1:27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  <c r="AA814" s="279"/>
    </row>
    <row r="815" spans="1:27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  <c r="AA815" s="279"/>
    </row>
    <row r="816" spans="1:27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  <c r="AA816" s="279"/>
    </row>
    <row r="817" spans="1:2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  <c r="AA817" s="279"/>
    </row>
    <row r="818" spans="1:27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  <c r="AA818" s="279"/>
    </row>
    <row r="819" spans="1:27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  <c r="AA819" s="279"/>
    </row>
    <row r="820" spans="1:27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  <c r="AA820" s="279"/>
    </row>
    <row r="821" spans="1:27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  <c r="AA821" s="279"/>
    </row>
    <row r="822" spans="1:27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  <c r="AA822" s="279"/>
    </row>
    <row r="823" spans="1:27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  <c r="AA823" s="279"/>
    </row>
    <row r="824" spans="1:27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  <c r="AA824" s="279"/>
    </row>
    <row r="825" spans="1:27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  <c r="AA825" s="279"/>
    </row>
    <row r="826" spans="1:27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  <c r="AA826" s="279"/>
    </row>
    <row r="827" spans="1: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  <c r="AA827" s="279"/>
    </row>
    <row r="828" spans="1:27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  <c r="AA828" s="279"/>
    </row>
    <row r="829" spans="1:27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  <c r="AA829" s="279"/>
    </row>
    <row r="830" spans="1:27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  <c r="AA830" s="279"/>
    </row>
    <row r="831" spans="1:27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  <c r="AA831" s="279"/>
    </row>
    <row r="832" spans="1:27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  <c r="AA832" s="279"/>
    </row>
    <row r="833" spans="1:27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  <c r="AA833" s="279"/>
    </row>
    <row r="834" spans="1:27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  <c r="AA834" s="279"/>
    </row>
    <row r="835" spans="1:27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  <c r="AA835" s="279"/>
    </row>
    <row r="836" spans="1:27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  <c r="AA836" s="279"/>
    </row>
    <row r="837" spans="1:2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  <c r="AA837" s="279"/>
    </row>
    <row r="838" spans="1:27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  <c r="AA838" s="279"/>
    </row>
    <row r="839" spans="1:27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  <c r="AA839" s="279"/>
    </row>
    <row r="840" spans="1:27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  <c r="AA840" s="279"/>
    </row>
    <row r="841" spans="1:27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  <c r="AA841" s="279"/>
    </row>
    <row r="842" spans="1:27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  <c r="AA842" s="279"/>
    </row>
    <row r="843" spans="1:27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  <c r="AA843" s="279"/>
    </row>
    <row r="844" spans="1:27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  <c r="AA844" s="279"/>
    </row>
    <row r="845" spans="1:27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  <c r="AA845" s="279"/>
    </row>
    <row r="846" spans="1:27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  <c r="AA846" s="279"/>
    </row>
    <row r="847" spans="1:2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  <c r="AA847" s="279"/>
    </row>
    <row r="848" spans="1:27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  <c r="AA848" s="279"/>
    </row>
    <row r="849" spans="1:27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  <c r="AA849" s="279"/>
    </row>
    <row r="850" spans="1:27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  <c r="AA850" s="279"/>
    </row>
    <row r="851" spans="1:27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  <c r="AA851" s="279"/>
    </row>
    <row r="852" spans="1:27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  <c r="AA852" s="279"/>
    </row>
    <row r="853" spans="1:27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  <c r="AA853" s="279"/>
    </row>
    <row r="854" spans="1:27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  <c r="AA854" s="279"/>
    </row>
    <row r="855" spans="1:27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  <c r="AA855" s="279"/>
    </row>
    <row r="856" spans="1:27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  <c r="AA856" s="279"/>
    </row>
    <row r="857" spans="1:2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  <c r="AA857" s="279"/>
    </row>
    <row r="858" spans="1:27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  <c r="AA858" s="279"/>
    </row>
    <row r="859" spans="1:27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  <c r="AA859" s="279"/>
    </row>
    <row r="860" spans="1:27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  <c r="AA860" s="279"/>
    </row>
    <row r="861" spans="1:27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  <c r="AA861" s="279"/>
    </row>
    <row r="862" spans="1:27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  <c r="AA862" s="279"/>
    </row>
    <row r="863" spans="1:27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  <c r="AA863" s="279"/>
    </row>
    <row r="864" spans="1:27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  <c r="AA864" s="279"/>
    </row>
    <row r="865" spans="1:27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  <c r="AA865" s="279"/>
    </row>
    <row r="866" spans="1:27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  <c r="AA866" s="279"/>
    </row>
    <row r="867" spans="1:2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  <c r="AA867" s="279"/>
    </row>
    <row r="868" spans="1:27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  <c r="AA868" s="279"/>
    </row>
    <row r="869" spans="1:27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  <c r="AA869" s="279"/>
    </row>
    <row r="870" spans="1:27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  <c r="AA870" s="279"/>
    </row>
    <row r="871" spans="1:27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  <c r="AA871" s="279"/>
    </row>
    <row r="872" spans="1:27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  <c r="AA872" s="279"/>
    </row>
    <row r="873" spans="1:27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  <c r="AA873" s="279"/>
    </row>
    <row r="874" spans="1:27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  <c r="AA874" s="279"/>
    </row>
    <row r="875" spans="1:27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  <c r="AA875" s="279"/>
    </row>
    <row r="876" spans="1:27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  <c r="AA876" s="279"/>
    </row>
    <row r="877" spans="1:2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  <c r="AA877" s="279"/>
    </row>
    <row r="878" spans="1:27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  <c r="AA878" s="279"/>
    </row>
    <row r="879" spans="1:27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  <c r="AA879" s="279"/>
    </row>
    <row r="880" spans="1:27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  <c r="AA880" s="279"/>
    </row>
    <row r="881" spans="1:27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  <c r="AA881" s="279"/>
    </row>
    <row r="882" spans="1:27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  <c r="AA882" s="279"/>
    </row>
    <row r="883" spans="1:27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  <c r="AA883" s="279"/>
    </row>
    <row r="884" spans="1:27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  <c r="AA884" s="279"/>
    </row>
    <row r="885" spans="1:27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  <c r="AA885" s="279"/>
    </row>
    <row r="886" spans="1:27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  <c r="AA886" s="279"/>
    </row>
    <row r="887" spans="1:2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  <c r="AA887" s="279"/>
    </row>
    <row r="888" spans="1:27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  <c r="AA888" s="279"/>
    </row>
    <row r="889" spans="1:27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  <c r="AA889" s="279"/>
    </row>
    <row r="890" spans="1:27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  <c r="AA890" s="279"/>
    </row>
    <row r="891" spans="1:27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  <c r="AA891" s="279"/>
    </row>
    <row r="892" spans="1:27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  <c r="AA892" s="279"/>
    </row>
    <row r="893" spans="1:27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  <c r="AA893" s="279"/>
    </row>
    <row r="894" spans="1:27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  <c r="AA894" s="279"/>
    </row>
    <row r="895" spans="1:27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  <c r="AA895" s="279"/>
    </row>
    <row r="896" spans="1:27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  <c r="AA896" s="279"/>
    </row>
    <row r="897" spans="1:2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  <c r="AA897" s="279"/>
    </row>
    <row r="898" spans="1:27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  <c r="AA898" s="279"/>
    </row>
    <row r="899" spans="1:27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  <c r="AA899" s="279"/>
    </row>
    <row r="900" spans="1:27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  <c r="AA900" s="279"/>
    </row>
    <row r="901" spans="1:27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  <c r="AA901" s="279"/>
    </row>
    <row r="902" spans="1:27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  <c r="AA902" s="279"/>
    </row>
    <row r="903" spans="1:27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  <c r="AA903" s="279"/>
    </row>
    <row r="904" spans="1:27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  <c r="AA904" s="279"/>
    </row>
    <row r="905" spans="1:27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  <c r="AA905" s="279"/>
    </row>
    <row r="906" spans="1:27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  <c r="AA906" s="279"/>
    </row>
    <row r="907" spans="1:2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  <c r="AA907" s="279"/>
    </row>
    <row r="908" spans="1:27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  <c r="AA908" s="279"/>
    </row>
    <row r="909" spans="1:27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  <c r="AA909" s="279"/>
    </row>
    <row r="910" spans="1:27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  <c r="AA910" s="279"/>
    </row>
    <row r="911" spans="1:27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  <c r="AA911" s="279"/>
    </row>
    <row r="912" spans="1:27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  <c r="AA912" s="279"/>
    </row>
    <row r="913" spans="1:27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  <c r="AA913" s="279"/>
    </row>
    <row r="914" spans="1:27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  <c r="AA914" s="279"/>
    </row>
    <row r="915" spans="1:27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  <c r="AA915" s="279"/>
    </row>
    <row r="916" spans="1:27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  <c r="AA916" s="279"/>
    </row>
    <row r="917" spans="1:2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  <c r="AA917" s="279"/>
    </row>
    <row r="918" spans="1:27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  <c r="AA918" s="279"/>
    </row>
    <row r="919" spans="1:27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  <c r="AA919" s="279"/>
    </row>
    <row r="920" spans="1:27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  <c r="AA920" s="279"/>
    </row>
    <row r="921" spans="1:27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  <c r="AA921" s="279"/>
    </row>
    <row r="922" spans="1:27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  <c r="AA922" s="279"/>
    </row>
    <row r="923" spans="1:27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  <c r="AA923" s="279"/>
    </row>
    <row r="924" spans="1:27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  <c r="AA924" s="279"/>
    </row>
    <row r="925" spans="1:27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  <c r="AA925" s="279"/>
    </row>
    <row r="926" spans="1:27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  <c r="AA926" s="279"/>
    </row>
    <row r="927" spans="1: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  <c r="AA927" s="279"/>
    </row>
    <row r="928" spans="1:27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  <c r="AA928" s="279"/>
    </row>
    <row r="929" spans="1:27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  <c r="AA929" s="279"/>
    </row>
    <row r="930" spans="1:27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  <c r="AA930" s="279"/>
    </row>
    <row r="931" spans="1:27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  <c r="AA931" s="279"/>
    </row>
    <row r="932" spans="1:27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  <c r="AA932" s="279"/>
    </row>
  </sheetData>
  <mergeCells count="33">
    <mergeCell ref="A1:J1"/>
    <mergeCell ref="B5:B6"/>
    <mergeCell ref="F23:G23"/>
    <mergeCell ref="A14:A15"/>
    <mergeCell ref="F12:G12"/>
    <mergeCell ref="F21:G21"/>
    <mergeCell ref="C14:C15"/>
    <mergeCell ref="A2:J2"/>
    <mergeCell ref="C5:C6"/>
    <mergeCell ref="A3:J3"/>
    <mergeCell ref="D5:D6"/>
    <mergeCell ref="F19:G19"/>
    <mergeCell ref="D14:D15"/>
    <mergeCell ref="H14:H15"/>
    <mergeCell ref="F17:G17"/>
    <mergeCell ref="A4:J4"/>
    <mergeCell ref="A13:F13"/>
    <mergeCell ref="F20:G20"/>
    <mergeCell ref="I14:I15"/>
    <mergeCell ref="J14:J15"/>
    <mergeCell ref="B14:B15"/>
    <mergeCell ref="F18:G18"/>
    <mergeCell ref="G14:G15"/>
    <mergeCell ref="F14:F15"/>
    <mergeCell ref="E14:E15"/>
    <mergeCell ref="L5:L6"/>
    <mergeCell ref="A5:A6"/>
    <mergeCell ref="G5:G6"/>
    <mergeCell ref="F5:F6"/>
    <mergeCell ref="E5:E6"/>
    <mergeCell ref="H5:H6"/>
    <mergeCell ref="I5:I6"/>
    <mergeCell ref="J5:J6"/>
  </mergeCells>
  <printOptions horizontalCentered="1" verticalCentered="1"/>
  <pageMargins left="0.70763888888888904" right="0.70763888888888904" top="0.74791666666666701" bottom="0.74791666666666701" header="0.31388888888888899" footer="0.31388888888888899"/>
  <pageSetup paperSize="9" scale="6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785"/>
  <sheetViews>
    <sheetView topLeftCell="F20" workbookViewId="0">
      <selection activeCell="C32" sqref="C32"/>
    </sheetView>
  </sheetViews>
  <sheetFormatPr defaultColWidth="9.83203125" defaultRowHeight="15" customHeight="1"/>
  <cols>
    <col min="1" max="1" width="3.08203125" style="1" customWidth="1"/>
    <col min="2" max="2" width="14.83203125" style="1" customWidth="1"/>
    <col min="3" max="3" width="23.83203125" style="1" customWidth="1"/>
    <col min="4" max="4" width="34.33203125" style="1" customWidth="1"/>
    <col min="5" max="5" width="20" style="1" customWidth="1"/>
    <col min="6" max="6" width="14.33203125" style="1" customWidth="1"/>
    <col min="7" max="7" width="11.75" style="1" customWidth="1"/>
    <col min="8" max="9" width="11.75" style="307" customWidth="1"/>
    <col min="10" max="10" width="13.58203125" style="1" customWidth="1"/>
    <col min="11" max="11" width="2.33203125" style="1" customWidth="1"/>
    <col min="12" max="17" width="14.25" style="1" customWidth="1"/>
    <col min="18" max="18" width="8.75" style="1" customWidth="1"/>
    <col min="19" max="21" width="13.08203125" style="1" customWidth="1"/>
    <col min="22" max="22" width="10.25" style="1" customWidth="1"/>
    <col min="23" max="27" width="8.75" style="1" customWidth="1"/>
    <col min="28" max="16384" width="9.83203125" style="1"/>
  </cols>
  <sheetData>
    <row r="1" spans="1:27" ht="18" customHeight="1">
      <c r="A1" s="1022" t="s">
        <v>3303</v>
      </c>
      <c r="B1" s="1023"/>
      <c r="C1" s="1023"/>
      <c r="D1" s="1023"/>
      <c r="E1" s="1023"/>
      <c r="F1" s="1023"/>
      <c r="G1" s="1023"/>
      <c r="H1" s="1023"/>
      <c r="I1" s="1023"/>
      <c r="J1" s="1023"/>
      <c r="K1" s="308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</row>
    <row r="2" spans="1:27" ht="18" customHeight="1">
      <c r="A2" s="1024" t="s">
        <v>3268</v>
      </c>
      <c r="B2" s="1023"/>
      <c r="C2" s="1023"/>
      <c r="D2" s="1023"/>
      <c r="E2" s="1023"/>
      <c r="F2" s="1023"/>
      <c r="G2" s="1023"/>
      <c r="H2" s="1023"/>
      <c r="I2" s="1023"/>
      <c r="J2" s="1023"/>
      <c r="K2" s="308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</row>
    <row r="3" spans="1:27" ht="18" customHeight="1">
      <c r="A3" s="1024" t="s">
        <v>3304</v>
      </c>
      <c r="B3" s="1023"/>
      <c r="C3" s="1023"/>
      <c r="D3" s="1023"/>
      <c r="E3" s="1023"/>
      <c r="F3" s="1023"/>
      <c r="G3" s="1023"/>
      <c r="H3" s="1023"/>
      <c r="I3" s="1023"/>
      <c r="J3" s="1023"/>
      <c r="K3" s="308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</row>
    <row r="4" spans="1:27" ht="15" customHeight="1">
      <c r="A4" s="1029" t="s">
        <v>25</v>
      </c>
      <c r="B4" s="1030"/>
      <c r="C4" s="1030"/>
      <c r="D4" s="1030"/>
      <c r="E4" s="1030"/>
      <c r="F4" s="1030"/>
      <c r="G4" s="1030"/>
      <c r="H4" s="1030"/>
      <c r="I4" s="1030"/>
      <c r="J4" s="1030"/>
      <c r="K4" s="308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</row>
    <row r="5" spans="1:27" ht="17.25" customHeight="1">
      <c r="A5" s="1018" t="s">
        <v>3270</v>
      </c>
      <c r="B5" s="1018" t="s">
        <v>3271</v>
      </c>
      <c r="C5" s="1018" t="s">
        <v>3272</v>
      </c>
      <c r="D5" s="1018" t="s">
        <v>3273</v>
      </c>
      <c r="E5" s="1018" t="s">
        <v>3274</v>
      </c>
      <c r="F5" s="1018" t="s">
        <v>3275</v>
      </c>
      <c r="G5" s="1018" t="s">
        <v>13</v>
      </c>
      <c r="H5" s="1025" t="s">
        <v>3276</v>
      </c>
      <c r="I5" s="1025" t="s">
        <v>3277</v>
      </c>
      <c r="J5" s="1025" t="s">
        <v>21</v>
      </c>
      <c r="K5" s="308"/>
      <c r="L5" s="993" t="s">
        <v>3279</v>
      </c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</row>
    <row r="6" spans="1:27" ht="15" customHeight="1">
      <c r="A6" s="1019"/>
      <c r="B6" s="1019"/>
      <c r="C6" s="1019"/>
      <c r="D6" s="1019"/>
      <c r="E6" s="1019"/>
      <c r="F6" s="1019"/>
      <c r="G6" s="1019"/>
      <c r="H6" s="1026"/>
      <c r="I6" s="1026"/>
      <c r="J6" s="1026"/>
      <c r="K6" s="308"/>
      <c r="L6" s="993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</row>
    <row r="7" spans="1:27" ht="21.75" customHeight="1">
      <c r="A7" s="309">
        <v>1</v>
      </c>
      <c r="B7" s="310" t="s">
        <v>1621</v>
      </c>
      <c r="C7" s="309" t="s">
        <v>3305</v>
      </c>
      <c r="D7" s="311" t="s">
        <v>1375</v>
      </c>
      <c r="E7" s="311" t="s">
        <v>1617</v>
      </c>
      <c r="F7" s="311" t="s">
        <v>94</v>
      </c>
      <c r="G7" s="312">
        <v>44986</v>
      </c>
      <c r="H7" s="313">
        <v>1025000</v>
      </c>
      <c r="I7" s="313">
        <v>2750000</v>
      </c>
      <c r="J7" s="313">
        <f t="shared" ref="J7:J18" si="0">I7-H7</f>
        <v>1725000</v>
      </c>
      <c r="K7" s="308"/>
      <c r="L7" s="256" t="s">
        <v>3284</v>
      </c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</row>
    <row r="8" spans="1:27" ht="21.75" customHeight="1">
      <c r="A8" s="309">
        <v>2</v>
      </c>
      <c r="B8" s="310" t="s">
        <v>1627</v>
      </c>
      <c r="C8" s="309" t="s">
        <v>3305</v>
      </c>
      <c r="D8" s="311" t="s">
        <v>1375</v>
      </c>
      <c r="E8" s="311" t="s">
        <v>1626</v>
      </c>
      <c r="F8" s="311" t="s">
        <v>94</v>
      </c>
      <c r="G8" s="312">
        <v>44998</v>
      </c>
      <c r="H8" s="313">
        <v>875000</v>
      </c>
      <c r="I8" s="313">
        <v>2750000</v>
      </c>
      <c r="J8" s="313">
        <f t="shared" si="0"/>
        <v>1875000</v>
      </c>
      <c r="K8" s="308"/>
      <c r="L8" s="256" t="s">
        <v>3281</v>
      </c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</row>
    <row r="9" spans="1:27" ht="21.75" customHeight="1">
      <c r="A9" s="309">
        <v>3</v>
      </c>
      <c r="B9" s="310" t="s">
        <v>1637</v>
      </c>
      <c r="C9" s="309" t="s">
        <v>1634</v>
      </c>
      <c r="D9" s="309" t="s">
        <v>1632</v>
      </c>
      <c r="E9" s="309" t="s">
        <v>1633</v>
      </c>
      <c r="F9" s="309" t="s">
        <v>1250</v>
      </c>
      <c r="G9" s="312">
        <v>44988</v>
      </c>
      <c r="H9" s="313">
        <v>13615956</v>
      </c>
      <c r="I9" s="313">
        <v>18877000</v>
      </c>
      <c r="J9" s="313">
        <v>5261044</v>
      </c>
      <c r="K9" s="308"/>
      <c r="L9" s="256" t="s">
        <v>3281</v>
      </c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</row>
    <row r="10" spans="1:27" ht="21.75" customHeight="1">
      <c r="A10" s="309">
        <v>4</v>
      </c>
      <c r="B10" s="310" t="s">
        <v>1645</v>
      </c>
      <c r="C10" s="309" t="s">
        <v>3306</v>
      </c>
      <c r="D10" s="311" t="s">
        <v>1375</v>
      </c>
      <c r="E10" s="311" t="s">
        <v>1642</v>
      </c>
      <c r="F10" s="311" t="s">
        <v>94</v>
      </c>
      <c r="G10" s="312">
        <v>44992</v>
      </c>
      <c r="H10" s="313">
        <v>12639066</v>
      </c>
      <c r="I10" s="313">
        <v>15944465</v>
      </c>
      <c r="J10" s="313">
        <f t="shared" si="0"/>
        <v>3305399</v>
      </c>
      <c r="K10" s="308"/>
      <c r="L10" s="256" t="s">
        <v>3284</v>
      </c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</row>
    <row r="11" spans="1:27" ht="21.75" customHeight="1">
      <c r="A11" s="309">
        <v>5</v>
      </c>
      <c r="B11" s="310" t="s">
        <v>1653</v>
      </c>
      <c r="C11" s="309" t="s">
        <v>3305</v>
      </c>
      <c r="D11" s="309" t="s">
        <v>1485</v>
      </c>
      <c r="E11" s="309" t="s">
        <v>1650</v>
      </c>
      <c r="F11" s="309" t="s">
        <v>1491</v>
      </c>
      <c r="G11" s="312">
        <v>44993</v>
      </c>
      <c r="H11" s="313">
        <v>5000160</v>
      </c>
      <c r="I11" s="313">
        <v>6850160</v>
      </c>
      <c r="J11" s="313">
        <f t="shared" si="0"/>
        <v>1850000</v>
      </c>
      <c r="K11" s="308"/>
      <c r="L11" s="256" t="s">
        <v>3284</v>
      </c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</row>
    <row r="12" spans="1:27" ht="21.75" customHeight="1">
      <c r="A12" s="309">
        <v>6</v>
      </c>
      <c r="B12" s="310" t="s">
        <v>1660</v>
      </c>
      <c r="C12" s="309" t="s">
        <v>3305</v>
      </c>
      <c r="D12" s="309" t="s">
        <v>1656</v>
      </c>
      <c r="E12" s="309" t="s">
        <v>1657</v>
      </c>
      <c r="F12" s="311" t="s">
        <v>1208</v>
      </c>
      <c r="G12" s="312">
        <v>44998</v>
      </c>
      <c r="H12" s="313">
        <v>5750000</v>
      </c>
      <c r="I12" s="313">
        <v>9325000</v>
      </c>
      <c r="J12" s="313">
        <f t="shared" si="0"/>
        <v>3575000</v>
      </c>
      <c r="K12" s="308"/>
      <c r="L12" s="256" t="s">
        <v>3284</v>
      </c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</row>
    <row r="13" spans="1:27" ht="21.75" customHeight="1">
      <c r="A13" s="309">
        <v>7</v>
      </c>
      <c r="B13" s="310" t="s">
        <v>3307</v>
      </c>
      <c r="C13" s="309" t="s">
        <v>3305</v>
      </c>
      <c r="D13" s="309" t="s">
        <v>1485</v>
      </c>
      <c r="E13" s="309" t="s">
        <v>1665</v>
      </c>
      <c r="F13" s="311" t="s">
        <v>1670</v>
      </c>
      <c r="G13" s="312">
        <v>44999</v>
      </c>
      <c r="H13" s="313">
        <v>1850000</v>
      </c>
      <c r="I13" s="313">
        <v>2900000</v>
      </c>
      <c r="J13" s="313">
        <f t="shared" si="0"/>
        <v>1050000</v>
      </c>
      <c r="K13" s="308"/>
      <c r="L13" s="256" t="s">
        <v>3284</v>
      </c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</row>
    <row r="14" spans="1:27" ht="21.75" customHeight="1">
      <c r="A14" s="309">
        <v>8</v>
      </c>
      <c r="B14" s="314" t="s">
        <v>1675</v>
      </c>
      <c r="C14" s="309" t="s">
        <v>3305</v>
      </c>
      <c r="D14" s="311" t="s">
        <v>1375</v>
      </c>
      <c r="E14" s="311" t="s">
        <v>1672</v>
      </c>
      <c r="F14" s="311" t="s">
        <v>172</v>
      </c>
      <c r="G14" s="312">
        <v>45000</v>
      </c>
      <c r="H14" s="313">
        <v>1025000</v>
      </c>
      <c r="I14" s="313">
        <v>2750000</v>
      </c>
      <c r="J14" s="313">
        <f t="shared" si="0"/>
        <v>1725000</v>
      </c>
      <c r="K14" s="308"/>
      <c r="L14" s="256" t="s">
        <v>3281</v>
      </c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</row>
    <row r="15" spans="1:27" ht="21.75" customHeight="1">
      <c r="A15" s="309">
        <v>9</v>
      </c>
      <c r="B15" s="314" t="s">
        <v>1682</v>
      </c>
      <c r="C15" s="309" t="s">
        <v>3308</v>
      </c>
      <c r="D15" s="311" t="s">
        <v>1375</v>
      </c>
      <c r="E15" s="311">
        <v>914876507</v>
      </c>
      <c r="F15" s="311" t="s">
        <v>66</v>
      </c>
      <c r="G15" s="312">
        <v>45001</v>
      </c>
      <c r="H15" s="313">
        <v>81307350</v>
      </c>
      <c r="I15" s="313">
        <v>84419500</v>
      </c>
      <c r="J15" s="313">
        <f t="shared" si="0"/>
        <v>3112150</v>
      </c>
      <c r="K15" s="308"/>
      <c r="L15" s="256" t="s">
        <v>3281</v>
      </c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</row>
    <row r="16" spans="1:27" ht="21.75" customHeight="1">
      <c r="A16" s="309">
        <v>10</v>
      </c>
      <c r="B16" s="314" t="s">
        <v>1686</v>
      </c>
      <c r="C16" s="309" t="s">
        <v>3305</v>
      </c>
      <c r="D16" s="309" t="s">
        <v>749</v>
      </c>
      <c r="E16" s="309" t="s">
        <v>1684</v>
      </c>
      <c r="F16" s="309" t="s">
        <v>110</v>
      </c>
      <c r="G16" s="312">
        <v>45009</v>
      </c>
      <c r="H16" s="313">
        <v>1750000</v>
      </c>
      <c r="I16" s="313">
        <v>3565000</v>
      </c>
      <c r="J16" s="313">
        <f t="shared" si="0"/>
        <v>1815000</v>
      </c>
      <c r="K16" s="308"/>
      <c r="L16" s="256" t="s">
        <v>3281</v>
      </c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</row>
    <row r="17" spans="1:27" ht="21.75" customHeight="1">
      <c r="A17" s="309">
        <v>11</v>
      </c>
      <c r="B17" s="314" t="s">
        <v>1695</v>
      </c>
      <c r="C17" s="309" t="s">
        <v>3305</v>
      </c>
      <c r="D17" s="311" t="s">
        <v>1375</v>
      </c>
      <c r="E17" s="311" t="s">
        <v>1692</v>
      </c>
      <c r="F17" s="311" t="s">
        <v>1688</v>
      </c>
      <c r="G17" s="312">
        <v>45010</v>
      </c>
      <c r="H17" s="313">
        <v>975000</v>
      </c>
      <c r="I17" s="313">
        <v>2750000</v>
      </c>
      <c r="J17" s="313">
        <f t="shared" si="0"/>
        <v>1775000</v>
      </c>
      <c r="K17" s="308"/>
      <c r="L17" s="256" t="s">
        <v>3281</v>
      </c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</row>
    <row r="18" spans="1:27" ht="21.75" customHeight="1">
      <c r="A18" s="309">
        <v>12</v>
      </c>
      <c r="B18" s="310" t="s">
        <v>1701</v>
      </c>
      <c r="C18" s="309" t="s">
        <v>3305</v>
      </c>
      <c r="D18" s="309" t="s">
        <v>749</v>
      </c>
      <c r="E18" s="309" t="s">
        <v>1699</v>
      </c>
      <c r="F18" s="309" t="s">
        <v>2229</v>
      </c>
      <c r="G18" s="312">
        <v>45012</v>
      </c>
      <c r="H18" s="313">
        <v>1950000</v>
      </c>
      <c r="I18" s="313">
        <v>4815000</v>
      </c>
      <c r="J18" s="313">
        <f t="shared" si="0"/>
        <v>2865000</v>
      </c>
      <c r="K18" s="308"/>
      <c r="L18" s="256" t="s">
        <v>3284</v>
      </c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</row>
    <row r="19" spans="1:27" ht="21.75" customHeight="1">
      <c r="A19" s="315"/>
      <c r="B19" s="316"/>
      <c r="C19" s="316"/>
      <c r="D19" s="317" t="s">
        <v>3290</v>
      </c>
      <c r="E19" s="315"/>
      <c r="F19" s="1020" t="s">
        <v>3291</v>
      </c>
      <c r="G19" s="1021"/>
      <c r="H19" s="318"/>
      <c r="I19" s="318"/>
      <c r="J19" s="319">
        <f>SUM(J7:J18)</f>
        <v>29933593</v>
      </c>
      <c r="K19" s="320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</row>
    <row r="20" spans="1:27" ht="21.75" customHeight="1">
      <c r="A20" s="1027" t="s">
        <v>128</v>
      </c>
      <c r="B20" s="1017"/>
      <c r="C20" s="1017"/>
      <c r="D20" s="1017"/>
      <c r="E20" s="1017"/>
      <c r="F20" s="1017"/>
      <c r="G20" s="308"/>
      <c r="H20" s="308"/>
      <c r="I20" s="308"/>
      <c r="J20" s="320"/>
      <c r="K20" s="320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</row>
    <row r="21" spans="1:27" ht="21.75" customHeight="1">
      <c r="A21" s="1018" t="s">
        <v>3270</v>
      </c>
      <c r="B21" s="1018" t="s">
        <v>3271</v>
      </c>
      <c r="C21" s="1018" t="s">
        <v>3272</v>
      </c>
      <c r="D21" s="1018" t="s">
        <v>3273</v>
      </c>
      <c r="E21" s="1018" t="s">
        <v>3274</v>
      </c>
      <c r="F21" s="1018" t="s">
        <v>3292</v>
      </c>
      <c r="G21" s="1018" t="s">
        <v>12</v>
      </c>
      <c r="H21" s="1025" t="s">
        <v>3276</v>
      </c>
      <c r="I21" s="1025" t="s">
        <v>3277</v>
      </c>
      <c r="J21" s="1025" t="s">
        <v>21</v>
      </c>
      <c r="K21" s="308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</row>
    <row r="22" spans="1:27" ht="21.75" customHeight="1">
      <c r="A22" s="1019"/>
      <c r="B22" s="1019"/>
      <c r="C22" s="1019"/>
      <c r="D22" s="1019"/>
      <c r="E22" s="1019"/>
      <c r="F22" s="1019"/>
      <c r="G22" s="1019"/>
      <c r="H22" s="1026"/>
      <c r="I22" s="1026"/>
      <c r="J22" s="1026"/>
      <c r="K22" s="308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</row>
    <row r="23" spans="1:27" s="270" customFormat="1" ht="21.75" customHeight="1">
      <c r="A23" s="322">
        <v>13</v>
      </c>
      <c r="B23" s="323" t="s">
        <v>1705</v>
      </c>
      <c r="C23" s="322" t="s">
        <v>3309</v>
      </c>
      <c r="D23" s="322" t="s">
        <v>45</v>
      </c>
      <c r="E23" s="322" t="s">
        <v>1703</v>
      </c>
      <c r="F23" s="322" t="s">
        <v>1050</v>
      </c>
      <c r="G23" s="324">
        <v>44999</v>
      </c>
      <c r="H23" s="325">
        <v>5522160</v>
      </c>
      <c r="I23" s="325">
        <v>9832500</v>
      </c>
      <c r="J23" s="325">
        <f t="shared" ref="J23:J25" si="1">I23-H23</f>
        <v>4310340</v>
      </c>
      <c r="K23" s="308"/>
      <c r="L23" s="256" t="s">
        <v>3281</v>
      </c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</row>
    <row r="24" spans="1:27" s="270" customFormat="1" ht="21.75" customHeight="1">
      <c r="A24" s="322">
        <v>14</v>
      </c>
      <c r="B24" s="310" t="s">
        <v>1716</v>
      </c>
      <c r="C24" s="309" t="s">
        <v>3310</v>
      </c>
      <c r="D24" s="309" t="s">
        <v>3311</v>
      </c>
      <c r="E24" s="309" t="s">
        <v>1712</v>
      </c>
      <c r="F24" s="309" t="s">
        <v>3312</v>
      </c>
      <c r="G24" s="312">
        <v>45008</v>
      </c>
      <c r="H24" s="313">
        <v>6500000</v>
      </c>
      <c r="I24" s="313">
        <v>12853480</v>
      </c>
      <c r="J24" s="313">
        <f t="shared" si="1"/>
        <v>6353480</v>
      </c>
      <c r="K24" s="308"/>
      <c r="L24" s="256" t="s">
        <v>3281</v>
      </c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</row>
    <row r="25" spans="1:27" s="270" customFormat="1" ht="21.75" customHeight="1">
      <c r="A25" s="322">
        <v>15</v>
      </c>
      <c r="B25" s="326" t="s">
        <v>1725</v>
      </c>
      <c r="C25" s="327" t="s">
        <v>3309</v>
      </c>
      <c r="D25" s="327" t="s">
        <v>45</v>
      </c>
      <c r="E25" s="327" t="s">
        <v>1722</v>
      </c>
      <c r="F25" s="327" t="s">
        <v>149</v>
      </c>
      <c r="G25" s="328">
        <v>45008</v>
      </c>
      <c r="H25" s="329">
        <v>3538860</v>
      </c>
      <c r="I25" s="329">
        <v>7003050</v>
      </c>
      <c r="J25" s="329">
        <f t="shared" si="1"/>
        <v>3464190</v>
      </c>
      <c r="K25" s="308"/>
      <c r="L25" s="256" t="s">
        <v>3281</v>
      </c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</row>
    <row r="26" spans="1:27" ht="15" customHeight="1">
      <c r="A26" s="317"/>
      <c r="B26" s="315"/>
      <c r="C26" s="315"/>
      <c r="D26" s="315"/>
      <c r="E26" s="315"/>
      <c r="F26" s="1016" t="s">
        <v>3295</v>
      </c>
      <c r="G26" s="1017"/>
      <c r="H26" s="331"/>
      <c r="I26" s="331"/>
      <c r="J26" s="332">
        <f>SUM(J23:J25)</f>
        <v>14128010</v>
      </c>
      <c r="K26" s="308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</row>
    <row r="27" spans="1:27" ht="7.5" customHeight="1">
      <c r="A27" s="317"/>
      <c r="B27" s="315"/>
      <c r="C27" s="315"/>
      <c r="D27" s="315"/>
      <c r="E27" s="315"/>
      <c r="F27" s="330"/>
      <c r="G27" s="321"/>
      <c r="H27" s="331"/>
      <c r="I27" s="331"/>
      <c r="J27" s="332"/>
      <c r="K27" s="308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</row>
    <row r="28" spans="1:27" ht="15" customHeight="1">
      <c r="A28" s="317"/>
      <c r="B28" s="315"/>
      <c r="C28" s="315"/>
      <c r="D28" s="315"/>
      <c r="E28" s="315"/>
      <c r="F28" s="1028" t="s">
        <v>3296</v>
      </c>
      <c r="G28" s="1023"/>
      <c r="H28" s="318"/>
      <c r="I28" s="318"/>
      <c r="J28" s="333">
        <f>J19+J26</f>
        <v>44061603</v>
      </c>
      <c r="K28" s="308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</row>
    <row r="29" spans="1:27" ht="15" customHeight="1">
      <c r="A29" s="317"/>
      <c r="B29" s="315"/>
      <c r="C29" s="315"/>
      <c r="D29" s="315"/>
      <c r="E29" s="315"/>
      <c r="F29" s="1016" t="s">
        <v>3297</v>
      </c>
      <c r="G29" s="1017"/>
      <c r="H29" s="331"/>
      <c r="I29" s="331"/>
      <c r="J29" s="334">
        <v>36000000</v>
      </c>
      <c r="K29" s="308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</row>
    <row r="30" spans="1:27" ht="5.25" customHeight="1">
      <c r="A30" s="317"/>
      <c r="B30" s="315"/>
      <c r="C30" s="315"/>
      <c r="D30" s="315"/>
      <c r="E30" s="315"/>
      <c r="F30" s="330"/>
      <c r="G30" s="330"/>
      <c r="H30" s="330"/>
      <c r="I30" s="330"/>
      <c r="J30" s="332"/>
      <c r="K30" s="308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</row>
    <row r="31" spans="1:27" ht="15" customHeight="1">
      <c r="A31" s="317"/>
      <c r="B31" s="315"/>
      <c r="C31" s="315"/>
      <c r="D31" s="315"/>
      <c r="E31" s="315"/>
      <c r="F31" s="1016" t="s">
        <v>3298</v>
      </c>
      <c r="G31" s="1017"/>
      <c r="H31" s="331"/>
      <c r="I31" s="331"/>
      <c r="J31" s="332">
        <f>J28*12.5/100</f>
        <v>5507700.375</v>
      </c>
      <c r="K31" s="308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</row>
    <row r="32" spans="1:27" ht="6" customHeight="1">
      <c r="A32" s="317"/>
      <c r="B32" s="315"/>
      <c r="C32" s="315"/>
      <c r="D32" s="315"/>
      <c r="E32" s="315"/>
      <c r="F32" s="330"/>
      <c r="G32" s="330"/>
      <c r="H32" s="330"/>
      <c r="I32" s="330"/>
      <c r="J32" s="335"/>
      <c r="K32" s="308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</row>
    <row r="33" spans="1:27" ht="15.75" customHeight="1">
      <c r="A33" s="308"/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</row>
    <row r="34" spans="1:27" ht="15.75" customHeight="1">
      <c r="A34" s="308"/>
      <c r="B34" s="308"/>
      <c r="C34" s="308"/>
      <c r="D34" s="308"/>
      <c r="E34" s="308"/>
      <c r="F34" s="308"/>
      <c r="G34" s="308"/>
      <c r="H34" s="308"/>
      <c r="I34" s="308"/>
      <c r="J34" s="308"/>
      <c r="K34" s="308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</row>
    <row r="35" spans="1:27" ht="15.75" customHeight="1">
      <c r="A35" s="308"/>
      <c r="B35" s="308"/>
      <c r="C35" s="308"/>
      <c r="D35" s="308"/>
      <c r="E35" s="308"/>
      <c r="F35" s="308"/>
      <c r="G35" s="308"/>
      <c r="H35" s="308"/>
      <c r="I35" s="308"/>
      <c r="J35" s="308"/>
      <c r="K35" s="308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</row>
    <row r="36" spans="1:27" ht="15.75" customHeight="1">
      <c r="A36" s="308"/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</row>
    <row r="37" spans="1:27" ht="15.75" customHeight="1">
      <c r="A37" s="308"/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</row>
    <row r="38" spans="1:27" ht="15.75" customHeight="1">
      <c r="A38" s="256"/>
      <c r="B38" s="256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</row>
    <row r="39" spans="1:27" ht="15.75" customHeight="1">
      <c r="A39" s="256"/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</row>
    <row r="40" spans="1:27" ht="15.75" customHeight="1">
      <c r="A40" s="256"/>
      <c r="B40" s="256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</row>
    <row r="41" spans="1:27" ht="15.75" customHeight="1">
      <c r="A41" s="256"/>
      <c r="B41" s="256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</row>
    <row r="42" spans="1:27" ht="15.75" customHeight="1">
      <c r="A42" s="256"/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</row>
    <row r="43" spans="1:27" ht="15.75" customHeight="1">
      <c r="A43" s="256"/>
      <c r="B43" s="256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</row>
    <row r="44" spans="1:27" ht="15.75" customHeight="1">
      <c r="A44" s="256"/>
      <c r="B44" s="256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</row>
    <row r="45" spans="1:27" ht="15.75" customHeight="1">
      <c r="A45" s="256"/>
      <c r="B45" s="256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</row>
    <row r="46" spans="1:27" ht="15.75" customHeight="1">
      <c r="A46" s="256"/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</row>
    <row r="47" spans="1:27" ht="15.75" customHeight="1">
      <c r="A47" s="256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</row>
    <row r="48" spans="1:27" ht="15.75" customHeight="1">
      <c r="A48" s="256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</row>
    <row r="49" spans="1:27" ht="15.75" customHeight="1">
      <c r="A49" s="256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</row>
    <row r="50" spans="1:27" ht="15.75" customHeight="1">
      <c r="A50" s="256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</row>
    <row r="51" spans="1:27" ht="15.75" customHeight="1">
      <c r="A51" s="256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</row>
    <row r="52" spans="1:27" ht="15.75" customHeight="1">
      <c r="A52" s="256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</row>
    <row r="53" spans="1:27" ht="15.75" customHeight="1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</row>
    <row r="54" spans="1:27" ht="15.75" customHeight="1">
      <c r="A54" s="256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</row>
    <row r="55" spans="1:27" ht="15.75" customHeight="1">
      <c r="A55" s="256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</row>
    <row r="56" spans="1:27" ht="15.75" customHeight="1">
      <c r="A56" s="256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</row>
    <row r="57" spans="1:27" ht="15.75" customHeight="1">
      <c r="A57" s="256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</row>
    <row r="58" spans="1:27" ht="15.75" customHeight="1">
      <c r="A58" s="256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</row>
    <row r="59" spans="1:27" ht="15.75" customHeight="1">
      <c r="A59" s="256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</row>
    <row r="60" spans="1:27" ht="15.75" customHeight="1">
      <c r="A60" s="256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</row>
    <row r="61" spans="1:27" ht="15.75" customHeight="1">
      <c r="A61" s="256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</row>
    <row r="62" spans="1:27" ht="15.75" customHeight="1">
      <c r="A62" s="256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</row>
    <row r="63" spans="1:27" ht="15.75" customHeight="1">
      <c r="A63" s="256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</row>
    <row r="64" spans="1:27" ht="15.75" customHeight="1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</row>
    <row r="65" spans="1:27" ht="15.75" customHeight="1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</row>
    <row r="66" spans="1:27" ht="15.75" customHeight="1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</row>
    <row r="67" spans="1:27" ht="15.75" customHeight="1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</row>
    <row r="68" spans="1:27" ht="15.75" customHeight="1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</row>
    <row r="69" spans="1:27" ht="15.75" customHeight="1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</row>
    <row r="70" spans="1:27" ht="15.75" customHeight="1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</row>
    <row r="71" spans="1:27" ht="15.75" customHeight="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</row>
    <row r="72" spans="1:27" ht="15.75" customHeight="1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</row>
    <row r="73" spans="1:27" ht="15.75" customHeight="1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</row>
    <row r="74" spans="1:27" ht="15.75" customHeight="1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</row>
    <row r="75" spans="1:27" ht="15.75" customHeight="1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</row>
    <row r="76" spans="1:27" ht="15.75" customHeight="1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</row>
    <row r="77" spans="1:27" ht="15.75" customHeight="1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</row>
    <row r="78" spans="1:27" ht="15.75" customHeight="1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</row>
    <row r="79" spans="1:27" ht="15.75" customHeight="1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</row>
    <row r="80" spans="1:27" ht="15.75" customHeight="1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</row>
    <row r="81" spans="1:27" ht="15.75" customHeight="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</row>
    <row r="82" spans="1:27" ht="15.75" customHeight="1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</row>
    <row r="83" spans="1:27" ht="15.75" customHeight="1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</row>
    <row r="84" spans="1:27" ht="15.75" customHeight="1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</row>
    <row r="85" spans="1:27" ht="15.75" customHeight="1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</row>
    <row r="86" spans="1:27" ht="15.75" customHeight="1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</row>
    <row r="87" spans="1:27" ht="15.75" customHeight="1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</row>
    <row r="88" spans="1:27" ht="15.75" customHeight="1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</row>
    <row r="89" spans="1:27" ht="15.75" customHeight="1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</row>
    <row r="90" spans="1:27" ht="15.75" customHeight="1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</row>
    <row r="91" spans="1:27" ht="15.75" customHeight="1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</row>
    <row r="92" spans="1:27" ht="15.75" customHeight="1">
      <c r="A92" s="256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</row>
    <row r="93" spans="1:27" ht="15.75" customHeight="1">
      <c r="A93" s="256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</row>
    <row r="94" spans="1:27" ht="15.75" customHeight="1">
      <c r="A94" s="256"/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</row>
    <row r="95" spans="1:27" ht="15.75" customHeight="1">
      <c r="A95" s="256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</row>
    <row r="96" spans="1:27" ht="15.75" customHeight="1">
      <c r="A96" s="256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</row>
    <row r="97" spans="1:27" ht="15.75" customHeight="1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</row>
    <row r="98" spans="1:27" ht="15.75" customHeight="1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</row>
    <row r="99" spans="1:27" ht="15.75" customHeight="1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</row>
    <row r="100" spans="1:27" ht="15.75" customHeight="1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</row>
    <row r="101" spans="1:27" ht="15.75" customHeight="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</row>
    <row r="102" spans="1:27" ht="15.75" customHeight="1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</row>
    <row r="103" spans="1:27" ht="15.75" customHeight="1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</row>
    <row r="104" spans="1:27" ht="15.75" customHeight="1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</row>
    <row r="105" spans="1:27" ht="15.75" customHeight="1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</row>
    <row r="106" spans="1:27" ht="15.75" customHeight="1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</row>
    <row r="107" spans="1:27" ht="15.75" customHeight="1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</row>
    <row r="108" spans="1:27" ht="15.75" customHeight="1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</row>
    <row r="109" spans="1:27" ht="15.75" customHeight="1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</row>
    <row r="110" spans="1:27" ht="15.75" customHeight="1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</row>
    <row r="111" spans="1:27" ht="15.75" customHeight="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</row>
    <row r="112" spans="1:27" ht="15.75" customHeight="1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</row>
    <row r="113" spans="1:27" ht="15.75" customHeight="1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</row>
    <row r="114" spans="1:27" ht="15.75" customHeight="1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</row>
    <row r="115" spans="1:27" ht="15.75" customHeight="1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</row>
    <row r="116" spans="1:27" ht="15.75" customHeight="1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</row>
    <row r="117" spans="1:27" ht="15.75" customHeight="1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</row>
    <row r="118" spans="1:27" ht="15.75" customHeight="1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</row>
    <row r="119" spans="1:27" ht="15.75" customHeight="1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</row>
    <row r="120" spans="1:27" ht="15.75" customHeight="1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</row>
    <row r="121" spans="1:27" ht="15.75" customHeight="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</row>
    <row r="122" spans="1:27" ht="15.75" customHeight="1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</row>
    <row r="123" spans="1:27" ht="15.75" customHeight="1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</row>
    <row r="124" spans="1:27" ht="15.75" customHeight="1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</row>
    <row r="125" spans="1:27" ht="15.75" customHeight="1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</row>
    <row r="126" spans="1:27" ht="15.75" customHeight="1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</row>
    <row r="127" spans="1:27" ht="15.75" customHeight="1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</row>
    <row r="128" spans="1:27" ht="15.75" customHeight="1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</row>
    <row r="129" spans="1:27" ht="15.75" customHeight="1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</row>
    <row r="130" spans="1:27" ht="15.75" customHeight="1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</row>
    <row r="131" spans="1:27" ht="15.75" customHeight="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</row>
    <row r="132" spans="1:27" ht="15.75" customHeight="1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</row>
    <row r="133" spans="1:27" ht="15.75" customHeight="1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</row>
    <row r="134" spans="1:27" ht="15.75" customHeight="1">
      <c r="A134" s="256"/>
      <c r="B134" s="256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</row>
    <row r="135" spans="1:27" ht="15.75" customHeight="1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</row>
    <row r="136" spans="1:27" ht="15.75" customHeight="1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</row>
    <row r="137" spans="1:27" ht="15.75" customHeight="1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</row>
    <row r="138" spans="1:27" ht="15.75" customHeight="1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</row>
    <row r="139" spans="1:27" ht="15.75" customHeight="1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</row>
    <row r="140" spans="1:27" ht="15.75" customHeight="1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</row>
    <row r="141" spans="1:27" ht="15.75" customHeight="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</row>
    <row r="142" spans="1:27" ht="15.75" customHeight="1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</row>
    <row r="143" spans="1:27" ht="15.75" customHeight="1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</row>
    <row r="144" spans="1:27" ht="15.75" customHeight="1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</row>
    <row r="145" spans="1:27" ht="15.75" customHeight="1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</row>
    <row r="146" spans="1:27" ht="15.75" customHeight="1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</row>
    <row r="147" spans="1:27" ht="15.75" customHeight="1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</row>
    <row r="148" spans="1:27" ht="15.75" customHeight="1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</row>
    <row r="149" spans="1:27" ht="15.75" customHeight="1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</row>
    <row r="150" spans="1:27" ht="15.75" customHeight="1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</row>
    <row r="151" spans="1:27" ht="15.75" customHeight="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  <c r="AA151" s="256"/>
    </row>
    <row r="152" spans="1:27" ht="15.75" customHeight="1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</row>
    <row r="153" spans="1:27" ht="15.75" customHeight="1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</row>
    <row r="154" spans="1:27" ht="15.75" customHeight="1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</row>
    <row r="155" spans="1:27" ht="15.75" customHeight="1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</row>
    <row r="156" spans="1:27" ht="15.75" customHeight="1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  <c r="AA156" s="256"/>
    </row>
    <row r="157" spans="1:27" ht="15.75" customHeight="1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  <c r="AA157" s="256"/>
    </row>
    <row r="158" spans="1:27" ht="15.75" customHeight="1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</row>
    <row r="159" spans="1:27" ht="15.75" customHeight="1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</row>
    <row r="160" spans="1:27" ht="15.75" customHeight="1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</row>
    <row r="161" spans="1:27" ht="15.75" customHeight="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</row>
    <row r="162" spans="1:27" ht="15.75" customHeight="1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  <c r="AA162" s="256"/>
    </row>
    <row r="163" spans="1:27" ht="15.75" customHeight="1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</row>
    <row r="164" spans="1:27" ht="15.75" customHeight="1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</row>
    <row r="165" spans="1:27" ht="15.75" customHeight="1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</row>
    <row r="166" spans="1:27" ht="15.75" customHeight="1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  <c r="AA166" s="256"/>
    </row>
    <row r="167" spans="1:27" ht="15.75" customHeight="1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  <c r="AA167" s="256"/>
    </row>
    <row r="168" spans="1:27" ht="15.75" customHeight="1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  <c r="AA168" s="256"/>
    </row>
    <row r="169" spans="1:27" ht="15.75" customHeight="1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  <c r="AA169" s="256"/>
    </row>
    <row r="170" spans="1:27" ht="15.75" customHeight="1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</row>
    <row r="171" spans="1:27" ht="15.75" customHeight="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</row>
    <row r="172" spans="1:27" ht="15.75" customHeight="1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</row>
    <row r="173" spans="1:27" ht="15.75" customHeight="1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</row>
    <row r="174" spans="1:27" ht="15.75" customHeight="1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</row>
    <row r="175" spans="1:27" ht="15.75" customHeight="1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</row>
    <row r="176" spans="1:27" ht="15.75" customHeight="1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</row>
    <row r="177" spans="1:27" ht="15.75" customHeight="1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</row>
    <row r="178" spans="1:27" ht="15.75" customHeight="1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  <c r="AA178" s="256"/>
    </row>
    <row r="179" spans="1:27" ht="15.75" customHeight="1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  <c r="AA179" s="256"/>
    </row>
    <row r="180" spans="1:27" ht="15.75" customHeight="1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</row>
    <row r="181" spans="1:27" ht="15.75" customHeight="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  <c r="AA181" s="256"/>
    </row>
    <row r="182" spans="1:27" ht="15.75" customHeight="1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  <c r="AA182" s="256"/>
    </row>
    <row r="183" spans="1:27" ht="15.75" customHeight="1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</row>
    <row r="184" spans="1:27" ht="15.75" customHeight="1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  <c r="AA184" s="256"/>
    </row>
    <row r="185" spans="1:27" ht="15.75" customHeight="1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</row>
    <row r="186" spans="1:27" ht="15.75" customHeight="1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</row>
    <row r="187" spans="1:27" ht="15.75" customHeight="1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</row>
    <row r="188" spans="1:27" ht="15.75" customHeight="1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</row>
    <row r="189" spans="1:27" ht="15.75" customHeight="1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  <c r="AA189" s="256"/>
    </row>
    <row r="190" spans="1:27" ht="15.75" customHeight="1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  <c r="AA190" s="256"/>
    </row>
    <row r="191" spans="1:27" ht="15.75" customHeight="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  <c r="AA191" s="256"/>
    </row>
    <row r="192" spans="1:27" ht="15.75" customHeight="1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  <c r="AA192" s="256"/>
    </row>
    <row r="193" spans="1:27" ht="15.75" customHeight="1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  <c r="AA193" s="256"/>
    </row>
    <row r="194" spans="1:27" ht="15.75" customHeight="1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  <c r="AA194" s="256"/>
    </row>
    <row r="195" spans="1:27" ht="15.75" customHeight="1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  <c r="AA195" s="256"/>
    </row>
    <row r="196" spans="1:27" ht="15.75" customHeight="1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  <c r="AA196" s="256"/>
    </row>
    <row r="197" spans="1:27" ht="15.75" customHeight="1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  <c r="AA197" s="256"/>
    </row>
    <row r="198" spans="1:27" ht="15.75" customHeight="1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  <c r="AA198" s="256"/>
    </row>
    <row r="199" spans="1:27" ht="15.75" customHeight="1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  <c r="AA199" s="256"/>
    </row>
    <row r="200" spans="1:27" ht="15.75" customHeight="1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</row>
    <row r="201" spans="1:27" ht="15.75" customHeight="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  <c r="AA201" s="256"/>
    </row>
    <row r="202" spans="1:27" ht="15.75" customHeight="1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  <c r="AA202" s="256"/>
    </row>
    <row r="203" spans="1:27" ht="15.75" customHeight="1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  <c r="AA203" s="256"/>
    </row>
    <row r="204" spans="1:27" ht="15.75" customHeight="1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  <c r="AA204" s="256"/>
    </row>
    <row r="205" spans="1:27" ht="15.75" customHeight="1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</row>
    <row r="206" spans="1:27" ht="15.75" customHeight="1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  <c r="AA206" s="256"/>
    </row>
    <row r="207" spans="1:27" ht="15.75" customHeight="1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  <c r="AA207" s="256"/>
    </row>
    <row r="208" spans="1:27" ht="15.75" customHeight="1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  <c r="AA208" s="256"/>
    </row>
    <row r="209" spans="1:27" ht="15.75" customHeight="1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  <c r="AA209" s="256"/>
    </row>
    <row r="210" spans="1:27" ht="15.75" customHeight="1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  <c r="AA210" s="256"/>
    </row>
    <row r="211" spans="1:27" ht="15.75" customHeight="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  <c r="AA211" s="256"/>
    </row>
    <row r="212" spans="1:27" ht="15.75" customHeight="1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  <c r="AA212" s="256"/>
    </row>
    <row r="213" spans="1:27" ht="15.75" customHeight="1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  <c r="AA213" s="256"/>
    </row>
    <row r="214" spans="1:27" ht="15.75" customHeight="1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  <c r="AA214" s="256"/>
    </row>
    <row r="215" spans="1:27" ht="15.75" customHeight="1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  <c r="AA215" s="256"/>
    </row>
    <row r="216" spans="1:27" ht="15.75" customHeight="1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  <c r="AA216" s="256"/>
    </row>
    <row r="217" spans="1:27" ht="15.75" customHeight="1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  <c r="AA217" s="256"/>
    </row>
    <row r="218" spans="1:27" ht="15.75" customHeight="1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  <c r="AA218" s="256"/>
    </row>
    <row r="219" spans="1:27" ht="15.75" customHeight="1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</row>
    <row r="220" spans="1:27" ht="15.75" customHeight="1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</row>
    <row r="221" spans="1:27" ht="15.75" customHeight="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  <c r="AA221" s="256"/>
    </row>
    <row r="222" spans="1:27" ht="15.75" customHeight="1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  <c r="AA222" s="256"/>
    </row>
    <row r="223" spans="1:27" ht="15.75" customHeight="1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</row>
    <row r="224" spans="1:27" ht="15.75" customHeight="1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</row>
    <row r="225" spans="1:27" ht="15.75" customHeight="1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</row>
    <row r="226" spans="1:27" ht="15.75" customHeight="1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  <c r="AA226" s="256"/>
    </row>
    <row r="227" spans="1:27" ht="15.75" customHeight="1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</row>
    <row r="228" spans="1:27" ht="15.75" customHeight="1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</row>
    <row r="229" spans="1:27" ht="15.75" customHeight="1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</row>
    <row r="230" spans="1:27" ht="15.75" customHeight="1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</row>
    <row r="231" spans="1:27" ht="15.75" customHeight="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</row>
    <row r="232" spans="1:27" ht="15.75" customHeight="1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  <c r="AA232" s="256"/>
    </row>
    <row r="233" spans="1:27" ht="15.75" customHeight="1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  <c r="AA233" s="256"/>
    </row>
    <row r="234" spans="1:27" ht="15.75" customHeight="1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  <c r="AA234" s="256"/>
    </row>
    <row r="235" spans="1:27" ht="15.75" customHeight="1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</row>
    <row r="236" spans="1:27" ht="15.75" customHeight="1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  <c r="AA236" s="256"/>
    </row>
    <row r="237" spans="1:27" ht="15.75" customHeight="1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</row>
    <row r="238" spans="1:27" ht="15.75" customHeight="1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</row>
    <row r="239" spans="1:27" ht="15.75" customHeight="1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</row>
    <row r="240" spans="1:27" ht="15.75" customHeight="1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</row>
    <row r="241" spans="1:27" ht="15.75" customHeight="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  <c r="AA241" s="256"/>
    </row>
    <row r="242" spans="1:27" ht="15.75" customHeight="1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</row>
    <row r="243" spans="1:27" ht="15.75" customHeight="1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</row>
    <row r="244" spans="1:27" ht="15.75" customHeight="1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  <c r="AA244" s="256"/>
    </row>
    <row r="245" spans="1:27" ht="15.75" customHeight="1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  <c r="AA245" s="256"/>
    </row>
    <row r="246" spans="1:27" ht="15.75" customHeight="1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  <c r="AA246" s="256"/>
    </row>
    <row r="247" spans="1:27" ht="15.75" customHeight="1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</row>
    <row r="248" spans="1:27" ht="15.75" customHeight="1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  <c r="AA248" s="256"/>
    </row>
    <row r="249" spans="1:27" ht="15.75" customHeight="1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</row>
    <row r="250" spans="1:27" ht="15.75" customHeight="1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  <c r="AA250" s="256"/>
    </row>
    <row r="251" spans="1:27" ht="15.75" customHeight="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</row>
    <row r="252" spans="1:27" ht="15.75" customHeight="1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  <c r="AA252" s="256"/>
    </row>
    <row r="253" spans="1:27" ht="15.75" customHeight="1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  <c r="AA253" s="256"/>
    </row>
    <row r="254" spans="1:27" ht="15.75" customHeight="1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  <c r="AA254" s="256"/>
    </row>
    <row r="255" spans="1:27" ht="15.75" customHeight="1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  <c r="AA255" s="256"/>
    </row>
    <row r="256" spans="1:27" ht="15.75" customHeight="1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  <c r="AA256" s="256"/>
    </row>
    <row r="257" spans="1:27" ht="15.75" customHeight="1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</row>
    <row r="258" spans="1:27" ht="15.75" customHeight="1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  <c r="AA258" s="256"/>
    </row>
    <row r="259" spans="1:27" ht="15.75" customHeight="1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</row>
    <row r="260" spans="1:27" ht="15.75" customHeight="1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</row>
    <row r="261" spans="1:27" ht="15.75" customHeight="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</row>
    <row r="262" spans="1:27" ht="15.75" customHeight="1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</row>
    <row r="263" spans="1:27" ht="15.75" customHeight="1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</row>
    <row r="264" spans="1:27" ht="15.75" customHeight="1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</row>
    <row r="265" spans="1:27" ht="15.75" customHeight="1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</row>
    <row r="266" spans="1:27" ht="15.75" customHeight="1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  <c r="AA266" s="256"/>
    </row>
    <row r="267" spans="1:27" ht="15.75" customHeight="1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  <c r="AA267" s="256"/>
    </row>
    <row r="268" spans="1:27" ht="15.75" customHeight="1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  <c r="AA268" s="256"/>
    </row>
    <row r="269" spans="1:27" ht="15.75" customHeight="1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</row>
    <row r="270" spans="1:27" ht="15.75" customHeight="1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</row>
    <row r="271" spans="1:27" ht="15.75" customHeight="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  <c r="AA271" s="256"/>
    </row>
    <row r="272" spans="1:27" ht="15.75" customHeight="1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</row>
    <row r="273" spans="1:27" ht="15.75" customHeight="1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  <c r="AA273" s="256"/>
    </row>
    <row r="274" spans="1:27" ht="15.75" customHeight="1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</row>
    <row r="275" spans="1:27" ht="15.75" customHeight="1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  <c r="AA275" s="256"/>
    </row>
    <row r="276" spans="1:27" ht="15.75" customHeight="1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</row>
    <row r="277" spans="1:27" ht="15.75" customHeight="1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  <c r="AA277" s="256"/>
    </row>
    <row r="278" spans="1:27" ht="15.75" customHeight="1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  <c r="AA278" s="256"/>
    </row>
    <row r="279" spans="1:27" ht="15.75" customHeight="1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  <c r="AA279" s="256"/>
    </row>
    <row r="280" spans="1:27" ht="15.75" customHeight="1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  <c r="AA280" s="256"/>
    </row>
    <row r="281" spans="1:27" ht="15.75" customHeight="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  <c r="AA281" s="256"/>
    </row>
    <row r="282" spans="1:27" ht="15.75" customHeight="1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  <c r="AA282" s="256"/>
    </row>
    <row r="283" spans="1:27" ht="15.75" customHeight="1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  <c r="AA283" s="256"/>
    </row>
    <row r="284" spans="1:27" ht="15.75" customHeight="1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  <c r="AA284" s="256"/>
    </row>
    <row r="285" spans="1:27" ht="15.75" customHeight="1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</row>
    <row r="286" spans="1:27" ht="15.75" customHeight="1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</row>
    <row r="287" spans="1:27" ht="15.75" customHeight="1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</row>
    <row r="288" spans="1:27" ht="15.75" customHeight="1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  <c r="AA288" s="256"/>
    </row>
    <row r="289" spans="1:27" ht="15.75" customHeight="1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</row>
    <row r="290" spans="1:27" ht="15.75" customHeight="1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  <c r="AA290" s="256"/>
    </row>
    <row r="291" spans="1:27" ht="15.75" customHeight="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</row>
    <row r="292" spans="1:27" ht="15.75" customHeight="1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  <c r="AA292" s="256"/>
    </row>
    <row r="293" spans="1:27" ht="15.75" customHeight="1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</row>
    <row r="294" spans="1:27" ht="15.75" customHeight="1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</row>
    <row r="295" spans="1:27" ht="15.75" customHeight="1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</row>
    <row r="296" spans="1:27" ht="15.75" customHeight="1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  <c r="AA296" s="256"/>
    </row>
    <row r="297" spans="1:27" ht="15.75" customHeight="1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</row>
    <row r="298" spans="1:27" ht="15.75" customHeight="1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  <c r="AA298" s="256"/>
    </row>
    <row r="299" spans="1:27" ht="15.75" customHeight="1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  <c r="AA299" s="256"/>
    </row>
    <row r="300" spans="1:27" ht="15.75" customHeight="1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  <c r="AA300" s="256"/>
    </row>
    <row r="301" spans="1:27" ht="15.75" customHeight="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  <c r="AA301" s="256"/>
    </row>
    <row r="302" spans="1:27" ht="15.75" customHeight="1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  <c r="AA302" s="256"/>
    </row>
    <row r="303" spans="1:27" ht="15.75" customHeight="1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</row>
    <row r="304" spans="1:27" ht="15.75" customHeight="1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  <c r="AA304" s="256"/>
    </row>
    <row r="305" spans="1:27" ht="15.75" customHeight="1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  <c r="AA305" s="256"/>
    </row>
    <row r="306" spans="1:27" ht="15.75" customHeight="1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</row>
    <row r="307" spans="1:27" ht="15.75" customHeight="1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</row>
    <row r="308" spans="1:27" ht="15.75" customHeight="1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</row>
    <row r="309" spans="1:27" ht="15.75" customHeight="1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</row>
    <row r="310" spans="1:27" ht="15.75" customHeight="1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  <c r="AA310" s="256"/>
    </row>
    <row r="311" spans="1:27" ht="15.75" customHeight="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  <c r="AA311" s="256"/>
    </row>
    <row r="312" spans="1:27" ht="15.75" customHeight="1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  <c r="AA312" s="256"/>
    </row>
    <row r="313" spans="1:27" ht="15.75" customHeight="1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  <c r="AA313" s="256"/>
    </row>
    <row r="314" spans="1:27" ht="15.75" customHeight="1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  <c r="AA314" s="256"/>
    </row>
    <row r="315" spans="1:27" ht="15.75" customHeight="1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  <c r="AA315" s="256"/>
    </row>
    <row r="316" spans="1:27" ht="15.75" customHeight="1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</row>
    <row r="317" spans="1:27" ht="15.75" customHeight="1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</row>
    <row r="318" spans="1:27" ht="15.75" customHeight="1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</row>
    <row r="319" spans="1:27" ht="15.75" customHeight="1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</row>
    <row r="320" spans="1:27" ht="15.75" customHeight="1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</row>
    <row r="321" spans="1:27" ht="15.75" customHeight="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</row>
    <row r="322" spans="1:27" ht="15.75" customHeight="1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</row>
    <row r="323" spans="1:27" ht="15.75" customHeight="1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</row>
    <row r="324" spans="1:27" ht="15.75" customHeight="1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</row>
    <row r="325" spans="1:27" ht="15.75" customHeight="1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</row>
    <row r="326" spans="1:27" ht="15.75" customHeight="1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</row>
    <row r="327" spans="1:27" ht="15.75" customHeight="1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</row>
    <row r="328" spans="1:27" ht="15.75" customHeight="1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</row>
    <row r="329" spans="1:27" ht="15.75" customHeight="1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</row>
    <row r="330" spans="1:27" ht="15.75" customHeight="1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</row>
    <row r="331" spans="1:27" ht="15.75" customHeight="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</row>
    <row r="332" spans="1:27" ht="15.75" customHeight="1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</row>
    <row r="333" spans="1:27" ht="15.75" customHeight="1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</row>
    <row r="334" spans="1:27" ht="15.75" customHeight="1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</row>
    <row r="335" spans="1:27" ht="15.75" customHeight="1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</row>
    <row r="336" spans="1:27" ht="15.75" customHeight="1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</row>
    <row r="337" spans="1:27" ht="15.75" customHeight="1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</row>
    <row r="338" spans="1:27" ht="15.75" customHeight="1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</row>
    <row r="339" spans="1:27" ht="15.75" customHeight="1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</row>
    <row r="340" spans="1:27" ht="15.75" customHeight="1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</row>
    <row r="341" spans="1:27" ht="15.75" customHeight="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</row>
    <row r="342" spans="1:27" ht="15.75" customHeight="1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</row>
    <row r="343" spans="1:27" ht="15.75" customHeight="1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</row>
    <row r="344" spans="1:27" ht="15.75" customHeight="1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</row>
    <row r="345" spans="1:27" ht="15.75" customHeight="1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</row>
    <row r="346" spans="1:27" ht="15.75" customHeight="1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</row>
    <row r="347" spans="1:27" ht="15.75" customHeight="1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</row>
    <row r="348" spans="1:27" ht="15.75" customHeight="1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</row>
    <row r="349" spans="1:27" ht="15.75" customHeight="1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</row>
    <row r="350" spans="1:27" ht="15.75" customHeight="1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</row>
    <row r="351" spans="1:27" ht="15.75" customHeight="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</row>
    <row r="352" spans="1:27" ht="15.75" customHeight="1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</row>
    <row r="353" spans="1:27" ht="15.75" customHeight="1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</row>
    <row r="354" spans="1:27" ht="15.75" customHeight="1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</row>
    <row r="355" spans="1:27" ht="15.75" customHeight="1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</row>
    <row r="356" spans="1:27" ht="15.75" customHeight="1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</row>
    <row r="357" spans="1:27" ht="15.75" customHeight="1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</row>
    <row r="358" spans="1:27" ht="15.75" customHeight="1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</row>
    <row r="359" spans="1:27" ht="15.75" customHeight="1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</row>
    <row r="360" spans="1:27" ht="15.75" customHeight="1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</row>
    <row r="361" spans="1:27" ht="15.75" customHeight="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</row>
    <row r="362" spans="1:27" ht="15.75" customHeight="1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</row>
    <row r="363" spans="1:27" ht="15.75" customHeight="1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</row>
    <row r="364" spans="1:27" ht="15.75" customHeight="1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</row>
    <row r="365" spans="1:27" ht="15.75" customHeight="1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</row>
    <row r="366" spans="1:27" ht="15.75" customHeight="1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</row>
    <row r="367" spans="1:27" ht="15.75" customHeight="1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</row>
    <row r="368" spans="1:27" ht="15.75" customHeight="1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</row>
    <row r="369" spans="1:27" ht="15.75" customHeight="1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</row>
    <row r="370" spans="1:27" ht="15.75" customHeight="1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</row>
    <row r="371" spans="1:27" ht="15.75" customHeight="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</row>
    <row r="372" spans="1:27" ht="15.75" customHeight="1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</row>
    <row r="373" spans="1:27" ht="15.75" customHeight="1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</row>
    <row r="374" spans="1:27" ht="15.75" customHeight="1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</row>
    <row r="375" spans="1:27" ht="15.75" customHeight="1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</row>
    <row r="376" spans="1:27" ht="15.75" customHeight="1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</row>
    <row r="377" spans="1:27" ht="15.75" customHeight="1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</row>
    <row r="378" spans="1:27" ht="15.75" customHeight="1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</row>
    <row r="379" spans="1:27" ht="15.75" customHeight="1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</row>
    <row r="380" spans="1:27" ht="15.75" customHeight="1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</row>
    <row r="381" spans="1:27" ht="15.75" customHeight="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</row>
    <row r="382" spans="1:27" ht="15.75" customHeight="1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</row>
    <row r="383" spans="1:27" ht="15.75" customHeight="1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</row>
    <row r="384" spans="1:27" ht="15.75" customHeight="1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</row>
    <row r="385" spans="1:27" ht="15.75" customHeight="1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</row>
    <row r="386" spans="1:27" ht="15.75" customHeight="1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</row>
    <row r="387" spans="1:27" ht="15.75" customHeight="1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</row>
    <row r="388" spans="1:27" ht="15.75" customHeight="1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</row>
    <row r="389" spans="1:27" ht="15.75" customHeight="1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</row>
    <row r="390" spans="1:27" ht="15.75" customHeight="1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</row>
    <row r="391" spans="1:27" ht="15.75" customHeight="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</row>
    <row r="392" spans="1:27" ht="15.75" customHeight="1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</row>
    <row r="393" spans="1:27" ht="15.75" customHeight="1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</row>
    <row r="394" spans="1:27" ht="15.75" customHeight="1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</row>
    <row r="395" spans="1:27" ht="15.75" customHeight="1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</row>
    <row r="396" spans="1:27" ht="15.75" customHeight="1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</row>
    <row r="397" spans="1:27" ht="15.75" customHeight="1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</row>
    <row r="398" spans="1:27" ht="15.75" customHeight="1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</row>
    <row r="399" spans="1:27" ht="15.75" customHeight="1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</row>
    <row r="400" spans="1:27" ht="15.75" customHeight="1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</row>
    <row r="401" spans="1:27" ht="15.75" customHeight="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</row>
    <row r="402" spans="1:27" ht="15.75" customHeight="1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</row>
    <row r="403" spans="1:27" ht="15.75" customHeight="1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</row>
    <row r="404" spans="1:27" ht="15.75" customHeight="1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</row>
    <row r="405" spans="1:27" ht="15.75" customHeight="1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</row>
    <row r="406" spans="1:27" ht="15.75" customHeight="1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</row>
    <row r="407" spans="1:27" ht="15.75" customHeight="1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</row>
    <row r="408" spans="1:27" ht="15.75" customHeight="1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</row>
    <row r="409" spans="1:27" ht="15.75" customHeight="1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</row>
    <row r="410" spans="1:27" ht="15.75" customHeight="1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</row>
    <row r="411" spans="1:27" ht="15.75" customHeight="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</row>
    <row r="412" spans="1:27" ht="15.75" customHeight="1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</row>
    <row r="413" spans="1:27" ht="15.75" customHeight="1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</row>
    <row r="414" spans="1:27" ht="15.75" customHeight="1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</row>
    <row r="415" spans="1:27" ht="15.75" customHeight="1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</row>
    <row r="416" spans="1:27" ht="15.75" customHeight="1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</row>
    <row r="417" spans="1:27" ht="15.75" customHeight="1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</row>
    <row r="418" spans="1:27" ht="15.75" customHeight="1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</row>
    <row r="419" spans="1:27" ht="15.75" customHeight="1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</row>
    <row r="420" spans="1:27" ht="15.75" customHeight="1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</row>
    <row r="421" spans="1:27" ht="15.75" customHeight="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</row>
    <row r="422" spans="1:27" ht="15.75" customHeight="1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</row>
    <row r="423" spans="1:27" ht="15.75" customHeight="1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</row>
    <row r="424" spans="1:27" ht="15.75" customHeight="1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</row>
    <row r="425" spans="1:27" ht="15.75" customHeight="1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</row>
    <row r="426" spans="1:27" ht="15.75" customHeight="1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</row>
    <row r="427" spans="1:27" ht="15.75" customHeight="1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</row>
    <row r="428" spans="1:27" ht="15.75" customHeight="1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</row>
    <row r="429" spans="1:27" ht="15.75" customHeight="1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</row>
    <row r="430" spans="1:27" ht="15.75" customHeight="1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</row>
    <row r="431" spans="1:27" ht="15.75" customHeight="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</row>
    <row r="432" spans="1:27" ht="15.75" customHeight="1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</row>
    <row r="433" spans="1:27" ht="15.75" customHeight="1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</row>
    <row r="434" spans="1:27" ht="15.75" customHeight="1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</row>
    <row r="435" spans="1:27" ht="15.75" customHeight="1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</row>
    <row r="436" spans="1:27" ht="15.75" customHeight="1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</row>
    <row r="437" spans="1:27" ht="15.75" customHeight="1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</row>
    <row r="438" spans="1:27" ht="15.75" customHeight="1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</row>
    <row r="439" spans="1:27" ht="15.75" customHeight="1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</row>
    <row r="440" spans="1:27" ht="15.75" customHeight="1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</row>
    <row r="441" spans="1:27" ht="15.75" customHeight="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</row>
    <row r="442" spans="1:27" ht="15.75" customHeight="1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</row>
    <row r="443" spans="1:27" ht="15.75" customHeight="1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</row>
    <row r="444" spans="1:27" ht="15.75" customHeight="1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</row>
    <row r="445" spans="1:27" ht="15.75" customHeight="1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</row>
    <row r="446" spans="1:27" ht="15.75" customHeight="1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</row>
    <row r="447" spans="1:27" ht="15.75" customHeight="1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</row>
    <row r="448" spans="1:27" ht="15.75" customHeight="1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</row>
    <row r="449" spans="1:27" ht="15.75" customHeight="1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</row>
    <row r="450" spans="1:27" ht="15.75" customHeight="1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</row>
    <row r="451" spans="1:27" ht="15.75" customHeight="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</row>
    <row r="452" spans="1:27" ht="15.75" customHeight="1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</row>
    <row r="453" spans="1:27" ht="15.75" customHeight="1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</row>
    <row r="454" spans="1:27" ht="15.75" customHeight="1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</row>
    <row r="455" spans="1:27" ht="15.75" customHeight="1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</row>
    <row r="456" spans="1:27" ht="15.75" customHeight="1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</row>
    <row r="457" spans="1:27" ht="15.75" customHeight="1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</row>
    <row r="458" spans="1:27" ht="15.75" customHeight="1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</row>
    <row r="459" spans="1:27" ht="15.75" customHeight="1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</row>
    <row r="460" spans="1:27" ht="15.75" customHeight="1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</row>
    <row r="461" spans="1:27" ht="15.75" customHeight="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</row>
    <row r="462" spans="1:27" ht="15.75" customHeight="1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</row>
    <row r="463" spans="1:27" ht="15.75" customHeight="1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</row>
    <row r="464" spans="1:27" ht="15.75" customHeight="1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</row>
    <row r="465" spans="1:27" ht="15.75" customHeight="1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</row>
    <row r="466" spans="1:27" ht="15.75" customHeight="1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</row>
    <row r="467" spans="1:27" ht="15.75" customHeight="1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</row>
    <row r="468" spans="1:27" ht="15.75" customHeight="1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</row>
    <row r="469" spans="1:27" ht="15.75" customHeight="1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</row>
    <row r="470" spans="1:27" ht="15.75" customHeight="1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</row>
    <row r="471" spans="1:27" ht="15.75" customHeight="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</row>
    <row r="472" spans="1:27" ht="15.75" customHeight="1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</row>
    <row r="473" spans="1:27" ht="15.75" customHeight="1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</row>
    <row r="474" spans="1:27" ht="15.75" customHeight="1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</row>
    <row r="475" spans="1:27" ht="15.75" customHeight="1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</row>
    <row r="476" spans="1:27" ht="15.75" customHeight="1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</row>
    <row r="477" spans="1:27" ht="15.75" customHeight="1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</row>
    <row r="478" spans="1:27" ht="15.75" customHeight="1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</row>
    <row r="479" spans="1:27" ht="15.75" customHeight="1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</row>
    <row r="480" spans="1:27" ht="15.75" customHeight="1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</row>
    <row r="481" spans="1:27" ht="15.75" customHeight="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</row>
    <row r="482" spans="1:27" ht="15.75" customHeight="1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</row>
    <row r="483" spans="1:27" ht="15.75" customHeight="1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</row>
    <row r="484" spans="1:27" ht="15.75" customHeight="1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</row>
    <row r="485" spans="1:27" ht="15.75" customHeight="1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</row>
    <row r="486" spans="1:27" ht="15.75" customHeight="1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</row>
    <row r="487" spans="1:27" ht="15.75" customHeight="1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</row>
    <row r="488" spans="1:27" ht="15.75" customHeight="1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</row>
    <row r="489" spans="1:27" ht="15.75" customHeight="1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</row>
    <row r="490" spans="1:27" ht="15.75" customHeight="1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</row>
    <row r="491" spans="1:27" ht="15.75" customHeight="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</row>
    <row r="492" spans="1:27" ht="15.75" customHeight="1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</row>
    <row r="493" spans="1:27" ht="15.75" customHeight="1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</row>
    <row r="494" spans="1:27" ht="15.75" customHeight="1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</row>
    <row r="495" spans="1:27" ht="15.75" customHeight="1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</row>
    <row r="496" spans="1:27" ht="15.75" customHeight="1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</row>
    <row r="497" spans="1:27" ht="15.75" customHeight="1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</row>
    <row r="498" spans="1:27" ht="15.75" customHeight="1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</row>
    <row r="499" spans="1:27" ht="15.75" customHeight="1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</row>
    <row r="500" spans="1:27" ht="15.75" customHeight="1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</row>
    <row r="501" spans="1:27" ht="15.75" customHeight="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</row>
    <row r="502" spans="1:27" ht="15.75" customHeight="1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</row>
    <row r="503" spans="1:27" ht="15.75" customHeight="1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</row>
    <row r="504" spans="1:27" ht="15.75" customHeight="1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</row>
    <row r="505" spans="1:27" ht="15.75" customHeight="1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</row>
    <row r="506" spans="1:27" ht="15.75" customHeight="1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</row>
    <row r="507" spans="1:27" ht="15.75" customHeight="1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</row>
    <row r="508" spans="1:27" ht="15.75" customHeight="1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</row>
    <row r="509" spans="1:27" ht="15.75" customHeight="1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</row>
    <row r="510" spans="1:27" ht="15.75" customHeight="1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</row>
    <row r="511" spans="1:27" ht="15.75" customHeight="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</row>
    <row r="512" spans="1:27" ht="15.75" customHeight="1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</row>
    <row r="513" spans="1:27" ht="15.75" customHeight="1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</row>
    <row r="514" spans="1:27" ht="15.75" customHeight="1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</row>
    <row r="515" spans="1:27" ht="15.75" customHeight="1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</row>
    <row r="516" spans="1:27" ht="15.75" customHeight="1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</row>
    <row r="517" spans="1:27" ht="15.75" customHeight="1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</row>
    <row r="518" spans="1:27" ht="15.75" customHeight="1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</row>
    <row r="519" spans="1:27" ht="15.75" customHeight="1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</row>
    <row r="520" spans="1:27" ht="15.75" customHeight="1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</row>
    <row r="521" spans="1:27" ht="15.75" customHeight="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</row>
    <row r="522" spans="1:27" ht="15.75" customHeight="1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</row>
    <row r="523" spans="1:27" ht="15.75" customHeight="1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</row>
    <row r="524" spans="1:27" ht="15.75" customHeight="1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</row>
    <row r="525" spans="1:27" ht="15.75" customHeight="1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</row>
    <row r="526" spans="1:27" ht="15.75" customHeight="1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</row>
    <row r="527" spans="1:27" ht="15.75" customHeight="1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</row>
    <row r="528" spans="1:27" ht="15.75" customHeight="1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</row>
    <row r="529" spans="1:27" ht="15.75" customHeight="1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</row>
    <row r="530" spans="1:27" ht="15.75" customHeight="1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</row>
    <row r="531" spans="1:27" ht="15.75" customHeight="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</row>
    <row r="532" spans="1:27" ht="15.75" customHeight="1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</row>
    <row r="533" spans="1:27" ht="15.75" customHeight="1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</row>
    <row r="534" spans="1:27" ht="15.75" customHeight="1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</row>
    <row r="535" spans="1:27" ht="15.75" customHeight="1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</row>
    <row r="536" spans="1:27" ht="15.75" customHeight="1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</row>
    <row r="537" spans="1:27" ht="15.75" customHeight="1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</row>
    <row r="538" spans="1:27" ht="15.75" customHeight="1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</row>
    <row r="539" spans="1:27" ht="15.75" customHeight="1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</row>
    <row r="540" spans="1:27" ht="15.75" customHeight="1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</row>
    <row r="541" spans="1:27" ht="15.75" customHeight="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</row>
    <row r="542" spans="1:27" ht="15.75" customHeight="1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</row>
    <row r="543" spans="1:27" ht="15.75" customHeight="1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</row>
    <row r="544" spans="1:27" ht="15.75" customHeight="1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</row>
    <row r="545" spans="1:27" ht="15.75" customHeight="1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</row>
    <row r="546" spans="1:27" ht="15.75" customHeight="1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</row>
    <row r="547" spans="1:27" ht="15.75" customHeight="1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</row>
    <row r="548" spans="1:27" ht="15.75" customHeight="1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</row>
    <row r="549" spans="1:27" ht="15.75" customHeight="1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</row>
    <row r="550" spans="1:27" ht="15.75" customHeight="1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</row>
    <row r="551" spans="1:27" ht="15.75" customHeight="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</row>
    <row r="552" spans="1:27" ht="15.75" customHeight="1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</row>
    <row r="553" spans="1:27" ht="15.75" customHeight="1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</row>
    <row r="554" spans="1:27" ht="15.75" customHeight="1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</row>
    <row r="555" spans="1:27" ht="15.75" customHeight="1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</row>
    <row r="556" spans="1:27" ht="15.75" customHeight="1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</row>
    <row r="557" spans="1:27" ht="15.75" customHeight="1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</row>
    <row r="558" spans="1:27" ht="15.75" customHeight="1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</row>
    <row r="559" spans="1:27" ht="15.75" customHeight="1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</row>
    <row r="560" spans="1:27" ht="15.75" customHeight="1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</row>
    <row r="561" spans="1:27" ht="15.75" customHeight="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</row>
    <row r="562" spans="1:27" ht="15.75" customHeight="1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</row>
    <row r="563" spans="1:27" ht="15.75" customHeight="1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</row>
    <row r="564" spans="1:27" ht="15.75" customHeight="1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</row>
    <row r="565" spans="1:27" ht="15.75" customHeight="1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</row>
    <row r="566" spans="1:27" ht="15.75" customHeight="1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</row>
    <row r="567" spans="1:27" ht="15.75" customHeight="1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</row>
    <row r="568" spans="1:27" ht="15.75" customHeight="1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</row>
    <row r="569" spans="1:27" ht="15.75" customHeight="1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</row>
    <row r="570" spans="1:27" ht="15.75" customHeight="1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</row>
    <row r="571" spans="1:27" ht="15.75" customHeight="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</row>
    <row r="572" spans="1:27" ht="15.75" customHeight="1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</row>
    <row r="573" spans="1:27" ht="15.75" customHeight="1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</row>
    <row r="574" spans="1:27" ht="15.75" customHeight="1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</row>
    <row r="575" spans="1:27" ht="15.75" customHeight="1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</row>
    <row r="576" spans="1:27" ht="15.75" customHeight="1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</row>
    <row r="577" spans="1:27" ht="15.75" customHeight="1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</row>
    <row r="578" spans="1:27" ht="15.75" customHeight="1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</row>
    <row r="579" spans="1:27" ht="15.75" customHeight="1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</row>
    <row r="580" spans="1:27" ht="15.75" customHeight="1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</row>
    <row r="581" spans="1:27" ht="15.75" customHeight="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</row>
    <row r="582" spans="1:27" ht="15.75" customHeight="1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</row>
    <row r="583" spans="1:27" ht="15.75" customHeight="1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</row>
    <row r="584" spans="1:27" ht="15.75" customHeight="1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</row>
    <row r="585" spans="1:27" ht="15.75" customHeight="1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</row>
    <row r="586" spans="1:27" ht="15.75" customHeight="1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</row>
    <row r="587" spans="1:27" ht="15.75" customHeight="1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</row>
    <row r="588" spans="1:27" ht="15.75" customHeight="1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</row>
    <row r="589" spans="1:27" ht="15.75" customHeight="1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</row>
    <row r="590" spans="1:27" ht="15.75" customHeight="1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</row>
    <row r="591" spans="1:27" ht="15.75" customHeight="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</row>
    <row r="592" spans="1:27" ht="15.75" customHeight="1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</row>
    <row r="593" spans="1:27" ht="15.75" customHeight="1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</row>
    <row r="594" spans="1:27" ht="15.75" customHeight="1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</row>
    <row r="595" spans="1:27" ht="15.75" customHeight="1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</row>
    <row r="596" spans="1:27" ht="15.75" customHeight="1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</row>
    <row r="597" spans="1:27" ht="15.75" customHeight="1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</row>
    <row r="598" spans="1:27" ht="15.75" customHeight="1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</row>
    <row r="599" spans="1:27" ht="15.75" customHeight="1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</row>
    <row r="600" spans="1:27" ht="15.75" customHeight="1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</row>
    <row r="601" spans="1:27" ht="15.75" customHeight="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</row>
    <row r="602" spans="1:27" ht="15.75" customHeight="1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</row>
    <row r="603" spans="1:27" ht="15.75" customHeight="1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</row>
    <row r="604" spans="1:27" ht="15.75" customHeight="1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</row>
    <row r="605" spans="1:27" ht="15.75" customHeight="1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</row>
    <row r="606" spans="1:27" ht="15.75" customHeight="1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</row>
    <row r="607" spans="1:27" ht="15.75" customHeight="1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</row>
    <row r="608" spans="1:27" ht="15.75" customHeight="1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</row>
    <row r="609" spans="1:27" ht="15.75" customHeight="1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</row>
    <row r="610" spans="1:27" ht="15.75" customHeight="1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</row>
    <row r="611" spans="1:27" ht="15.75" customHeight="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</row>
    <row r="612" spans="1:27" ht="15.75" customHeight="1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</row>
    <row r="613" spans="1:27" ht="15.75" customHeight="1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</row>
    <row r="614" spans="1:27" ht="15.75" customHeight="1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</row>
    <row r="615" spans="1:27" ht="15.75" customHeight="1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</row>
    <row r="616" spans="1:27" ht="15.75" customHeight="1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</row>
    <row r="617" spans="1:27" ht="15.75" customHeight="1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</row>
    <row r="618" spans="1:27" ht="15.75" customHeight="1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</row>
    <row r="619" spans="1:27" ht="15.75" customHeight="1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</row>
    <row r="620" spans="1:27" ht="15.75" customHeight="1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</row>
    <row r="621" spans="1:27" ht="15.75" customHeight="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</row>
    <row r="622" spans="1:27" ht="15.75" customHeight="1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</row>
    <row r="623" spans="1:27" ht="15.75" customHeight="1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</row>
    <row r="624" spans="1:27" ht="15.75" customHeight="1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</row>
    <row r="625" spans="1:27" ht="15.75" customHeight="1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</row>
    <row r="626" spans="1:27" ht="15.75" customHeight="1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</row>
    <row r="627" spans="1:27" ht="15.75" customHeight="1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</row>
    <row r="628" spans="1:27" ht="15.75" customHeight="1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</row>
    <row r="629" spans="1:27" ht="15.75" customHeight="1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</row>
    <row r="630" spans="1:27" ht="15.75" customHeight="1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</row>
    <row r="631" spans="1:27" ht="15.75" customHeight="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</row>
    <row r="632" spans="1:27" ht="15.75" customHeight="1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</row>
    <row r="633" spans="1:27" ht="15.75" customHeight="1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</row>
    <row r="634" spans="1:27" ht="15.75" customHeight="1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</row>
    <row r="635" spans="1:27" ht="15.75" customHeight="1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</row>
    <row r="636" spans="1:27" ht="15.75" customHeight="1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</row>
    <row r="637" spans="1:27" ht="15.75" customHeight="1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</row>
    <row r="638" spans="1:27" ht="15.75" customHeight="1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</row>
    <row r="639" spans="1:27" ht="15.75" customHeight="1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</row>
    <row r="640" spans="1:27" ht="15.75" customHeight="1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</row>
    <row r="641" spans="1:27" ht="15.75" customHeight="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</row>
    <row r="642" spans="1:27" ht="15.75" customHeight="1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</row>
    <row r="643" spans="1:27" ht="15.75" customHeight="1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</row>
    <row r="644" spans="1:27" ht="15.75" customHeight="1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</row>
    <row r="645" spans="1:27" ht="15.75" customHeight="1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</row>
    <row r="646" spans="1:27" ht="15.75" customHeight="1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</row>
    <row r="647" spans="1:27" ht="15.75" customHeight="1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</row>
    <row r="648" spans="1:27" ht="15.75" customHeight="1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</row>
    <row r="649" spans="1:27" ht="15.75" customHeight="1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</row>
    <row r="650" spans="1:27" ht="15.75" customHeight="1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</row>
    <row r="651" spans="1:27" ht="15.75" customHeight="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</row>
    <row r="652" spans="1:27" ht="15.75" customHeight="1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</row>
    <row r="653" spans="1:27" ht="15.75" customHeight="1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</row>
    <row r="654" spans="1:27" ht="15.75" customHeight="1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</row>
    <row r="655" spans="1:27" ht="15.75" customHeight="1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</row>
    <row r="656" spans="1:27" ht="15.75" customHeight="1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</row>
    <row r="657" spans="1:27" ht="15.75" customHeight="1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</row>
    <row r="658" spans="1:27" ht="15.75" customHeight="1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</row>
    <row r="659" spans="1:27" ht="15.75" customHeight="1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</row>
    <row r="660" spans="1:27" ht="15.75" customHeight="1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</row>
    <row r="661" spans="1:27" ht="15.75" customHeight="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</row>
    <row r="662" spans="1:27" ht="15.75" customHeight="1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</row>
    <row r="663" spans="1:27" ht="15.75" customHeight="1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</row>
    <row r="664" spans="1:27" ht="15.75" customHeight="1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</row>
    <row r="665" spans="1:27" ht="15.75" customHeight="1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</row>
    <row r="666" spans="1:27" ht="15.75" customHeight="1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</row>
    <row r="667" spans="1:27" ht="15.75" customHeight="1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</row>
    <row r="668" spans="1:27" ht="15.75" customHeight="1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</row>
    <row r="669" spans="1:27" ht="15.75" customHeight="1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</row>
    <row r="670" spans="1:27" ht="15.75" customHeight="1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</row>
    <row r="671" spans="1:27" ht="15.75" customHeight="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</row>
    <row r="672" spans="1:27" ht="15.75" customHeight="1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</row>
    <row r="673" spans="1:27" ht="15.75" customHeight="1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</row>
    <row r="674" spans="1:27" ht="15.75" customHeight="1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</row>
    <row r="675" spans="1:27" ht="15.75" customHeight="1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</row>
    <row r="676" spans="1:27" ht="15.75" customHeight="1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</row>
    <row r="677" spans="1:27" ht="15.75" customHeight="1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</row>
    <row r="678" spans="1:27" ht="15.75" customHeight="1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</row>
    <row r="679" spans="1:27" ht="15.75" customHeight="1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</row>
    <row r="680" spans="1:27" ht="15.75" customHeight="1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</row>
    <row r="681" spans="1:27" ht="15.75" customHeight="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</row>
    <row r="682" spans="1:27" ht="15.75" customHeight="1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</row>
    <row r="683" spans="1:27" ht="15.75" customHeight="1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</row>
    <row r="684" spans="1:27" ht="15.75" customHeight="1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</row>
    <row r="685" spans="1:27" ht="15.75" customHeight="1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</row>
    <row r="686" spans="1:27" ht="15.75" customHeight="1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</row>
    <row r="687" spans="1:27" ht="15.75" customHeight="1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</row>
    <row r="688" spans="1:27" ht="15.75" customHeight="1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</row>
    <row r="689" spans="1:27" ht="15.75" customHeight="1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</row>
    <row r="690" spans="1:27" ht="15.75" customHeight="1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</row>
    <row r="691" spans="1:27" ht="15.75" customHeight="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</row>
    <row r="692" spans="1:27" ht="15.75" customHeight="1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</row>
    <row r="693" spans="1:27" ht="15.75" customHeight="1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</row>
    <row r="694" spans="1:27" ht="15.75" customHeight="1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</row>
    <row r="695" spans="1:27" ht="15.75" customHeight="1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</row>
    <row r="696" spans="1:27" ht="15.75" customHeight="1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</row>
    <row r="697" spans="1:27" ht="15.75" customHeight="1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</row>
    <row r="698" spans="1:27" ht="15.75" customHeight="1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</row>
    <row r="699" spans="1:27" ht="15.75" customHeight="1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</row>
    <row r="700" spans="1:27" ht="15.75" customHeight="1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</row>
    <row r="701" spans="1:27" ht="15.75" customHeight="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</row>
    <row r="702" spans="1:27" ht="15.75" customHeight="1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</row>
    <row r="703" spans="1:27" ht="15.75" customHeight="1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</row>
    <row r="704" spans="1:27" ht="15.75" customHeight="1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</row>
    <row r="705" spans="1:27" ht="15.75" customHeight="1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</row>
    <row r="706" spans="1:27" ht="15.75" customHeight="1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</row>
    <row r="707" spans="1:27" ht="15.75" customHeight="1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</row>
    <row r="708" spans="1:27" ht="15.75" customHeight="1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</row>
    <row r="709" spans="1:27" ht="15.75" customHeight="1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</row>
    <row r="710" spans="1:27" ht="15.75" customHeight="1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</row>
    <row r="711" spans="1:27" ht="15.75" customHeight="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</row>
    <row r="712" spans="1:27" ht="15.75" customHeight="1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</row>
    <row r="713" spans="1:27" ht="15.75" customHeight="1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</row>
    <row r="714" spans="1:27" ht="15.75" customHeight="1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</row>
    <row r="715" spans="1:27" ht="15.75" customHeight="1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</row>
    <row r="716" spans="1:27" ht="15.75" customHeight="1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</row>
    <row r="717" spans="1:27" ht="15.75" customHeight="1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</row>
    <row r="718" spans="1:27" ht="15.75" customHeight="1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</row>
    <row r="719" spans="1:27" ht="15.75" customHeight="1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</row>
    <row r="720" spans="1:27" ht="15.75" customHeight="1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</row>
    <row r="721" spans="1:27" ht="15.75" customHeight="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</row>
    <row r="722" spans="1:27" ht="15.75" customHeight="1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</row>
    <row r="723" spans="1:27" ht="15.75" customHeight="1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</row>
    <row r="724" spans="1:27" ht="15.75" customHeight="1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</row>
    <row r="725" spans="1:27" ht="15.75" customHeight="1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</row>
    <row r="726" spans="1:27" ht="15.75" customHeight="1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</row>
    <row r="727" spans="1:27" ht="15.75" customHeight="1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</row>
    <row r="728" spans="1:27" ht="15.75" customHeight="1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</row>
    <row r="729" spans="1:27" ht="15.75" customHeight="1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</row>
    <row r="730" spans="1:27" ht="15.75" customHeight="1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</row>
    <row r="731" spans="1:27" ht="15.75" customHeight="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</row>
    <row r="732" spans="1:27" ht="15.75" customHeight="1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</row>
    <row r="733" spans="1:27" ht="15.75" customHeight="1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</row>
    <row r="734" spans="1:27" ht="15.75" customHeight="1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</row>
    <row r="735" spans="1:27" ht="15.75" customHeight="1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</row>
    <row r="736" spans="1:27" ht="15.75" customHeight="1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</row>
    <row r="737" spans="1:27" ht="15.75" customHeight="1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</row>
    <row r="738" spans="1:27" ht="15.75" customHeight="1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</row>
    <row r="739" spans="1:27" ht="15.75" customHeight="1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</row>
    <row r="740" spans="1:27" ht="15.75" customHeight="1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</row>
    <row r="741" spans="1:27" ht="15.75" customHeight="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</row>
    <row r="742" spans="1:27" ht="15.75" customHeight="1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</row>
    <row r="743" spans="1:27" ht="15.75" customHeight="1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</row>
    <row r="744" spans="1:27" ht="15.75" customHeight="1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</row>
    <row r="745" spans="1:27" ht="15.75" customHeight="1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</row>
    <row r="746" spans="1:27" ht="15.75" customHeight="1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</row>
    <row r="747" spans="1:27" ht="15.75" customHeight="1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</row>
    <row r="748" spans="1:27" ht="15.75" customHeight="1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</row>
    <row r="749" spans="1:27" ht="15.75" customHeight="1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</row>
    <row r="750" spans="1:27" ht="15.75" customHeight="1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</row>
    <row r="751" spans="1:27" ht="15.75" customHeight="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</row>
    <row r="752" spans="1:27" ht="15.75" customHeight="1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</row>
    <row r="753" spans="1:27" ht="15.75" customHeight="1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</row>
    <row r="754" spans="1:27" ht="15.75" customHeight="1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</row>
    <row r="755" spans="1:27" ht="15.75" customHeight="1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</row>
    <row r="756" spans="1:27" ht="15.75" customHeight="1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</row>
    <row r="757" spans="1:27" ht="15.75" customHeight="1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</row>
    <row r="758" spans="1:27" ht="15.75" customHeight="1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</row>
    <row r="759" spans="1:27" ht="15.75" customHeight="1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</row>
    <row r="760" spans="1:27" ht="15.75" customHeight="1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</row>
    <row r="761" spans="1:27" ht="15.75" customHeight="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</row>
    <row r="762" spans="1:27" ht="15.75" customHeight="1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</row>
    <row r="763" spans="1:27" ht="15.75" customHeight="1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</row>
    <row r="764" spans="1:27" ht="15.75" customHeight="1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</row>
    <row r="765" spans="1:27" ht="15.75" customHeight="1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</row>
    <row r="766" spans="1:27" ht="15.75" customHeight="1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</row>
    <row r="767" spans="1:27" ht="15.75" customHeight="1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</row>
    <row r="768" spans="1:27" ht="15.75" customHeight="1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</row>
    <row r="769" spans="1:27" ht="15.75" customHeight="1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</row>
    <row r="770" spans="1:27" ht="15.75" customHeight="1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</row>
    <row r="771" spans="1:27" ht="15.75" customHeight="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</row>
    <row r="772" spans="1:27" ht="15.75" customHeight="1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</row>
    <row r="773" spans="1:27" ht="15.75" customHeight="1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</row>
    <row r="774" spans="1:27" ht="15.75" customHeight="1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</row>
    <row r="775" spans="1:27" ht="15.75" customHeight="1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</row>
    <row r="776" spans="1:27" ht="15.75" customHeight="1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</row>
    <row r="777" spans="1:27" ht="15.75" customHeight="1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</row>
    <row r="778" spans="1:27" ht="15.75" customHeight="1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</row>
    <row r="779" spans="1:27" ht="15.75" customHeight="1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</row>
    <row r="780" spans="1:27" ht="15.75" customHeight="1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</row>
    <row r="781" spans="1:27" ht="15.75" customHeight="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</row>
    <row r="782" spans="1:27" ht="15.75" customHeight="1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</row>
    <row r="783" spans="1:27" ht="15.75" customHeight="1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</row>
    <row r="784" spans="1:27" ht="15.75" customHeight="1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</row>
    <row r="785" spans="1:27" ht="15.75" customHeight="1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</row>
  </sheetData>
  <mergeCells count="31">
    <mergeCell ref="F28:G28"/>
    <mergeCell ref="C21:C22"/>
    <mergeCell ref="H21:H22"/>
    <mergeCell ref="A4:J4"/>
    <mergeCell ref="J5:J6"/>
    <mergeCell ref="F26:G26"/>
    <mergeCell ref="L5:L6"/>
    <mergeCell ref="A5:A6"/>
    <mergeCell ref="G5:G6"/>
    <mergeCell ref="F5:F6"/>
    <mergeCell ref="E5:E6"/>
    <mergeCell ref="H5:H6"/>
    <mergeCell ref="I5:I6"/>
    <mergeCell ref="C5:C6"/>
    <mergeCell ref="D5:D6"/>
    <mergeCell ref="F31:G31"/>
    <mergeCell ref="A21:A22"/>
    <mergeCell ref="F19:G19"/>
    <mergeCell ref="A1:J1"/>
    <mergeCell ref="B5:B6"/>
    <mergeCell ref="A2:J2"/>
    <mergeCell ref="A3:J3"/>
    <mergeCell ref="B21:B22"/>
    <mergeCell ref="G21:G22"/>
    <mergeCell ref="D21:D22"/>
    <mergeCell ref="E21:E22"/>
    <mergeCell ref="F21:F22"/>
    <mergeCell ref="I21:I22"/>
    <mergeCell ref="J21:J22"/>
    <mergeCell ref="A20:F20"/>
    <mergeCell ref="F29:G29"/>
  </mergeCells>
  <printOptions horizontalCentered="1" verticalCentered="1"/>
  <pageMargins left="0.69930555555555596" right="0.69930555555555596" top="0.75" bottom="0.75" header="0" footer="0"/>
  <pageSetup paperSize="9" scale="7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63"/>
  <sheetViews>
    <sheetView topLeftCell="E37" workbookViewId="0">
      <selection activeCell="J48" sqref="J48"/>
    </sheetView>
  </sheetViews>
  <sheetFormatPr defaultColWidth="9.83203125" defaultRowHeight="15" customHeight="1"/>
  <cols>
    <col min="1" max="1" width="3.08203125" style="1" customWidth="1"/>
    <col min="2" max="2" width="16.83203125" style="1" customWidth="1"/>
    <col min="3" max="3" width="25.58203125" style="1" customWidth="1"/>
    <col min="4" max="4" width="32.08203125" style="1" customWidth="1"/>
    <col min="5" max="5" width="21" style="1" customWidth="1"/>
    <col min="6" max="6" width="11.33203125" style="1" customWidth="1"/>
    <col min="7" max="7" width="11.75" style="1" customWidth="1"/>
    <col min="8" max="8" width="14.08203125" style="1" customWidth="1"/>
    <col min="9" max="9" width="14" style="1" customWidth="1"/>
    <col min="10" max="12" width="13.25" style="1" customWidth="1"/>
    <col min="13" max="13" width="1.25" style="1" customWidth="1"/>
    <col min="14" max="14" width="15.33203125" style="1" customWidth="1"/>
    <col min="15" max="29" width="8.75" style="1" customWidth="1"/>
    <col min="30" max="16384" width="9.83203125" style="1"/>
  </cols>
  <sheetData>
    <row r="1" spans="1:29" ht="18" customHeight="1">
      <c r="A1" s="1041" t="s">
        <v>3313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</row>
    <row r="2" spans="1:29" ht="18" customHeight="1">
      <c r="A2" s="1042" t="s">
        <v>3314</v>
      </c>
      <c r="B2" s="1042"/>
      <c r="C2" s="1042"/>
      <c r="D2" s="1042"/>
      <c r="E2" s="1042"/>
      <c r="F2" s="1042"/>
      <c r="G2" s="1042"/>
      <c r="H2" s="1042"/>
      <c r="I2" s="1042"/>
      <c r="J2" s="1042"/>
      <c r="K2" s="1042"/>
      <c r="L2" s="1042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</row>
    <row r="3" spans="1:29" ht="15" customHeight="1">
      <c r="A3" s="1038" t="s">
        <v>25</v>
      </c>
      <c r="B3" s="1039"/>
      <c r="C3" s="1039"/>
      <c r="D3" s="1039"/>
      <c r="E3" s="1039"/>
      <c r="F3" s="1039"/>
      <c r="G3" s="1039"/>
      <c r="H3" s="1039"/>
      <c r="I3" s="1039"/>
      <c r="J3" s="1039"/>
      <c r="K3" s="99"/>
      <c r="L3" s="99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</row>
    <row r="4" spans="1:29" ht="15" customHeight="1">
      <c r="A4" s="990" t="s">
        <v>3270</v>
      </c>
      <c r="B4" s="990" t="s">
        <v>3271</v>
      </c>
      <c r="C4" s="990" t="s">
        <v>3272</v>
      </c>
      <c r="D4" s="990" t="s">
        <v>3273</v>
      </c>
      <c r="E4" s="990" t="s">
        <v>3274</v>
      </c>
      <c r="F4" s="990" t="s">
        <v>3275</v>
      </c>
      <c r="G4" s="990" t="s">
        <v>13</v>
      </c>
      <c r="H4" s="991" t="s">
        <v>3276</v>
      </c>
      <c r="I4" s="991" t="s">
        <v>3277</v>
      </c>
      <c r="J4" s="991" t="s">
        <v>21</v>
      </c>
      <c r="K4" s="990" t="s">
        <v>3278</v>
      </c>
      <c r="L4" s="990" t="s">
        <v>3279</v>
      </c>
      <c r="M4" s="256"/>
      <c r="N4" s="993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56"/>
    </row>
    <row r="5" spans="1:29" ht="15" customHeight="1">
      <c r="A5" s="794"/>
      <c r="B5" s="794"/>
      <c r="C5" s="794"/>
      <c r="D5" s="794"/>
      <c r="E5" s="794"/>
      <c r="F5" s="794"/>
      <c r="G5" s="794"/>
      <c r="H5" s="868"/>
      <c r="I5" s="868"/>
      <c r="J5" s="868"/>
      <c r="K5" s="1040"/>
      <c r="L5" s="794"/>
      <c r="M5" s="256"/>
      <c r="N5" s="993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</row>
    <row r="6" spans="1:29" ht="15" customHeight="1">
      <c r="A6" s="1031" t="s">
        <v>3315</v>
      </c>
      <c r="B6" s="1032"/>
      <c r="C6" s="1032"/>
      <c r="D6" s="1032"/>
      <c r="E6" s="1032"/>
      <c r="F6" s="1032"/>
      <c r="G6" s="1032"/>
      <c r="H6" s="1032"/>
      <c r="I6" s="1032"/>
      <c r="J6" s="1032"/>
      <c r="K6" s="1032"/>
      <c r="L6" s="1033"/>
      <c r="M6" s="256"/>
      <c r="N6" s="257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</row>
    <row r="7" spans="1:29" ht="30" customHeight="1">
      <c r="A7" s="9">
        <v>1</v>
      </c>
      <c r="B7" s="12" t="s">
        <v>1511</v>
      </c>
      <c r="C7" s="9" t="s">
        <v>3280</v>
      </c>
      <c r="D7" s="9" t="s">
        <v>1375</v>
      </c>
      <c r="E7" s="9" t="s">
        <v>1507</v>
      </c>
      <c r="F7" s="9" t="s">
        <v>296</v>
      </c>
      <c r="G7" s="12">
        <v>44936</v>
      </c>
      <c r="H7" s="336">
        <v>8800000</v>
      </c>
      <c r="I7" s="336">
        <v>11550000</v>
      </c>
      <c r="J7" s="336">
        <f t="shared" ref="J7:J12" si="0">I7-H7</f>
        <v>2750000</v>
      </c>
      <c r="K7" s="12">
        <v>45000</v>
      </c>
      <c r="L7" s="12" t="s">
        <v>3281</v>
      </c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</row>
    <row r="8" spans="1:29" ht="30" customHeight="1">
      <c r="A8" s="9">
        <v>2</v>
      </c>
      <c r="B8" s="12" t="s">
        <v>1522</v>
      </c>
      <c r="C8" s="9" t="s">
        <v>3282</v>
      </c>
      <c r="D8" s="9" t="s">
        <v>1375</v>
      </c>
      <c r="E8" s="9" t="s">
        <v>1519</v>
      </c>
      <c r="F8" s="9" t="s">
        <v>296</v>
      </c>
      <c r="G8" s="12">
        <v>44941</v>
      </c>
      <c r="H8" s="336">
        <v>6600000</v>
      </c>
      <c r="I8" s="336">
        <v>8750000</v>
      </c>
      <c r="J8" s="336">
        <f t="shared" si="0"/>
        <v>2150000</v>
      </c>
      <c r="K8" s="12">
        <v>45000</v>
      </c>
      <c r="L8" s="12" t="s">
        <v>3281</v>
      </c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</row>
    <row r="9" spans="1:29" ht="30" customHeight="1">
      <c r="A9" s="9">
        <v>3</v>
      </c>
      <c r="B9" s="12" t="s">
        <v>1532</v>
      </c>
      <c r="C9" s="12" t="s">
        <v>3283</v>
      </c>
      <c r="D9" s="9" t="s">
        <v>1375</v>
      </c>
      <c r="E9" s="9" t="s">
        <v>1528</v>
      </c>
      <c r="F9" s="9" t="s">
        <v>94</v>
      </c>
      <c r="G9" s="12">
        <v>44944</v>
      </c>
      <c r="H9" s="336">
        <v>7279790.5</v>
      </c>
      <c r="I9" s="336">
        <v>15223868.5</v>
      </c>
      <c r="J9" s="336">
        <f t="shared" si="0"/>
        <v>7944078</v>
      </c>
      <c r="K9" s="12">
        <v>45000</v>
      </c>
      <c r="L9" s="12" t="s">
        <v>3284</v>
      </c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</row>
    <row r="10" spans="1:29" ht="30" customHeight="1">
      <c r="A10" s="9">
        <v>4</v>
      </c>
      <c r="B10" s="9" t="s">
        <v>1546</v>
      </c>
      <c r="C10" s="12" t="s">
        <v>3285</v>
      </c>
      <c r="D10" s="9" t="s">
        <v>1485</v>
      </c>
      <c r="E10" s="9" t="s">
        <v>1543</v>
      </c>
      <c r="F10" s="9" t="s">
        <v>1491</v>
      </c>
      <c r="G10" s="12">
        <v>44940</v>
      </c>
      <c r="H10" s="336">
        <v>2750000</v>
      </c>
      <c r="I10" s="336">
        <v>3650000</v>
      </c>
      <c r="J10" s="336">
        <f t="shared" si="0"/>
        <v>900000</v>
      </c>
      <c r="K10" s="12">
        <v>44964</v>
      </c>
      <c r="L10" s="12" t="s">
        <v>3284</v>
      </c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</row>
    <row r="11" spans="1:29" ht="30" customHeight="1">
      <c r="A11" s="9">
        <v>5</v>
      </c>
      <c r="B11" s="12" t="s">
        <v>1540</v>
      </c>
      <c r="C11" s="12" t="s">
        <v>3286</v>
      </c>
      <c r="D11" s="9" t="s">
        <v>1536</v>
      </c>
      <c r="E11" s="10" t="s">
        <v>3287</v>
      </c>
      <c r="F11" s="9" t="s">
        <v>2468</v>
      </c>
      <c r="G11" s="12">
        <v>44961</v>
      </c>
      <c r="H11" s="336">
        <v>12809512</v>
      </c>
      <c r="I11" s="336">
        <v>29145905</v>
      </c>
      <c r="J11" s="336">
        <f t="shared" si="0"/>
        <v>16336393</v>
      </c>
      <c r="K11" s="12">
        <v>45016</v>
      </c>
      <c r="L11" s="12" t="s">
        <v>3281</v>
      </c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</row>
    <row r="12" spans="1:29" ht="30" customHeight="1">
      <c r="A12" s="9">
        <v>6</v>
      </c>
      <c r="B12" s="9" t="s">
        <v>1554</v>
      </c>
      <c r="C12" s="9" t="s">
        <v>1270</v>
      </c>
      <c r="D12" s="9" t="s">
        <v>3288</v>
      </c>
      <c r="E12" s="9" t="s">
        <v>1550</v>
      </c>
      <c r="F12" s="9" t="s">
        <v>3289</v>
      </c>
      <c r="G12" s="12">
        <v>44956</v>
      </c>
      <c r="H12" s="336">
        <v>18241664</v>
      </c>
      <c r="I12" s="336">
        <v>25479164</v>
      </c>
      <c r="J12" s="336">
        <f t="shared" si="0"/>
        <v>7237500</v>
      </c>
      <c r="K12" s="12">
        <v>45026</v>
      </c>
      <c r="L12" s="12" t="s">
        <v>3281</v>
      </c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</row>
    <row r="13" spans="1:29" ht="15" customHeight="1">
      <c r="A13" s="1031" t="s">
        <v>3316</v>
      </c>
      <c r="B13" s="1032"/>
      <c r="C13" s="1032"/>
      <c r="D13" s="1032"/>
      <c r="E13" s="1032"/>
      <c r="F13" s="1032"/>
      <c r="G13" s="1032"/>
      <c r="H13" s="1032"/>
      <c r="I13" s="1032"/>
      <c r="J13" s="1032"/>
      <c r="K13" s="1032"/>
      <c r="L13" s="1033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</row>
    <row r="14" spans="1:29" s="337" customFormat="1" ht="23.25" customHeight="1">
      <c r="A14" s="338">
        <v>1</v>
      </c>
      <c r="B14" s="339" t="s">
        <v>1584</v>
      </c>
      <c r="C14" s="338" t="s">
        <v>1551</v>
      </c>
      <c r="D14" s="338" t="s">
        <v>1580</v>
      </c>
      <c r="E14" s="338" t="s">
        <v>1581</v>
      </c>
      <c r="F14" s="338" t="s">
        <v>1585</v>
      </c>
      <c r="G14" s="340">
        <v>44965</v>
      </c>
      <c r="H14" s="341">
        <v>4510000</v>
      </c>
      <c r="I14" s="341">
        <v>5310000</v>
      </c>
      <c r="J14" s="341">
        <f t="shared" ref="J14:J18" si="1">I14-H14</f>
        <v>800000</v>
      </c>
      <c r="K14" s="12">
        <v>45000</v>
      </c>
      <c r="L14" s="12" t="s">
        <v>3281</v>
      </c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</row>
    <row r="15" spans="1:29" s="337" customFormat="1" ht="23.25" customHeight="1">
      <c r="A15" s="338">
        <v>2</v>
      </c>
      <c r="B15" s="339" t="s">
        <v>1591</v>
      </c>
      <c r="C15" s="338" t="s">
        <v>1588</v>
      </c>
      <c r="D15" s="338" t="s">
        <v>1485</v>
      </c>
      <c r="E15" s="338" t="s">
        <v>1587</v>
      </c>
      <c r="F15" s="338" t="s">
        <v>1491</v>
      </c>
      <c r="G15" s="340">
        <v>44970</v>
      </c>
      <c r="H15" s="341">
        <v>3144660</v>
      </c>
      <c r="I15" s="341">
        <v>3994660</v>
      </c>
      <c r="J15" s="341">
        <f t="shared" si="1"/>
        <v>850000</v>
      </c>
      <c r="K15" s="12">
        <v>45000</v>
      </c>
      <c r="L15" s="12" t="s">
        <v>3284</v>
      </c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</row>
    <row r="16" spans="1:29" s="337" customFormat="1" ht="23.25" customHeight="1">
      <c r="A16" s="338">
        <v>3</v>
      </c>
      <c r="B16" s="339" t="s">
        <v>1596</v>
      </c>
      <c r="C16" s="338" t="s">
        <v>1588</v>
      </c>
      <c r="D16" s="338" t="s">
        <v>1485</v>
      </c>
      <c r="E16" s="338" t="s">
        <v>1594</v>
      </c>
      <c r="F16" s="338" t="s">
        <v>1491</v>
      </c>
      <c r="G16" s="340">
        <v>44978</v>
      </c>
      <c r="H16" s="341">
        <v>3844660</v>
      </c>
      <c r="I16" s="341">
        <v>5994660</v>
      </c>
      <c r="J16" s="341">
        <f t="shared" si="1"/>
        <v>2150000</v>
      </c>
      <c r="K16" s="12">
        <v>45000</v>
      </c>
      <c r="L16" s="12" t="s">
        <v>3284</v>
      </c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</row>
    <row r="17" spans="1:29" s="337" customFormat="1" ht="23.25" customHeight="1">
      <c r="A17" s="338">
        <v>4</v>
      </c>
      <c r="B17" s="339" t="s">
        <v>1601</v>
      </c>
      <c r="C17" s="338" t="s">
        <v>1599</v>
      </c>
      <c r="D17" s="338" t="s">
        <v>749</v>
      </c>
      <c r="E17" s="338" t="s">
        <v>1598</v>
      </c>
      <c r="F17" s="338" t="s">
        <v>1603</v>
      </c>
      <c r="G17" s="340">
        <v>44982</v>
      </c>
      <c r="H17" s="341">
        <v>2232700</v>
      </c>
      <c r="I17" s="341">
        <v>4197700</v>
      </c>
      <c r="J17" s="341">
        <f t="shared" si="1"/>
        <v>1965000</v>
      </c>
      <c r="K17" s="12">
        <v>44964</v>
      </c>
      <c r="L17" s="12" t="s">
        <v>3284</v>
      </c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</row>
    <row r="18" spans="1:29" s="337" customFormat="1" ht="23.25" customHeight="1">
      <c r="A18" s="338">
        <v>5</v>
      </c>
      <c r="B18" s="339" t="s">
        <v>1610</v>
      </c>
      <c r="C18" s="338" t="s">
        <v>1588</v>
      </c>
      <c r="D18" s="338" t="s">
        <v>1485</v>
      </c>
      <c r="E18" s="338" t="s">
        <v>1607</v>
      </c>
      <c r="F18" s="338" t="s">
        <v>1491</v>
      </c>
      <c r="G18" s="340">
        <v>44983</v>
      </c>
      <c r="H18" s="341">
        <v>2100000</v>
      </c>
      <c r="I18" s="341">
        <v>2950000</v>
      </c>
      <c r="J18" s="341">
        <f t="shared" si="1"/>
        <v>850000</v>
      </c>
      <c r="K18" s="12">
        <v>45016</v>
      </c>
      <c r="L18" s="12" t="s">
        <v>3284</v>
      </c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</row>
    <row r="19" spans="1:29" ht="13.5" customHeight="1">
      <c r="A19" s="1031" t="s">
        <v>3317</v>
      </c>
      <c r="B19" s="1032"/>
      <c r="C19" s="1032"/>
      <c r="D19" s="1032"/>
      <c r="E19" s="1032"/>
      <c r="F19" s="1032"/>
      <c r="G19" s="1032"/>
      <c r="H19" s="1032"/>
      <c r="I19" s="1032"/>
      <c r="J19" s="1032"/>
      <c r="K19" s="1032"/>
      <c r="L19" s="1037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</row>
    <row r="20" spans="1:29" s="337" customFormat="1" ht="33.75" customHeight="1">
      <c r="A20" s="9">
        <v>1</v>
      </c>
      <c r="B20" s="10" t="s">
        <v>1621</v>
      </c>
      <c r="C20" s="9" t="s">
        <v>3305</v>
      </c>
      <c r="D20" s="13" t="s">
        <v>1375</v>
      </c>
      <c r="E20" s="13" t="s">
        <v>1617</v>
      </c>
      <c r="F20" s="13" t="s">
        <v>94</v>
      </c>
      <c r="G20" s="12">
        <v>44986</v>
      </c>
      <c r="H20" s="336">
        <v>1025000</v>
      </c>
      <c r="I20" s="336">
        <v>2750000</v>
      </c>
      <c r="J20" s="336">
        <f t="shared" ref="J20:J31" si="2">I20-H20</f>
        <v>1725000</v>
      </c>
      <c r="K20" s="34" t="s">
        <v>1515</v>
      </c>
      <c r="L20" s="133" t="s">
        <v>3284</v>
      </c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 spans="1:29" s="337" customFormat="1" ht="33.75" customHeight="1">
      <c r="A21" s="9">
        <v>2</v>
      </c>
      <c r="B21" s="10" t="s">
        <v>1627</v>
      </c>
      <c r="C21" s="9" t="s">
        <v>3305</v>
      </c>
      <c r="D21" s="13" t="s">
        <v>1375</v>
      </c>
      <c r="E21" s="13" t="s">
        <v>1626</v>
      </c>
      <c r="F21" s="13" t="s">
        <v>94</v>
      </c>
      <c r="G21" s="12">
        <v>44998</v>
      </c>
      <c r="H21" s="336">
        <v>875000</v>
      </c>
      <c r="I21" s="336">
        <v>2750000</v>
      </c>
      <c r="J21" s="336">
        <f t="shared" si="2"/>
        <v>1875000</v>
      </c>
      <c r="K21" s="34" t="s">
        <v>1515</v>
      </c>
      <c r="L21" s="133" t="s">
        <v>3281</v>
      </c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 spans="1:29" s="337" customFormat="1" ht="33.75" customHeight="1">
      <c r="A22" s="9">
        <v>3</v>
      </c>
      <c r="B22" s="10" t="s">
        <v>1637</v>
      </c>
      <c r="C22" s="9" t="s">
        <v>1634</v>
      </c>
      <c r="D22" s="9" t="s">
        <v>1632</v>
      </c>
      <c r="E22" s="9" t="s">
        <v>1633</v>
      </c>
      <c r="F22" s="9" t="s">
        <v>1250</v>
      </c>
      <c r="G22" s="12">
        <v>44988</v>
      </c>
      <c r="H22" s="336">
        <v>13615956</v>
      </c>
      <c r="I22" s="336">
        <v>18877000</v>
      </c>
      <c r="J22" s="336">
        <v>5261044</v>
      </c>
      <c r="K22" s="34" t="s">
        <v>1515</v>
      </c>
      <c r="L22" s="133" t="s">
        <v>3281</v>
      </c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 spans="1:29" s="337" customFormat="1" ht="33.75" customHeight="1">
      <c r="A23" s="9">
        <v>4</v>
      </c>
      <c r="B23" s="10" t="s">
        <v>1645</v>
      </c>
      <c r="C23" s="9" t="s">
        <v>3306</v>
      </c>
      <c r="D23" s="13" t="s">
        <v>1375</v>
      </c>
      <c r="E23" s="13" t="s">
        <v>1642</v>
      </c>
      <c r="F23" s="13" t="s">
        <v>94</v>
      </c>
      <c r="G23" s="12">
        <v>44992</v>
      </c>
      <c r="H23" s="336">
        <v>12639066</v>
      </c>
      <c r="I23" s="336">
        <v>15944465</v>
      </c>
      <c r="J23" s="336">
        <f t="shared" si="2"/>
        <v>3305399</v>
      </c>
      <c r="K23" s="34">
        <v>45033</v>
      </c>
      <c r="L23" s="133" t="s">
        <v>3284</v>
      </c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 spans="1:29" s="337" customFormat="1" ht="33.75" customHeight="1">
      <c r="A24" s="9">
        <v>5</v>
      </c>
      <c r="B24" s="10" t="s">
        <v>1653</v>
      </c>
      <c r="C24" s="9" t="s">
        <v>3305</v>
      </c>
      <c r="D24" s="9" t="s">
        <v>1485</v>
      </c>
      <c r="E24" s="9" t="s">
        <v>1650</v>
      </c>
      <c r="F24" s="9" t="s">
        <v>1491</v>
      </c>
      <c r="G24" s="12">
        <v>44993</v>
      </c>
      <c r="H24" s="336">
        <v>5000160</v>
      </c>
      <c r="I24" s="336">
        <v>6850160</v>
      </c>
      <c r="J24" s="336">
        <f t="shared" si="2"/>
        <v>1850000</v>
      </c>
      <c r="K24" s="34" t="s">
        <v>1515</v>
      </c>
      <c r="L24" s="133" t="s">
        <v>3284</v>
      </c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 spans="1:29" s="337" customFormat="1" ht="33.75" customHeight="1">
      <c r="A25" s="9">
        <v>6</v>
      </c>
      <c r="B25" s="10" t="s">
        <v>1660</v>
      </c>
      <c r="C25" s="9" t="s">
        <v>3305</v>
      </c>
      <c r="D25" s="9" t="s">
        <v>1656</v>
      </c>
      <c r="E25" s="9" t="s">
        <v>1657</v>
      </c>
      <c r="F25" s="13" t="s">
        <v>1208</v>
      </c>
      <c r="G25" s="12">
        <v>44998</v>
      </c>
      <c r="H25" s="336">
        <v>5750000</v>
      </c>
      <c r="I25" s="336">
        <v>9325000</v>
      </c>
      <c r="J25" s="336">
        <f t="shared" si="2"/>
        <v>3575000</v>
      </c>
      <c r="K25" s="34">
        <v>45019</v>
      </c>
      <c r="L25" s="133" t="s">
        <v>3284</v>
      </c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 spans="1:29" s="337" customFormat="1" ht="33.75" customHeight="1">
      <c r="A26" s="9">
        <v>7</v>
      </c>
      <c r="B26" s="10" t="s">
        <v>3307</v>
      </c>
      <c r="C26" s="9" t="s">
        <v>3305</v>
      </c>
      <c r="D26" s="9" t="s">
        <v>1485</v>
      </c>
      <c r="E26" s="9" t="s">
        <v>1665</v>
      </c>
      <c r="F26" s="13" t="s">
        <v>1670</v>
      </c>
      <c r="G26" s="12">
        <v>44999</v>
      </c>
      <c r="H26" s="336">
        <v>1850000</v>
      </c>
      <c r="I26" s="336">
        <v>2900000</v>
      </c>
      <c r="J26" s="336">
        <f t="shared" si="2"/>
        <v>1050000</v>
      </c>
      <c r="K26" s="34" t="s">
        <v>1515</v>
      </c>
      <c r="L26" s="133" t="s">
        <v>3284</v>
      </c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 spans="1:29" s="337" customFormat="1" ht="27" customHeight="1">
      <c r="A27" s="9">
        <v>8</v>
      </c>
      <c r="B27" s="16" t="s">
        <v>1675</v>
      </c>
      <c r="C27" s="9" t="s">
        <v>3305</v>
      </c>
      <c r="D27" s="13" t="s">
        <v>1375</v>
      </c>
      <c r="E27" s="13" t="s">
        <v>1672</v>
      </c>
      <c r="F27" s="13" t="s">
        <v>172</v>
      </c>
      <c r="G27" s="12">
        <v>45000</v>
      </c>
      <c r="H27" s="336">
        <v>1025000</v>
      </c>
      <c r="I27" s="336">
        <v>2750000</v>
      </c>
      <c r="J27" s="336">
        <f t="shared" si="2"/>
        <v>1725000</v>
      </c>
      <c r="K27" s="34" t="s">
        <v>1515</v>
      </c>
      <c r="L27" s="133" t="s">
        <v>3281</v>
      </c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</row>
    <row r="28" spans="1:29" s="337" customFormat="1" ht="33.75" customHeight="1">
      <c r="A28" s="9">
        <v>9</v>
      </c>
      <c r="B28" s="16" t="s">
        <v>1682</v>
      </c>
      <c r="C28" s="9" t="s">
        <v>3308</v>
      </c>
      <c r="D28" s="13" t="s">
        <v>1375</v>
      </c>
      <c r="E28" s="13">
        <v>914876507</v>
      </c>
      <c r="F28" s="13" t="s">
        <v>66</v>
      </c>
      <c r="G28" s="12">
        <v>45001</v>
      </c>
      <c r="H28" s="336">
        <v>81307350</v>
      </c>
      <c r="I28" s="336">
        <v>84419500</v>
      </c>
      <c r="J28" s="336">
        <f t="shared" si="2"/>
        <v>3112150</v>
      </c>
      <c r="K28" s="34">
        <v>45026</v>
      </c>
      <c r="L28" s="133" t="s">
        <v>3281</v>
      </c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</row>
    <row r="29" spans="1:29" s="337" customFormat="1" ht="33.75" customHeight="1">
      <c r="A29" s="9">
        <v>10</v>
      </c>
      <c r="B29" s="16" t="s">
        <v>1686</v>
      </c>
      <c r="C29" s="9" t="s">
        <v>3305</v>
      </c>
      <c r="D29" s="9" t="s">
        <v>749</v>
      </c>
      <c r="E29" s="9" t="s">
        <v>1684</v>
      </c>
      <c r="F29" s="9" t="s">
        <v>110</v>
      </c>
      <c r="G29" s="12">
        <v>45009</v>
      </c>
      <c r="H29" s="336">
        <v>1750000</v>
      </c>
      <c r="I29" s="336">
        <v>3565000</v>
      </c>
      <c r="J29" s="336">
        <f t="shared" si="2"/>
        <v>1815000</v>
      </c>
      <c r="K29" s="34">
        <v>45034</v>
      </c>
      <c r="L29" s="133" t="s">
        <v>3281</v>
      </c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 spans="1:29" s="337" customFormat="1" ht="33.75" customHeight="1">
      <c r="A30" s="9">
        <v>11</v>
      </c>
      <c r="B30" s="16" t="s">
        <v>1695</v>
      </c>
      <c r="C30" s="9" t="s">
        <v>3305</v>
      </c>
      <c r="D30" s="13" t="s">
        <v>1375</v>
      </c>
      <c r="E30" s="13" t="s">
        <v>1692</v>
      </c>
      <c r="F30" s="13" t="s">
        <v>1688</v>
      </c>
      <c r="G30" s="12">
        <v>45010</v>
      </c>
      <c r="H30" s="336">
        <v>975000</v>
      </c>
      <c r="I30" s="336">
        <v>2750000</v>
      </c>
      <c r="J30" s="336">
        <f t="shared" si="2"/>
        <v>1775000</v>
      </c>
      <c r="K30" s="34">
        <v>45016</v>
      </c>
      <c r="L30" s="133" t="s">
        <v>3281</v>
      </c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</row>
    <row r="31" spans="1:29" s="337" customFormat="1" ht="27.75" customHeight="1">
      <c r="A31" s="9">
        <v>12</v>
      </c>
      <c r="B31" s="10" t="s">
        <v>1701</v>
      </c>
      <c r="C31" s="9" t="s">
        <v>3305</v>
      </c>
      <c r="D31" s="9" t="s">
        <v>749</v>
      </c>
      <c r="E31" s="9" t="s">
        <v>1699</v>
      </c>
      <c r="F31" s="9" t="s">
        <v>2229</v>
      </c>
      <c r="G31" s="12">
        <v>45012</v>
      </c>
      <c r="H31" s="336">
        <v>1950000</v>
      </c>
      <c r="I31" s="336">
        <v>4815000</v>
      </c>
      <c r="J31" s="336">
        <f t="shared" si="2"/>
        <v>2865000</v>
      </c>
      <c r="K31" s="34">
        <v>45042</v>
      </c>
      <c r="L31" s="133" t="s">
        <v>3284</v>
      </c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</row>
    <row r="32" spans="1:29" ht="15" customHeight="1">
      <c r="A32" s="144"/>
      <c r="B32" s="343"/>
      <c r="C32" s="343"/>
      <c r="D32" s="344" t="s">
        <v>3290</v>
      </c>
      <c r="E32" s="144"/>
      <c r="F32" s="1034" t="s">
        <v>3291</v>
      </c>
      <c r="G32" s="880"/>
      <c r="H32" s="72"/>
      <c r="I32" s="72"/>
      <c r="J32" s="345">
        <f>SUM(J7:J31)</f>
        <v>73866564</v>
      </c>
      <c r="K32" s="345"/>
      <c r="L32" s="345"/>
      <c r="M32" s="34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</row>
    <row r="33" spans="1:29" ht="15" customHeight="1">
      <c r="A33" s="1035" t="s">
        <v>128</v>
      </c>
      <c r="B33" s="1036"/>
      <c r="C33" s="1036"/>
      <c r="D33" s="1036"/>
      <c r="E33" s="1036"/>
      <c r="F33" s="1036"/>
      <c r="G33" s="268"/>
      <c r="H33" s="268"/>
      <c r="I33" s="268"/>
      <c r="J33" s="347"/>
      <c r="K33" s="347"/>
      <c r="L33" s="347"/>
      <c r="M33" s="26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</row>
    <row r="34" spans="1:29" ht="15" customHeight="1">
      <c r="A34" s="990" t="s">
        <v>3270</v>
      </c>
      <c r="B34" s="990" t="s">
        <v>3271</v>
      </c>
      <c r="C34" s="990" t="s">
        <v>3272</v>
      </c>
      <c r="D34" s="990" t="s">
        <v>3273</v>
      </c>
      <c r="E34" s="990" t="s">
        <v>3274</v>
      </c>
      <c r="F34" s="990" t="s">
        <v>3292</v>
      </c>
      <c r="G34" s="990" t="s">
        <v>13</v>
      </c>
      <c r="H34" s="991" t="s">
        <v>3276</v>
      </c>
      <c r="I34" s="991" t="s">
        <v>3277</v>
      </c>
      <c r="J34" s="991" t="s">
        <v>21</v>
      </c>
      <c r="K34" s="990" t="s">
        <v>3278</v>
      </c>
      <c r="L34" s="990" t="s">
        <v>3279</v>
      </c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</row>
    <row r="35" spans="1:29" ht="15" customHeight="1">
      <c r="A35" s="794"/>
      <c r="B35" s="794"/>
      <c r="C35" s="794"/>
      <c r="D35" s="794"/>
      <c r="E35" s="794"/>
      <c r="F35" s="794"/>
      <c r="G35" s="794"/>
      <c r="H35" s="868"/>
      <c r="I35" s="868"/>
      <c r="J35" s="868"/>
      <c r="K35" s="1040"/>
      <c r="L35" s="794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</row>
    <row r="36" spans="1:29" ht="15" customHeight="1">
      <c r="A36" s="1031" t="s">
        <v>3315</v>
      </c>
      <c r="B36" s="1032"/>
      <c r="C36" s="1032"/>
      <c r="D36" s="1032"/>
      <c r="E36" s="1032"/>
      <c r="F36" s="1032"/>
      <c r="G36" s="1032"/>
      <c r="H36" s="1032"/>
      <c r="I36" s="1032"/>
      <c r="J36" s="1032"/>
      <c r="K36" s="1032"/>
      <c r="L36" s="1033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</row>
    <row r="37" spans="1:29" s="348" customFormat="1" ht="22.5" customHeight="1">
      <c r="A37" s="9">
        <v>1</v>
      </c>
      <c r="B37" s="12" t="s">
        <v>1564</v>
      </c>
      <c r="C37" s="340" t="s">
        <v>3293</v>
      </c>
      <c r="D37" s="9" t="s">
        <v>1559</v>
      </c>
      <c r="E37" s="9" t="s">
        <v>1560</v>
      </c>
      <c r="F37" s="9" t="s">
        <v>3294</v>
      </c>
      <c r="G37" s="12">
        <v>44967</v>
      </c>
      <c r="H37" s="336">
        <v>2718021</v>
      </c>
      <c r="I37" s="336">
        <v>3468021</v>
      </c>
      <c r="J37" s="336">
        <f t="shared" ref="J37:J43" si="3">I37-H37</f>
        <v>750000</v>
      </c>
      <c r="K37" s="12">
        <v>45022</v>
      </c>
      <c r="L37" s="12" t="s">
        <v>3281</v>
      </c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</row>
    <row r="38" spans="1:29" s="348" customFormat="1" ht="22.5" customHeight="1">
      <c r="A38" s="9">
        <v>2</v>
      </c>
      <c r="B38" s="12" t="s">
        <v>1574</v>
      </c>
      <c r="C38" s="340" t="s">
        <v>3293</v>
      </c>
      <c r="D38" s="9" t="s">
        <v>1559</v>
      </c>
      <c r="E38" s="9" t="s">
        <v>1571</v>
      </c>
      <c r="F38" s="9" t="s">
        <v>2104</v>
      </c>
      <c r="G38" s="12">
        <v>45002</v>
      </c>
      <c r="H38" s="336">
        <v>1750000</v>
      </c>
      <c r="I38" s="336">
        <v>2500000</v>
      </c>
      <c r="J38" s="336">
        <f t="shared" si="3"/>
        <v>750000</v>
      </c>
      <c r="K38" s="12">
        <v>45022</v>
      </c>
      <c r="L38" s="12" t="s">
        <v>3281</v>
      </c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</row>
    <row r="39" spans="1:29" s="270" customFormat="1" ht="19.5" customHeight="1">
      <c r="A39" s="1031" t="s">
        <v>3316</v>
      </c>
      <c r="B39" s="1032"/>
      <c r="C39" s="1032"/>
      <c r="D39" s="1032"/>
      <c r="E39" s="1032"/>
      <c r="F39" s="1032"/>
      <c r="G39" s="1032"/>
      <c r="H39" s="1032"/>
      <c r="I39" s="1032"/>
      <c r="J39" s="1032"/>
      <c r="K39" s="1032"/>
      <c r="L39" s="1033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</row>
    <row r="40" spans="1:29" s="270" customFormat="1" ht="19.5" customHeight="1">
      <c r="A40" s="1031" t="s">
        <v>3317</v>
      </c>
      <c r="B40" s="1032"/>
      <c r="C40" s="1032"/>
      <c r="D40" s="1032"/>
      <c r="E40" s="1032"/>
      <c r="F40" s="1032"/>
      <c r="G40" s="1032"/>
      <c r="H40" s="1032"/>
      <c r="I40" s="1032"/>
      <c r="J40" s="1032"/>
      <c r="K40" s="1032"/>
      <c r="L40" s="1037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</row>
    <row r="41" spans="1:29" s="348" customFormat="1" ht="22.5" customHeight="1">
      <c r="A41" s="96"/>
      <c r="B41" s="104" t="s">
        <v>1705</v>
      </c>
      <c r="C41" s="96" t="s">
        <v>3309</v>
      </c>
      <c r="D41" s="96" t="s">
        <v>45</v>
      </c>
      <c r="E41" s="96" t="s">
        <v>1703</v>
      </c>
      <c r="F41" s="96" t="s">
        <v>1050</v>
      </c>
      <c r="G41" s="94">
        <v>44999</v>
      </c>
      <c r="H41" s="349">
        <v>5522160</v>
      </c>
      <c r="I41" s="349">
        <v>9832500</v>
      </c>
      <c r="J41" s="349">
        <f t="shared" si="3"/>
        <v>4310340</v>
      </c>
      <c r="K41" s="34">
        <v>45022</v>
      </c>
      <c r="L41" s="133" t="s">
        <v>3281</v>
      </c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</row>
    <row r="42" spans="1:29" s="348" customFormat="1" ht="22.5" customHeight="1">
      <c r="A42" s="96">
        <v>2</v>
      </c>
      <c r="B42" s="10" t="s">
        <v>1716</v>
      </c>
      <c r="C42" s="9" t="s">
        <v>3310</v>
      </c>
      <c r="D42" s="9" t="s">
        <v>3311</v>
      </c>
      <c r="E42" s="9" t="s">
        <v>1712</v>
      </c>
      <c r="F42" s="9" t="s">
        <v>3312</v>
      </c>
      <c r="G42" s="12">
        <v>45008</v>
      </c>
      <c r="H42" s="336">
        <v>6500000</v>
      </c>
      <c r="I42" s="336">
        <v>12853480</v>
      </c>
      <c r="J42" s="336">
        <f t="shared" si="3"/>
        <v>6353480</v>
      </c>
      <c r="K42" s="34">
        <v>45022</v>
      </c>
      <c r="L42" s="133" t="s">
        <v>3281</v>
      </c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</row>
    <row r="43" spans="1:29" s="348" customFormat="1" ht="22.5" customHeight="1">
      <c r="A43" s="96">
        <v>3</v>
      </c>
      <c r="B43" s="67" t="s">
        <v>1725</v>
      </c>
      <c r="C43" s="66" t="s">
        <v>3309</v>
      </c>
      <c r="D43" s="66" t="s">
        <v>45</v>
      </c>
      <c r="E43" s="66" t="s">
        <v>1722</v>
      </c>
      <c r="F43" s="66" t="s">
        <v>149</v>
      </c>
      <c r="G43" s="68">
        <v>45008</v>
      </c>
      <c r="H43" s="350">
        <v>3538860</v>
      </c>
      <c r="I43" s="350">
        <v>7003050</v>
      </c>
      <c r="J43" s="350">
        <f t="shared" si="3"/>
        <v>3464190</v>
      </c>
      <c r="K43" s="34">
        <v>45022</v>
      </c>
      <c r="L43" s="133" t="s">
        <v>3281</v>
      </c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</row>
    <row r="44" spans="1:29" ht="15.75" customHeight="1">
      <c r="A44" s="256"/>
      <c r="B44" s="256"/>
      <c r="C44" s="256"/>
      <c r="D44" s="256"/>
      <c r="E44" s="256"/>
      <c r="F44" s="1034" t="s">
        <v>3291</v>
      </c>
      <c r="G44" s="880"/>
      <c r="H44" s="256"/>
      <c r="I44" s="256"/>
      <c r="J44" s="351">
        <f>J37+J38+J41+J42+J43</f>
        <v>15628010</v>
      </c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</row>
    <row r="45" spans="1:29" ht="15.75" customHeight="1">
      <c r="A45" s="256"/>
      <c r="B45" s="256"/>
      <c r="C45" s="256"/>
      <c r="D45" s="256"/>
      <c r="E45" s="256"/>
      <c r="F45" s="1034" t="s">
        <v>3318</v>
      </c>
      <c r="G45" s="880"/>
      <c r="H45" s="72"/>
      <c r="I45" s="72"/>
      <c r="J45" s="345">
        <f>SUM(J20:J44)</f>
        <v>135056177</v>
      </c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</row>
    <row r="46" spans="1:29" ht="15.75" customHeight="1">
      <c r="A46" s="256"/>
      <c r="B46" s="256"/>
      <c r="C46" s="256"/>
      <c r="D46" s="256"/>
      <c r="E46" s="256"/>
      <c r="F46" s="256"/>
      <c r="G46" s="256"/>
      <c r="H46" s="256"/>
      <c r="I46" s="256"/>
      <c r="J46" s="256">
        <f>J45*12.5/100</f>
        <v>16882022.125</v>
      </c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</row>
    <row r="47" spans="1:29" ht="15.75" customHeight="1">
      <c r="A47" s="256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</row>
    <row r="48" spans="1:29" ht="15.75" customHeight="1">
      <c r="A48" s="256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</row>
    <row r="49" spans="1:29" ht="15.75" customHeight="1">
      <c r="A49" s="256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</row>
    <row r="50" spans="1:29" ht="15.75" customHeight="1">
      <c r="A50" s="256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</row>
    <row r="51" spans="1:29" ht="15.75" customHeight="1">
      <c r="A51" s="256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</row>
    <row r="52" spans="1:29" ht="15.75" customHeight="1">
      <c r="A52" s="256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</row>
    <row r="53" spans="1:29" ht="15.75" customHeight="1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</row>
    <row r="54" spans="1:29" ht="15.75" customHeight="1">
      <c r="A54" s="256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</row>
    <row r="55" spans="1:29" ht="15.75" customHeight="1">
      <c r="A55" s="256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</row>
    <row r="56" spans="1:29" ht="15.75" customHeight="1">
      <c r="A56" s="256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</row>
    <row r="57" spans="1:29" ht="15.75" customHeight="1">
      <c r="A57" s="256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</row>
    <row r="58" spans="1:29" ht="15.75" customHeight="1">
      <c r="A58" s="256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</row>
    <row r="59" spans="1:29" ht="15.75" customHeight="1">
      <c r="A59" s="256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</row>
    <row r="60" spans="1:29" ht="15.75" customHeight="1">
      <c r="A60" s="256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</row>
    <row r="61" spans="1:29" ht="15.75" customHeight="1">
      <c r="A61" s="256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</row>
    <row r="62" spans="1:29" ht="15.75" customHeight="1">
      <c r="A62" s="256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</row>
    <row r="63" spans="1:29" ht="15.75" customHeight="1">
      <c r="A63" s="256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</row>
    <row r="64" spans="1:29" ht="15.75" customHeight="1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</row>
    <row r="65" spans="1:29" ht="15.75" customHeight="1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</row>
    <row r="66" spans="1:29" ht="15.75" customHeight="1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</row>
    <row r="67" spans="1:29" ht="15.75" customHeight="1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</row>
    <row r="68" spans="1:29" ht="15.75" customHeight="1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</row>
    <row r="69" spans="1:29" ht="15.75" customHeight="1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</row>
    <row r="70" spans="1:29" ht="15.75" customHeight="1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</row>
    <row r="71" spans="1:29" ht="15.75" customHeight="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</row>
    <row r="72" spans="1:29" ht="15.75" customHeight="1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</row>
    <row r="73" spans="1:29" ht="15.75" customHeight="1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</row>
    <row r="74" spans="1:29" ht="15.75" customHeight="1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</row>
    <row r="75" spans="1:29" ht="15.75" customHeight="1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</row>
    <row r="76" spans="1:29" ht="15.75" customHeight="1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</row>
    <row r="77" spans="1:29" ht="15.75" customHeight="1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</row>
    <row r="78" spans="1:29" ht="15.75" customHeight="1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</row>
    <row r="79" spans="1:29" ht="15.75" customHeight="1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</row>
    <row r="80" spans="1:29" ht="15.75" customHeight="1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</row>
    <row r="81" spans="1:29" ht="15.75" customHeight="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</row>
    <row r="82" spans="1:29" ht="15.75" customHeight="1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</row>
    <row r="83" spans="1:29" ht="15.75" customHeight="1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</row>
    <row r="84" spans="1:29" ht="15.75" customHeight="1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  <c r="AC84" s="256"/>
    </row>
    <row r="85" spans="1:29" ht="15.75" customHeight="1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</row>
    <row r="86" spans="1:29" ht="15.75" customHeight="1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</row>
    <row r="87" spans="1:29" ht="15.75" customHeight="1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</row>
    <row r="88" spans="1:29" ht="15.75" customHeight="1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</row>
    <row r="89" spans="1:29" ht="15.75" customHeight="1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</row>
    <row r="90" spans="1:29" ht="15.75" customHeight="1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</row>
    <row r="91" spans="1:29" ht="15.75" customHeight="1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</row>
    <row r="92" spans="1:29" ht="15.75" customHeight="1">
      <c r="A92" s="256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</row>
    <row r="93" spans="1:29" ht="15.75" customHeight="1">
      <c r="A93" s="256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56"/>
    </row>
    <row r="94" spans="1:29" ht="15.75" customHeight="1">
      <c r="A94" s="256"/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</row>
    <row r="95" spans="1:29" ht="15.75" customHeight="1">
      <c r="A95" s="256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</row>
    <row r="96" spans="1:29" ht="15.75" customHeight="1">
      <c r="A96" s="256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</row>
    <row r="97" spans="1:29" ht="15.75" customHeight="1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</row>
    <row r="98" spans="1:29" ht="15.75" customHeight="1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</row>
    <row r="99" spans="1:29" ht="15.75" customHeight="1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</row>
    <row r="100" spans="1:29" ht="15.75" customHeight="1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</row>
    <row r="101" spans="1:29" ht="15.75" customHeight="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56"/>
    </row>
    <row r="102" spans="1:29" ht="15.75" customHeight="1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</row>
    <row r="103" spans="1:29" ht="15.75" customHeight="1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56"/>
    </row>
    <row r="104" spans="1:29" ht="15.75" customHeight="1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</row>
    <row r="105" spans="1:29" ht="15.75" customHeight="1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</row>
    <row r="106" spans="1:29" ht="15.75" customHeight="1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</row>
    <row r="107" spans="1:29" ht="15.75" customHeight="1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</row>
    <row r="108" spans="1:29" ht="15.75" customHeight="1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</row>
    <row r="109" spans="1:29" ht="15.75" customHeight="1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</row>
    <row r="110" spans="1:29" ht="15.75" customHeight="1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</row>
    <row r="111" spans="1:29" ht="15.75" customHeight="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</row>
    <row r="112" spans="1:29" ht="15.75" customHeight="1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</row>
    <row r="113" spans="1:29" ht="15.75" customHeight="1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</row>
    <row r="114" spans="1:29" ht="15.75" customHeight="1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</row>
    <row r="115" spans="1:29" ht="15.75" customHeight="1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  <c r="AC115" s="256"/>
    </row>
    <row r="116" spans="1:29" ht="15.75" customHeight="1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</row>
    <row r="117" spans="1:29" ht="15.75" customHeight="1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</row>
    <row r="118" spans="1:29" ht="15.75" customHeight="1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  <c r="AC118" s="256"/>
    </row>
    <row r="119" spans="1:29" ht="15.75" customHeight="1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  <c r="AC119" s="256"/>
    </row>
    <row r="120" spans="1:29" ht="15.75" customHeight="1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</row>
    <row r="121" spans="1:29" ht="15.75" customHeight="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</row>
    <row r="122" spans="1:29" ht="15.75" customHeight="1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  <c r="AC122" s="256"/>
    </row>
    <row r="123" spans="1:29" ht="15.75" customHeight="1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  <c r="AC123" s="256"/>
    </row>
    <row r="124" spans="1:29" ht="15.75" customHeight="1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  <c r="AC124" s="256"/>
    </row>
    <row r="125" spans="1:29" ht="15.75" customHeight="1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  <c r="AC125" s="256"/>
    </row>
    <row r="126" spans="1:29" ht="15.75" customHeight="1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</row>
    <row r="127" spans="1:29" ht="15.75" customHeight="1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  <c r="AC127" s="256"/>
    </row>
    <row r="128" spans="1:29" ht="15.75" customHeight="1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  <c r="AC128" s="256"/>
    </row>
    <row r="129" spans="1:29" ht="15.75" customHeight="1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  <c r="AC129" s="256"/>
    </row>
    <row r="130" spans="1:29" ht="15.75" customHeight="1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  <c r="AC130" s="256"/>
    </row>
    <row r="131" spans="1:29" ht="15.75" customHeight="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  <c r="AC131" s="256"/>
    </row>
    <row r="132" spans="1:29" ht="15.75" customHeight="1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  <c r="AC132" s="256"/>
    </row>
    <row r="133" spans="1:29" ht="15.75" customHeight="1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  <c r="AC133" s="256"/>
    </row>
    <row r="134" spans="1:29" ht="15.75" customHeight="1">
      <c r="A134" s="256"/>
      <c r="B134" s="256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  <c r="AC134" s="256"/>
    </row>
    <row r="135" spans="1:29" ht="15.75" customHeight="1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  <c r="AC135" s="256"/>
    </row>
    <row r="136" spans="1:29" ht="15.75" customHeight="1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  <c r="AC136" s="256"/>
    </row>
    <row r="137" spans="1:29" ht="15.75" customHeight="1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  <c r="AB137" s="256"/>
      <c r="AC137" s="256"/>
    </row>
    <row r="138" spans="1:29" ht="15.75" customHeight="1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</row>
    <row r="139" spans="1:29" ht="15.75" customHeight="1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  <c r="AC139" s="256"/>
    </row>
    <row r="140" spans="1:29" ht="15.75" customHeight="1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  <c r="AB140" s="256"/>
      <c r="AC140" s="256"/>
    </row>
    <row r="141" spans="1:29" ht="15.75" customHeight="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  <c r="AB141" s="256"/>
      <c r="AC141" s="256"/>
    </row>
    <row r="142" spans="1:29" ht="15.75" customHeight="1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</row>
    <row r="143" spans="1:29" ht="15.75" customHeight="1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</row>
    <row r="144" spans="1:29" ht="15.75" customHeight="1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256"/>
    </row>
    <row r="145" spans="1:29" ht="15.75" customHeight="1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  <c r="AB145" s="256"/>
      <c r="AC145" s="256"/>
    </row>
    <row r="146" spans="1:29" ht="15.75" customHeight="1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  <c r="AB146" s="256"/>
      <c r="AC146" s="256"/>
    </row>
    <row r="147" spans="1:29" ht="15.75" customHeight="1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  <c r="AC147" s="256"/>
    </row>
    <row r="148" spans="1:29" ht="15.75" customHeight="1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</row>
    <row r="149" spans="1:29" ht="15.75" customHeight="1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</row>
    <row r="150" spans="1:29" ht="15.75" customHeight="1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  <c r="AB150" s="256"/>
      <c r="AC150" s="256"/>
    </row>
    <row r="151" spans="1:29" ht="15.75" customHeight="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  <c r="AA151" s="256"/>
      <c r="AB151" s="256"/>
      <c r="AC151" s="256"/>
    </row>
    <row r="152" spans="1:29" ht="15.75" customHeight="1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  <c r="AB152" s="256"/>
      <c r="AC152" s="256"/>
    </row>
    <row r="153" spans="1:29" ht="15.75" customHeight="1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  <c r="AC153" s="256"/>
    </row>
    <row r="154" spans="1:29" ht="15.75" customHeight="1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56"/>
    </row>
    <row r="155" spans="1:29" ht="15.75" customHeight="1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  <c r="AC155" s="256"/>
    </row>
    <row r="156" spans="1:29" ht="15.75" customHeight="1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  <c r="AA156" s="256"/>
      <c r="AB156" s="256"/>
      <c r="AC156" s="256"/>
    </row>
    <row r="157" spans="1:29" ht="15.75" customHeight="1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  <c r="AA157" s="256"/>
      <c r="AB157" s="256"/>
      <c r="AC157" s="256"/>
    </row>
    <row r="158" spans="1:29" ht="15.75" customHeight="1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  <c r="AB158" s="256"/>
      <c r="AC158" s="256"/>
    </row>
    <row r="159" spans="1:29" ht="15.75" customHeight="1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  <c r="AB159" s="256"/>
      <c r="AC159" s="256"/>
    </row>
    <row r="160" spans="1:29" ht="15.75" customHeight="1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  <c r="AB160" s="256"/>
      <c r="AC160" s="256"/>
    </row>
    <row r="161" spans="1:29" ht="15.75" customHeight="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  <c r="AB161" s="256"/>
      <c r="AC161" s="256"/>
    </row>
    <row r="162" spans="1:29" ht="15.75" customHeight="1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  <c r="AA162" s="256"/>
      <c r="AB162" s="256"/>
      <c r="AC162" s="256"/>
    </row>
    <row r="163" spans="1:29" ht="15.75" customHeight="1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  <c r="AB163" s="256"/>
      <c r="AC163" s="256"/>
    </row>
    <row r="164" spans="1:29" ht="15.75" customHeight="1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  <c r="AB164" s="256"/>
      <c r="AC164" s="256"/>
    </row>
    <row r="165" spans="1:29" ht="15.75" customHeight="1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  <c r="AB165" s="256"/>
      <c r="AC165" s="256"/>
    </row>
    <row r="166" spans="1:29" ht="15.75" customHeight="1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  <c r="AA166" s="256"/>
      <c r="AB166" s="256"/>
      <c r="AC166" s="256"/>
    </row>
    <row r="167" spans="1:29" ht="15.75" customHeight="1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  <c r="AA167" s="256"/>
      <c r="AB167" s="256"/>
      <c r="AC167" s="256"/>
    </row>
    <row r="168" spans="1:29" ht="15.75" customHeight="1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  <c r="AA168" s="256"/>
      <c r="AB168" s="256"/>
      <c r="AC168" s="256"/>
    </row>
    <row r="169" spans="1:29" ht="15.75" customHeight="1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  <c r="AA169" s="256"/>
      <c r="AB169" s="256"/>
      <c r="AC169" s="256"/>
    </row>
    <row r="170" spans="1:29" ht="15.75" customHeight="1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  <c r="AB170" s="256"/>
      <c r="AC170" s="256"/>
    </row>
    <row r="171" spans="1:29" ht="15.75" customHeight="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  <c r="AC171" s="256"/>
    </row>
    <row r="172" spans="1:29" ht="15.75" customHeight="1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  <c r="AB172" s="256"/>
      <c r="AC172" s="256"/>
    </row>
    <row r="173" spans="1:29" ht="15.75" customHeight="1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  <c r="AB173" s="256"/>
      <c r="AC173" s="256"/>
    </row>
    <row r="174" spans="1:29" ht="15.75" customHeight="1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  <c r="AC174" s="256"/>
    </row>
    <row r="175" spans="1:29" ht="15.75" customHeight="1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  <c r="AC175" s="256"/>
    </row>
    <row r="176" spans="1:29" ht="15.75" customHeight="1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  <c r="AB176" s="256"/>
      <c r="AC176" s="256"/>
    </row>
    <row r="177" spans="1:29" ht="15.75" customHeight="1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  <c r="AB177" s="256"/>
      <c r="AC177" s="256"/>
    </row>
    <row r="178" spans="1:29" ht="15.75" customHeight="1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  <c r="AA178" s="256"/>
      <c r="AB178" s="256"/>
      <c r="AC178" s="256"/>
    </row>
    <row r="179" spans="1:29" ht="15.75" customHeight="1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  <c r="AA179" s="256"/>
      <c r="AB179" s="256"/>
      <c r="AC179" s="256"/>
    </row>
    <row r="180" spans="1:29" ht="15.75" customHeight="1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  <c r="AB180" s="256"/>
      <c r="AC180" s="256"/>
    </row>
    <row r="181" spans="1:29" ht="15.75" customHeight="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  <c r="AA181" s="256"/>
      <c r="AB181" s="256"/>
      <c r="AC181" s="256"/>
    </row>
    <row r="182" spans="1:29" ht="15.75" customHeight="1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  <c r="AA182" s="256"/>
      <c r="AB182" s="256"/>
      <c r="AC182" s="256"/>
    </row>
    <row r="183" spans="1:29" ht="15.75" customHeight="1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  <c r="AB183" s="256"/>
      <c r="AC183" s="256"/>
    </row>
    <row r="184" spans="1:29" ht="15.75" customHeight="1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  <c r="AA184" s="256"/>
      <c r="AB184" s="256"/>
      <c r="AC184" s="256"/>
    </row>
    <row r="185" spans="1:29" ht="15.75" customHeight="1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  <c r="AB185" s="256"/>
      <c r="AC185" s="256"/>
    </row>
    <row r="186" spans="1:29" ht="15.75" customHeight="1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  <c r="AB186" s="256"/>
      <c r="AC186" s="256"/>
    </row>
    <row r="187" spans="1:29" ht="15.75" customHeight="1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  <c r="AB187" s="256"/>
      <c r="AC187" s="256"/>
    </row>
    <row r="188" spans="1:29" ht="15.75" customHeight="1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  <c r="AB188" s="256"/>
      <c r="AC188" s="256"/>
    </row>
    <row r="189" spans="1:29" ht="15.75" customHeight="1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  <c r="AA189" s="256"/>
      <c r="AB189" s="256"/>
      <c r="AC189" s="256"/>
    </row>
    <row r="190" spans="1:29" ht="15.75" customHeight="1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  <c r="AA190" s="256"/>
      <c r="AB190" s="256"/>
      <c r="AC190" s="256"/>
    </row>
    <row r="191" spans="1:29" ht="15.75" customHeight="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  <c r="AA191" s="256"/>
      <c r="AB191" s="256"/>
      <c r="AC191" s="256"/>
    </row>
    <row r="192" spans="1:29" ht="15.75" customHeight="1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  <c r="AA192" s="256"/>
      <c r="AB192" s="256"/>
      <c r="AC192" s="256"/>
    </row>
    <row r="193" spans="1:29" ht="15.75" customHeight="1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  <c r="AA193" s="256"/>
      <c r="AB193" s="256"/>
      <c r="AC193" s="256"/>
    </row>
    <row r="194" spans="1:29" ht="15.75" customHeight="1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  <c r="AA194" s="256"/>
      <c r="AB194" s="256"/>
      <c r="AC194" s="256"/>
    </row>
    <row r="195" spans="1:29" ht="15.75" customHeight="1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  <c r="AA195" s="256"/>
      <c r="AB195" s="256"/>
      <c r="AC195" s="256"/>
    </row>
    <row r="196" spans="1:29" ht="15.75" customHeight="1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  <c r="AA196" s="256"/>
      <c r="AB196" s="256"/>
      <c r="AC196" s="256"/>
    </row>
    <row r="197" spans="1:29" ht="15.75" customHeight="1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  <c r="AA197" s="256"/>
      <c r="AB197" s="256"/>
      <c r="AC197" s="256"/>
    </row>
    <row r="198" spans="1:29" ht="15.75" customHeight="1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  <c r="AA198" s="256"/>
      <c r="AB198" s="256"/>
      <c r="AC198" s="256"/>
    </row>
    <row r="199" spans="1:29" ht="15.75" customHeight="1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  <c r="AA199" s="256"/>
      <c r="AB199" s="256"/>
      <c r="AC199" s="256"/>
    </row>
    <row r="200" spans="1:29" ht="15.75" customHeight="1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  <c r="AB200" s="256"/>
      <c r="AC200" s="256"/>
    </row>
    <row r="201" spans="1:29" ht="15.75" customHeight="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  <c r="AA201" s="256"/>
      <c r="AB201" s="256"/>
      <c r="AC201" s="256"/>
    </row>
    <row r="202" spans="1:29" ht="15.75" customHeight="1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  <c r="AA202" s="256"/>
      <c r="AB202" s="256"/>
      <c r="AC202" s="256"/>
    </row>
    <row r="203" spans="1:29" ht="15.75" customHeight="1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  <c r="AA203" s="256"/>
      <c r="AB203" s="256"/>
      <c r="AC203" s="256"/>
    </row>
    <row r="204" spans="1:29" ht="15.75" customHeight="1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  <c r="AA204" s="256"/>
      <c r="AB204" s="256"/>
      <c r="AC204" s="256"/>
    </row>
    <row r="205" spans="1:29" ht="15.75" customHeight="1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  <c r="AB205" s="256"/>
      <c r="AC205" s="256"/>
    </row>
    <row r="206" spans="1:29" ht="15.75" customHeight="1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  <c r="AA206" s="256"/>
      <c r="AB206" s="256"/>
      <c r="AC206" s="256"/>
    </row>
    <row r="207" spans="1:29" ht="15.75" customHeight="1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  <c r="AA207" s="256"/>
      <c r="AB207" s="256"/>
      <c r="AC207" s="256"/>
    </row>
    <row r="208" spans="1:29" ht="15.75" customHeight="1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  <c r="AA208" s="256"/>
      <c r="AB208" s="256"/>
      <c r="AC208" s="256"/>
    </row>
    <row r="209" spans="1:29" ht="15.75" customHeight="1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  <c r="AA209" s="256"/>
      <c r="AB209" s="256"/>
      <c r="AC209" s="256"/>
    </row>
    <row r="210" spans="1:29" ht="15.75" customHeight="1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  <c r="AA210" s="256"/>
      <c r="AB210" s="256"/>
      <c r="AC210" s="256"/>
    </row>
    <row r="211" spans="1:29" ht="15.75" customHeight="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  <c r="AA211" s="256"/>
      <c r="AB211" s="256"/>
      <c r="AC211" s="256"/>
    </row>
    <row r="212" spans="1:29" ht="15.75" customHeight="1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  <c r="AA212" s="256"/>
      <c r="AB212" s="256"/>
      <c r="AC212" s="256"/>
    </row>
    <row r="213" spans="1:29" ht="15.75" customHeight="1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  <c r="AA213" s="256"/>
      <c r="AB213" s="256"/>
      <c r="AC213" s="256"/>
    </row>
    <row r="214" spans="1:29" ht="15.75" customHeight="1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  <c r="AA214" s="256"/>
      <c r="AB214" s="256"/>
      <c r="AC214" s="256"/>
    </row>
    <row r="215" spans="1:29" ht="15.75" customHeight="1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  <c r="AA215" s="256"/>
      <c r="AB215" s="256"/>
      <c r="AC215" s="256"/>
    </row>
    <row r="216" spans="1:29" ht="15.75" customHeight="1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  <c r="AA216" s="256"/>
      <c r="AB216" s="256"/>
      <c r="AC216" s="256"/>
    </row>
    <row r="217" spans="1:29" ht="15.75" customHeight="1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  <c r="AA217" s="256"/>
      <c r="AB217" s="256"/>
      <c r="AC217" s="256"/>
    </row>
    <row r="218" spans="1:29" ht="15.75" customHeight="1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  <c r="AA218" s="256"/>
      <c r="AB218" s="256"/>
      <c r="AC218" s="256"/>
    </row>
    <row r="219" spans="1:29" ht="15.75" customHeight="1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  <c r="AB219" s="256"/>
      <c r="AC219" s="256"/>
    </row>
    <row r="220" spans="1:29" ht="15.75" customHeight="1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  <c r="AB220" s="256"/>
      <c r="AC220" s="256"/>
    </row>
    <row r="221" spans="1:29" ht="15.75" customHeight="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  <c r="AA221" s="256"/>
      <c r="AB221" s="256"/>
      <c r="AC221" s="256"/>
    </row>
    <row r="222" spans="1:29" ht="15.75" customHeight="1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  <c r="AA222" s="256"/>
      <c r="AB222" s="256"/>
      <c r="AC222" s="256"/>
    </row>
    <row r="223" spans="1:29" ht="15.75" customHeight="1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  <c r="AB223" s="256"/>
      <c r="AC223" s="256"/>
    </row>
    <row r="224" spans="1:29" ht="15.75" customHeight="1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  <c r="AB224" s="256"/>
      <c r="AC224" s="256"/>
    </row>
    <row r="225" spans="1:29" ht="15.75" customHeight="1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  <c r="AB225" s="256"/>
      <c r="AC225" s="256"/>
    </row>
    <row r="226" spans="1:29" ht="15.75" customHeight="1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  <c r="AA226" s="256"/>
      <c r="AB226" s="256"/>
      <c r="AC226" s="256"/>
    </row>
    <row r="227" spans="1:29" ht="15.75" customHeight="1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  <c r="AB227" s="256"/>
      <c r="AC227" s="256"/>
    </row>
    <row r="228" spans="1:29" ht="15.75" customHeight="1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  <c r="AB228" s="256"/>
      <c r="AC228" s="256"/>
    </row>
    <row r="229" spans="1:29" ht="15.75" customHeight="1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  <c r="AB229" s="256"/>
      <c r="AC229" s="256"/>
    </row>
    <row r="230" spans="1:29" ht="15.75" customHeight="1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  <c r="AB230" s="256"/>
      <c r="AC230" s="256"/>
    </row>
    <row r="231" spans="1:29" ht="15.75" customHeight="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  <c r="AB231" s="256"/>
      <c r="AC231" s="256"/>
    </row>
    <row r="232" spans="1:29" ht="15.75" customHeight="1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  <c r="AA232" s="256"/>
      <c r="AB232" s="256"/>
      <c r="AC232" s="256"/>
    </row>
    <row r="233" spans="1:29" ht="15.75" customHeight="1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  <c r="AA233" s="256"/>
      <c r="AB233" s="256"/>
      <c r="AC233" s="256"/>
    </row>
    <row r="234" spans="1:29" ht="15.75" customHeight="1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  <c r="AA234" s="256"/>
      <c r="AB234" s="256"/>
      <c r="AC234" s="256"/>
    </row>
    <row r="235" spans="1:29" ht="15.75" customHeight="1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  <c r="AB235" s="256"/>
      <c r="AC235" s="256"/>
    </row>
    <row r="236" spans="1:29" ht="15.75" customHeight="1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  <c r="AA236" s="256"/>
      <c r="AB236" s="256"/>
      <c r="AC236" s="256"/>
    </row>
    <row r="237" spans="1:29" ht="15.75" customHeight="1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  <c r="AB237" s="256"/>
      <c r="AC237" s="256"/>
    </row>
    <row r="238" spans="1:29" ht="15.75" customHeight="1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  <c r="AB238" s="256"/>
      <c r="AC238" s="256"/>
    </row>
    <row r="239" spans="1:29" ht="15.75" customHeight="1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  <c r="AB239" s="256"/>
      <c r="AC239" s="256"/>
    </row>
    <row r="240" spans="1:29" ht="15.75" customHeight="1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  <c r="AB240" s="256"/>
      <c r="AC240" s="256"/>
    </row>
    <row r="241" spans="1:29" ht="15.75" customHeight="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  <c r="AA241" s="256"/>
      <c r="AB241" s="256"/>
      <c r="AC241" s="256"/>
    </row>
    <row r="242" spans="1:29" ht="15.75" customHeight="1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  <c r="AB242" s="256"/>
      <c r="AC242" s="256"/>
    </row>
    <row r="243" spans="1:29" ht="15.75" customHeight="1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  <c r="AB243" s="256"/>
      <c r="AC243" s="256"/>
    </row>
    <row r="244" spans="1:29" ht="15.75" customHeight="1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  <c r="AA244" s="256"/>
      <c r="AB244" s="256"/>
      <c r="AC244" s="256"/>
    </row>
    <row r="245" spans="1:29" ht="15.75" customHeight="1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  <c r="AA245" s="256"/>
      <c r="AB245" s="256"/>
      <c r="AC245" s="256"/>
    </row>
    <row r="246" spans="1:29" ht="15.75" customHeight="1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  <c r="AA246" s="256"/>
      <c r="AB246" s="256"/>
      <c r="AC246" s="256"/>
    </row>
    <row r="247" spans="1:29" ht="15.75" customHeight="1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  <c r="AB247" s="256"/>
      <c r="AC247" s="256"/>
    </row>
    <row r="248" spans="1:29" ht="15.75" customHeight="1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  <c r="AA248" s="256"/>
      <c r="AB248" s="256"/>
      <c r="AC248" s="256"/>
    </row>
    <row r="249" spans="1:29" ht="15.75" customHeight="1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56"/>
    </row>
    <row r="250" spans="1:29" ht="15.75" customHeight="1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  <c r="AA250" s="256"/>
      <c r="AB250" s="256"/>
      <c r="AC250" s="256"/>
    </row>
    <row r="251" spans="1:29" ht="15.75" customHeight="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  <c r="AB251" s="256"/>
      <c r="AC251" s="256"/>
    </row>
    <row r="252" spans="1:29" ht="15.75" customHeight="1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  <c r="AA252" s="256"/>
      <c r="AB252" s="256"/>
      <c r="AC252" s="256"/>
    </row>
    <row r="253" spans="1:29" ht="15.75" customHeight="1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  <c r="AA253" s="256"/>
      <c r="AB253" s="256"/>
      <c r="AC253" s="256"/>
    </row>
    <row r="254" spans="1:29" ht="15.75" customHeight="1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  <c r="AA254" s="256"/>
      <c r="AB254" s="256"/>
      <c r="AC254" s="256"/>
    </row>
    <row r="255" spans="1:29" ht="15.75" customHeight="1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  <c r="AA255" s="256"/>
      <c r="AB255" s="256"/>
      <c r="AC255" s="256"/>
    </row>
    <row r="256" spans="1:29" ht="15.75" customHeight="1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  <c r="AA256" s="256"/>
      <c r="AB256" s="256"/>
      <c r="AC256" s="256"/>
    </row>
    <row r="257" spans="1:29" ht="15.75" customHeight="1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  <c r="AB257" s="256"/>
      <c r="AC257" s="256"/>
    </row>
    <row r="258" spans="1:29" ht="15.75" customHeight="1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  <c r="AA258" s="256"/>
      <c r="AB258" s="256"/>
      <c r="AC258" s="256"/>
    </row>
    <row r="259" spans="1:29" ht="15.75" customHeight="1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  <c r="AB259" s="256"/>
      <c r="AC259" s="256"/>
    </row>
    <row r="260" spans="1:29" ht="15.75" customHeight="1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  <c r="AB260" s="256"/>
      <c r="AC260" s="256"/>
    </row>
    <row r="261" spans="1:29" ht="15.75" customHeight="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  <c r="AB261" s="256"/>
      <c r="AC261" s="256"/>
    </row>
    <row r="262" spans="1:29" ht="15.75" customHeight="1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  <c r="AB262" s="256"/>
      <c r="AC262" s="256"/>
    </row>
    <row r="263" spans="1:29" ht="15.75" customHeight="1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  <c r="AB263" s="256"/>
      <c r="AC263" s="256"/>
    </row>
    <row r="264" spans="1:29" ht="15.75" customHeight="1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  <c r="AB264" s="256"/>
      <c r="AC264" s="256"/>
    </row>
    <row r="265" spans="1:29" ht="15.75" customHeight="1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  <c r="AB265" s="256"/>
      <c r="AC265" s="256"/>
    </row>
    <row r="266" spans="1:29" ht="15.75" customHeight="1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  <c r="AA266" s="256"/>
      <c r="AB266" s="256"/>
      <c r="AC266" s="256"/>
    </row>
    <row r="267" spans="1:29" ht="15.75" customHeight="1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  <c r="AA267" s="256"/>
      <c r="AB267" s="256"/>
      <c r="AC267" s="256"/>
    </row>
    <row r="268" spans="1:29" ht="15.75" customHeight="1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  <c r="AA268" s="256"/>
      <c r="AB268" s="256"/>
      <c r="AC268" s="256"/>
    </row>
    <row r="269" spans="1:29" ht="15.75" customHeight="1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  <c r="AB269" s="256"/>
      <c r="AC269" s="256"/>
    </row>
    <row r="270" spans="1:29" ht="15.75" customHeight="1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  <c r="AB270" s="256"/>
      <c r="AC270" s="256"/>
    </row>
    <row r="271" spans="1:29" ht="15.75" customHeight="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  <c r="AA271" s="256"/>
      <c r="AB271" s="256"/>
      <c r="AC271" s="256"/>
    </row>
    <row r="272" spans="1:29" ht="15.75" customHeight="1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  <c r="AB272" s="256"/>
      <c r="AC272" s="256"/>
    </row>
    <row r="273" spans="1:29" ht="15.75" customHeight="1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  <c r="AA273" s="256"/>
      <c r="AB273" s="256"/>
      <c r="AC273" s="256"/>
    </row>
    <row r="274" spans="1:29" ht="15.75" customHeight="1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  <c r="AB274" s="256"/>
      <c r="AC274" s="256"/>
    </row>
    <row r="275" spans="1:29" ht="15.75" customHeight="1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  <c r="AA275" s="256"/>
      <c r="AB275" s="256"/>
      <c r="AC275" s="256"/>
    </row>
    <row r="276" spans="1:29" ht="15.75" customHeight="1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  <c r="AB276" s="256"/>
      <c r="AC276" s="256"/>
    </row>
    <row r="277" spans="1:29" ht="15.75" customHeight="1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  <c r="AA277" s="256"/>
      <c r="AB277" s="256"/>
      <c r="AC277" s="256"/>
    </row>
    <row r="278" spans="1:29" ht="15.75" customHeight="1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  <c r="AA278" s="256"/>
      <c r="AB278" s="256"/>
      <c r="AC278" s="256"/>
    </row>
    <row r="279" spans="1:29" ht="15.75" customHeight="1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  <c r="AA279" s="256"/>
      <c r="AB279" s="256"/>
      <c r="AC279" s="256"/>
    </row>
    <row r="280" spans="1:29" ht="15.75" customHeight="1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  <c r="AA280" s="256"/>
      <c r="AB280" s="256"/>
      <c r="AC280" s="256"/>
    </row>
    <row r="281" spans="1:29" ht="15.75" customHeight="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  <c r="AA281" s="256"/>
      <c r="AB281" s="256"/>
      <c r="AC281" s="256"/>
    </row>
    <row r="282" spans="1:29" ht="15.75" customHeight="1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  <c r="AA282" s="256"/>
      <c r="AB282" s="256"/>
      <c r="AC282" s="256"/>
    </row>
    <row r="283" spans="1:29" ht="15.75" customHeight="1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  <c r="AA283" s="256"/>
      <c r="AB283" s="256"/>
      <c r="AC283" s="256"/>
    </row>
    <row r="284" spans="1:29" ht="15.75" customHeight="1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  <c r="AA284" s="256"/>
      <c r="AB284" s="256"/>
      <c r="AC284" s="256"/>
    </row>
    <row r="285" spans="1:29" ht="15.75" customHeight="1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  <c r="AB285" s="256"/>
      <c r="AC285" s="256"/>
    </row>
    <row r="286" spans="1:29" ht="15.75" customHeight="1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  <c r="AB286" s="256"/>
      <c r="AC286" s="256"/>
    </row>
    <row r="287" spans="1:29" ht="15.75" customHeight="1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  <c r="AB287" s="256"/>
      <c r="AC287" s="256"/>
    </row>
    <row r="288" spans="1:29" ht="15.75" customHeight="1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  <c r="AA288" s="256"/>
      <c r="AB288" s="256"/>
      <c r="AC288" s="256"/>
    </row>
    <row r="289" spans="1:29" ht="15.75" customHeight="1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  <c r="AB289" s="256"/>
      <c r="AC289" s="256"/>
    </row>
    <row r="290" spans="1:29" ht="15.75" customHeight="1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  <c r="AA290" s="256"/>
      <c r="AB290" s="256"/>
      <c r="AC290" s="256"/>
    </row>
    <row r="291" spans="1:29" ht="15.75" customHeight="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  <c r="AB291" s="256"/>
      <c r="AC291" s="256"/>
    </row>
    <row r="292" spans="1:29" ht="15.75" customHeight="1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  <c r="AA292" s="256"/>
      <c r="AB292" s="256"/>
      <c r="AC292" s="256"/>
    </row>
    <row r="293" spans="1:29" ht="15.75" customHeight="1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  <c r="AB293" s="256"/>
      <c r="AC293" s="256"/>
    </row>
    <row r="294" spans="1:29" ht="15.75" customHeight="1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  <c r="AB294" s="256"/>
      <c r="AC294" s="256"/>
    </row>
    <row r="295" spans="1:29" ht="15.75" customHeight="1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  <c r="AB295" s="256"/>
      <c r="AC295" s="256"/>
    </row>
    <row r="296" spans="1:29" ht="15.75" customHeight="1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  <c r="AA296" s="256"/>
      <c r="AB296" s="256"/>
      <c r="AC296" s="256"/>
    </row>
    <row r="297" spans="1:29" ht="15.75" customHeight="1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  <c r="AB297" s="256"/>
      <c r="AC297" s="256"/>
    </row>
    <row r="298" spans="1:29" ht="15.75" customHeight="1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  <c r="AA298" s="256"/>
      <c r="AB298" s="256"/>
      <c r="AC298" s="256"/>
    </row>
    <row r="299" spans="1:29" ht="15.75" customHeight="1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  <c r="AA299" s="256"/>
      <c r="AB299" s="256"/>
      <c r="AC299" s="256"/>
    </row>
    <row r="300" spans="1:29" ht="15.75" customHeight="1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  <c r="AA300" s="256"/>
      <c r="AB300" s="256"/>
      <c r="AC300" s="256"/>
    </row>
    <row r="301" spans="1:29" ht="15.75" customHeight="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  <c r="AA301" s="256"/>
      <c r="AB301" s="256"/>
      <c r="AC301" s="256"/>
    </row>
    <row r="302" spans="1:29" ht="15.75" customHeight="1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  <c r="AA302" s="256"/>
      <c r="AB302" s="256"/>
      <c r="AC302" s="256"/>
    </row>
    <row r="303" spans="1:29" ht="15.75" customHeight="1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  <c r="AB303" s="256"/>
      <c r="AC303" s="256"/>
    </row>
    <row r="304" spans="1:29" ht="15.75" customHeight="1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  <c r="AA304" s="256"/>
      <c r="AB304" s="256"/>
      <c r="AC304" s="256"/>
    </row>
    <row r="305" spans="1:29" ht="15.75" customHeight="1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  <c r="AA305" s="256"/>
      <c r="AB305" s="256"/>
      <c r="AC305" s="256"/>
    </row>
    <row r="306" spans="1:29" ht="15.75" customHeight="1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  <c r="AB306" s="256"/>
      <c r="AC306" s="256"/>
    </row>
    <row r="307" spans="1:29" ht="15.75" customHeight="1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  <c r="AB307" s="256"/>
      <c r="AC307" s="256"/>
    </row>
    <row r="308" spans="1:29" ht="15.75" customHeight="1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  <c r="AB308" s="256"/>
      <c r="AC308" s="256"/>
    </row>
    <row r="309" spans="1:29" ht="15.75" customHeight="1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  <c r="AB309" s="256"/>
      <c r="AC309" s="256"/>
    </row>
    <row r="310" spans="1:29" ht="15.75" customHeight="1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  <c r="AA310" s="256"/>
      <c r="AB310" s="256"/>
      <c r="AC310" s="256"/>
    </row>
    <row r="311" spans="1:29" ht="15.75" customHeight="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  <c r="AA311" s="256"/>
      <c r="AB311" s="256"/>
      <c r="AC311" s="256"/>
    </row>
    <row r="312" spans="1:29" ht="15.75" customHeight="1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  <c r="AA312" s="256"/>
      <c r="AB312" s="256"/>
      <c r="AC312" s="256"/>
    </row>
    <row r="313" spans="1:29" ht="15.75" customHeight="1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  <c r="AA313" s="256"/>
      <c r="AB313" s="256"/>
      <c r="AC313" s="256"/>
    </row>
    <row r="314" spans="1:29" ht="15.75" customHeight="1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  <c r="AA314" s="256"/>
      <c r="AB314" s="256"/>
      <c r="AC314" s="256"/>
    </row>
    <row r="315" spans="1:29" ht="15.75" customHeight="1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  <c r="AA315" s="256"/>
      <c r="AB315" s="256"/>
      <c r="AC315" s="256"/>
    </row>
    <row r="316" spans="1:29" ht="15.75" customHeight="1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  <c r="AB316" s="256"/>
      <c r="AC316" s="256"/>
    </row>
    <row r="317" spans="1:29" ht="15.75" customHeight="1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  <c r="AB317" s="256"/>
      <c r="AC317" s="256"/>
    </row>
    <row r="318" spans="1:29" ht="15.75" customHeight="1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  <c r="AB318" s="256"/>
      <c r="AC318" s="256"/>
    </row>
    <row r="319" spans="1:29" ht="15.75" customHeight="1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  <c r="AB319" s="256"/>
      <c r="AC319" s="256"/>
    </row>
    <row r="320" spans="1:29" ht="15.75" customHeight="1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  <c r="AB320" s="256"/>
      <c r="AC320" s="256"/>
    </row>
    <row r="321" spans="1:29" ht="15.75" customHeight="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  <c r="AB321" s="256"/>
      <c r="AC321" s="256"/>
    </row>
    <row r="322" spans="1:29" ht="15.75" customHeight="1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  <c r="AB322" s="256"/>
      <c r="AC322" s="256"/>
    </row>
    <row r="323" spans="1:29" ht="15.75" customHeight="1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  <c r="AB323" s="256"/>
      <c r="AC323" s="256"/>
    </row>
    <row r="324" spans="1:29" ht="15.75" customHeight="1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  <c r="AB324" s="256"/>
      <c r="AC324" s="256"/>
    </row>
    <row r="325" spans="1:29" ht="15.75" customHeight="1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  <c r="AB325" s="256"/>
      <c r="AC325" s="256"/>
    </row>
    <row r="326" spans="1:29" ht="15.75" customHeight="1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  <c r="AB326" s="256"/>
      <c r="AC326" s="256"/>
    </row>
    <row r="327" spans="1:29" ht="15.75" customHeight="1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  <c r="AB327" s="256"/>
      <c r="AC327" s="256"/>
    </row>
    <row r="328" spans="1:29" ht="15.75" customHeight="1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  <c r="AB328" s="256"/>
      <c r="AC328" s="256"/>
    </row>
    <row r="329" spans="1:29" ht="15.75" customHeight="1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  <c r="AB329" s="256"/>
      <c r="AC329" s="256"/>
    </row>
    <row r="330" spans="1:29" ht="15.75" customHeight="1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  <c r="AB330" s="256"/>
      <c r="AC330" s="256"/>
    </row>
    <row r="331" spans="1:29" ht="15.75" customHeight="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  <c r="AB331" s="256"/>
      <c r="AC331" s="256"/>
    </row>
    <row r="332" spans="1:29" ht="15.75" customHeight="1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  <c r="AB332" s="256"/>
      <c r="AC332" s="256"/>
    </row>
    <row r="333" spans="1:29" ht="15.75" customHeight="1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  <c r="AB333" s="256"/>
      <c r="AC333" s="256"/>
    </row>
    <row r="334" spans="1:29" ht="15.75" customHeight="1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  <c r="AB334" s="256"/>
      <c r="AC334" s="256"/>
    </row>
    <row r="335" spans="1:29" ht="15.75" customHeight="1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  <c r="AB335" s="256"/>
      <c r="AC335" s="256"/>
    </row>
    <row r="336" spans="1:29" ht="15.75" customHeight="1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  <c r="AB336" s="256"/>
      <c r="AC336" s="256"/>
    </row>
    <row r="337" spans="1:29" ht="15.75" customHeight="1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56"/>
    </row>
    <row r="338" spans="1:29" ht="15.75" customHeight="1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  <c r="AB338" s="256"/>
      <c r="AC338" s="256"/>
    </row>
    <row r="339" spans="1:29" ht="15.75" customHeight="1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</row>
    <row r="340" spans="1:29" ht="15.75" customHeight="1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56"/>
    </row>
    <row r="341" spans="1:29" ht="15.75" customHeight="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56"/>
    </row>
    <row r="342" spans="1:29" ht="15.75" customHeight="1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  <c r="AB342" s="256"/>
      <c r="AC342" s="256"/>
    </row>
    <row r="343" spans="1:29" ht="15.75" customHeight="1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  <c r="AB343" s="256"/>
      <c r="AC343" s="256"/>
    </row>
    <row r="344" spans="1:29" ht="15.75" customHeight="1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  <c r="AB344" s="256"/>
      <c r="AC344" s="256"/>
    </row>
    <row r="345" spans="1:29" ht="15.75" customHeight="1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  <c r="AB345" s="256"/>
      <c r="AC345" s="256"/>
    </row>
    <row r="346" spans="1:29" ht="15.75" customHeight="1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  <c r="AB346" s="256"/>
      <c r="AC346" s="256"/>
    </row>
    <row r="347" spans="1:29" ht="15.75" customHeight="1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  <c r="AB347" s="256"/>
      <c r="AC347" s="256"/>
    </row>
    <row r="348" spans="1:29" ht="15.75" customHeight="1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  <c r="AB348" s="256"/>
      <c r="AC348" s="256"/>
    </row>
    <row r="349" spans="1:29" ht="15.75" customHeight="1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  <c r="AB349" s="256"/>
      <c r="AC349" s="256"/>
    </row>
    <row r="350" spans="1:29" ht="15.75" customHeight="1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  <c r="AB350" s="256"/>
      <c r="AC350" s="256"/>
    </row>
    <row r="351" spans="1:29" ht="15.75" customHeight="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  <c r="AB351" s="256"/>
      <c r="AC351" s="256"/>
    </row>
    <row r="352" spans="1:29" ht="15.75" customHeight="1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  <c r="AB352" s="256"/>
      <c r="AC352" s="256"/>
    </row>
    <row r="353" spans="1:29" ht="15.75" customHeight="1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  <c r="AB353" s="256"/>
      <c r="AC353" s="256"/>
    </row>
    <row r="354" spans="1:29" ht="15.75" customHeight="1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  <c r="AB354" s="256"/>
      <c r="AC354" s="256"/>
    </row>
    <row r="355" spans="1:29" ht="15.75" customHeight="1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  <c r="AB355" s="256"/>
      <c r="AC355" s="256"/>
    </row>
    <row r="356" spans="1:29" ht="15.75" customHeight="1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  <c r="AB356" s="256"/>
      <c r="AC356" s="256"/>
    </row>
    <row r="357" spans="1:29" ht="15.75" customHeight="1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  <c r="AB357" s="256"/>
      <c r="AC357" s="256"/>
    </row>
    <row r="358" spans="1:29" ht="15.75" customHeight="1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  <c r="AB358" s="256"/>
      <c r="AC358" s="256"/>
    </row>
    <row r="359" spans="1:29" ht="15.75" customHeight="1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  <c r="AB359" s="256"/>
      <c r="AC359" s="256"/>
    </row>
    <row r="360" spans="1:29" ht="15.75" customHeight="1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  <c r="AB360" s="256"/>
      <c r="AC360" s="256"/>
    </row>
    <row r="361" spans="1:29" ht="15.75" customHeight="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  <c r="AB361" s="256"/>
      <c r="AC361" s="256"/>
    </row>
    <row r="362" spans="1:29" ht="15.75" customHeight="1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  <c r="AB362" s="256"/>
      <c r="AC362" s="256"/>
    </row>
    <row r="363" spans="1:29" ht="15.75" customHeight="1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  <c r="AB363" s="256"/>
      <c r="AC363" s="256"/>
    </row>
    <row r="364" spans="1:29" ht="15.75" customHeight="1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  <c r="AB364" s="256"/>
      <c r="AC364" s="256"/>
    </row>
    <row r="365" spans="1:29" ht="15.75" customHeight="1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56"/>
    </row>
    <row r="366" spans="1:29" ht="15.75" customHeight="1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  <c r="AB366" s="256"/>
      <c r="AC366" s="256"/>
    </row>
    <row r="367" spans="1:29" ht="15.75" customHeight="1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  <c r="AB367" s="256"/>
      <c r="AC367" s="256"/>
    </row>
    <row r="368" spans="1:29" ht="15.75" customHeight="1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  <c r="AB368" s="256"/>
      <c r="AC368" s="256"/>
    </row>
    <row r="369" spans="1:29" ht="15.75" customHeight="1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  <c r="AB369" s="256"/>
      <c r="AC369" s="256"/>
    </row>
    <row r="370" spans="1:29" ht="15.75" customHeight="1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  <c r="AB370" s="256"/>
      <c r="AC370" s="256"/>
    </row>
    <row r="371" spans="1:29" ht="15.75" customHeight="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  <c r="AB371" s="256"/>
      <c r="AC371" s="256"/>
    </row>
    <row r="372" spans="1:29" ht="15.75" customHeight="1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  <c r="AB372" s="256"/>
      <c r="AC372" s="256"/>
    </row>
    <row r="373" spans="1:29" ht="15.75" customHeight="1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  <c r="AB373" s="256"/>
      <c r="AC373" s="256"/>
    </row>
    <row r="374" spans="1:29" ht="15.75" customHeight="1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  <c r="AB374" s="256"/>
      <c r="AC374" s="256"/>
    </row>
    <row r="375" spans="1:29" ht="15.75" customHeight="1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  <c r="AB375" s="256"/>
      <c r="AC375" s="256"/>
    </row>
    <row r="376" spans="1:29" ht="15.75" customHeight="1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56"/>
    </row>
    <row r="377" spans="1:29" ht="15.75" customHeight="1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  <c r="AB377" s="256"/>
      <c r="AC377" s="256"/>
    </row>
    <row r="378" spans="1:29" ht="15.75" customHeight="1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  <c r="AB378" s="256"/>
      <c r="AC378" s="256"/>
    </row>
    <row r="379" spans="1:29" ht="15.75" customHeight="1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  <c r="AB379" s="256"/>
      <c r="AC379" s="256"/>
    </row>
    <row r="380" spans="1:29" ht="15.75" customHeight="1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  <c r="AB380" s="256"/>
      <c r="AC380" s="256"/>
    </row>
    <row r="381" spans="1:29" ht="15.75" customHeight="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  <c r="AB381" s="256"/>
      <c r="AC381" s="256"/>
    </row>
    <row r="382" spans="1:29" ht="15.75" customHeight="1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  <c r="AB382" s="256"/>
      <c r="AC382" s="256"/>
    </row>
    <row r="383" spans="1:29" ht="15.75" customHeight="1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  <c r="AB383" s="256"/>
      <c r="AC383" s="256"/>
    </row>
    <row r="384" spans="1:29" ht="15.75" customHeight="1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  <c r="AB384" s="256"/>
      <c r="AC384" s="256"/>
    </row>
    <row r="385" spans="1:29" ht="15.75" customHeight="1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  <c r="AB385" s="256"/>
      <c r="AC385" s="256"/>
    </row>
    <row r="386" spans="1:29" ht="15.75" customHeight="1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  <c r="AB386" s="256"/>
      <c r="AC386" s="256"/>
    </row>
    <row r="387" spans="1:29" ht="15.75" customHeight="1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  <c r="AB387" s="256"/>
      <c r="AC387" s="256"/>
    </row>
    <row r="388" spans="1:29" ht="15.75" customHeight="1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  <c r="AB388" s="256"/>
      <c r="AC388" s="256"/>
    </row>
    <row r="389" spans="1:29" ht="15.75" customHeight="1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  <c r="AB389" s="256"/>
      <c r="AC389" s="256"/>
    </row>
    <row r="390" spans="1:29" ht="15.75" customHeight="1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  <c r="AB390" s="256"/>
      <c r="AC390" s="256"/>
    </row>
    <row r="391" spans="1:29" ht="15.75" customHeight="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56"/>
    </row>
    <row r="392" spans="1:29" ht="15.75" customHeight="1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  <c r="AB392" s="256"/>
      <c r="AC392" s="256"/>
    </row>
    <row r="393" spans="1:29" ht="15.75" customHeight="1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56"/>
    </row>
    <row r="394" spans="1:29" ht="15.75" customHeight="1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  <c r="AB394" s="256"/>
      <c r="AC394" s="256"/>
    </row>
    <row r="395" spans="1:29" ht="15.75" customHeight="1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56"/>
    </row>
    <row r="396" spans="1:29" ht="15.75" customHeight="1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  <c r="AB396" s="256"/>
      <c r="AC396" s="256"/>
    </row>
    <row r="397" spans="1:29" ht="15.75" customHeight="1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  <c r="AB397" s="256"/>
      <c r="AC397" s="256"/>
    </row>
    <row r="398" spans="1:29" ht="15.75" customHeight="1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  <c r="AB398" s="256"/>
      <c r="AC398" s="256"/>
    </row>
    <row r="399" spans="1:29" ht="15.75" customHeight="1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6"/>
    </row>
    <row r="400" spans="1:29" ht="15.75" customHeight="1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  <c r="AB400" s="256"/>
      <c r="AC400" s="256"/>
    </row>
    <row r="401" spans="1:29" ht="15.75" customHeight="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  <c r="AB401" s="256"/>
      <c r="AC401" s="256"/>
    </row>
    <row r="402" spans="1:29" ht="15.75" customHeight="1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  <c r="AB402" s="256"/>
      <c r="AC402" s="256"/>
    </row>
    <row r="403" spans="1:29" ht="15.75" customHeight="1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  <c r="AB403" s="256"/>
      <c r="AC403" s="256"/>
    </row>
    <row r="404" spans="1:29" ht="15.75" customHeight="1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  <c r="AB404" s="256"/>
      <c r="AC404" s="256"/>
    </row>
    <row r="405" spans="1:29" ht="15.75" customHeight="1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  <c r="AB405" s="256"/>
      <c r="AC405" s="256"/>
    </row>
    <row r="406" spans="1:29" ht="15.75" customHeight="1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  <c r="AB406" s="256"/>
      <c r="AC406" s="256"/>
    </row>
    <row r="407" spans="1:29" ht="15.75" customHeight="1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  <c r="AB407" s="256"/>
      <c r="AC407" s="256"/>
    </row>
    <row r="408" spans="1:29" ht="15.75" customHeight="1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  <c r="AB408" s="256"/>
      <c r="AC408" s="256"/>
    </row>
    <row r="409" spans="1:29" ht="15.75" customHeight="1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  <c r="AB409" s="256"/>
      <c r="AC409" s="256"/>
    </row>
    <row r="410" spans="1:29" ht="15.75" customHeight="1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56"/>
    </row>
    <row r="411" spans="1:29" ht="15.75" customHeight="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  <c r="AB411" s="256"/>
      <c r="AC411" s="256"/>
    </row>
    <row r="412" spans="1:29" ht="15.75" customHeight="1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56"/>
    </row>
    <row r="413" spans="1:29" ht="15.75" customHeight="1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  <c r="AB413" s="256"/>
      <c r="AC413" s="256"/>
    </row>
    <row r="414" spans="1:29" ht="15.75" customHeight="1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  <c r="AB414" s="256"/>
      <c r="AC414" s="256"/>
    </row>
    <row r="415" spans="1:29" ht="15.75" customHeight="1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  <c r="AB415" s="256"/>
      <c r="AC415" s="256"/>
    </row>
    <row r="416" spans="1:29" ht="15.75" customHeight="1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  <c r="AB416" s="256"/>
      <c r="AC416" s="256"/>
    </row>
    <row r="417" spans="1:29" ht="15.75" customHeight="1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  <c r="AB417" s="256"/>
      <c r="AC417" s="256"/>
    </row>
    <row r="418" spans="1:29" ht="15.75" customHeight="1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  <c r="AB418" s="256"/>
      <c r="AC418" s="256"/>
    </row>
    <row r="419" spans="1:29" ht="15.75" customHeight="1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  <c r="AB419" s="256"/>
      <c r="AC419" s="256"/>
    </row>
    <row r="420" spans="1:29" ht="15.75" customHeight="1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  <c r="AB420" s="256"/>
      <c r="AC420" s="256"/>
    </row>
    <row r="421" spans="1:29" ht="15.75" customHeight="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  <c r="AB421" s="256"/>
      <c r="AC421" s="256"/>
    </row>
    <row r="422" spans="1:29" ht="15.75" customHeight="1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  <c r="AB422" s="256"/>
      <c r="AC422" s="256"/>
    </row>
    <row r="423" spans="1:29" ht="15.75" customHeight="1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  <c r="AB423" s="256"/>
      <c r="AC423" s="256"/>
    </row>
    <row r="424" spans="1:29" ht="15.75" customHeight="1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  <c r="AB424" s="256"/>
      <c r="AC424" s="256"/>
    </row>
    <row r="425" spans="1:29" ht="15.75" customHeight="1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  <c r="AB425" s="256"/>
      <c r="AC425" s="256"/>
    </row>
    <row r="426" spans="1:29" ht="15.75" customHeight="1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  <c r="AB426" s="256"/>
      <c r="AC426" s="256"/>
    </row>
    <row r="427" spans="1:29" ht="15.75" customHeight="1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  <c r="AB427" s="256"/>
      <c r="AC427" s="256"/>
    </row>
    <row r="428" spans="1:29" ht="15.75" customHeight="1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  <c r="AB428" s="256"/>
      <c r="AC428" s="256"/>
    </row>
    <row r="429" spans="1:29" ht="15.75" customHeight="1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  <c r="AB429" s="256"/>
      <c r="AC429" s="256"/>
    </row>
    <row r="430" spans="1:29" ht="15.75" customHeight="1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  <c r="AB430" s="256"/>
      <c r="AC430" s="256"/>
    </row>
    <row r="431" spans="1:29" ht="15.75" customHeight="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6"/>
      <c r="AC431" s="256"/>
    </row>
    <row r="432" spans="1:29" ht="15.75" customHeight="1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  <c r="AB432" s="256"/>
      <c r="AC432" s="256"/>
    </row>
    <row r="433" spans="1:29" ht="15.75" customHeight="1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  <c r="AB433" s="256"/>
      <c r="AC433" s="256"/>
    </row>
    <row r="434" spans="1:29" ht="15.75" customHeight="1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6"/>
      <c r="AC434" s="256"/>
    </row>
    <row r="435" spans="1:29" ht="15.75" customHeight="1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6"/>
      <c r="AC435" s="256"/>
    </row>
    <row r="436" spans="1:29" ht="15.75" customHeight="1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  <c r="AB436" s="256"/>
      <c r="AC436" s="256"/>
    </row>
    <row r="437" spans="1:29" ht="15.75" customHeight="1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  <c r="AB437" s="256"/>
      <c r="AC437" s="256"/>
    </row>
    <row r="438" spans="1:29" ht="15.75" customHeight="1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56"/>
    </row>
    <row r="439" spans="1:29" ht="15.75" customHeight="1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  <c r="AB439" s="256"/>
      <c r="AC439" s="256"/>
    </row>
    <row r="440" spans="1:29" ht="15.75" customHeight="1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56"/>
    </row>
    <row r="441" spans="1:29" ht="15.75" customHeight="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  <c r="AB441" s="256"/>
      <c r="AC441" s="256"/>
    </row>
    <row r="442" spans="1:29" ht="15.75" customHeight="1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6"/>
      <c r="AC442" s="256"/>
    </row>
    <row r="443" spans="1:29" ht="15.75" customHeight="1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  <c r="AB443" s="256"/>
      <c r="AC443" s="256"/>
    </row>
    <row r="444" spans="1:29" ht="15.75" customHeight="1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  <c r="AB444" s="256"/>
      <c r="AC444" s="256"/>
    </row>
    <row r="445" spans="1:29" ht="15.75" customHeight="1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  <c r="AB445" s="256"/>
      <c r="AC445" s="256"/>
    </row>
    <row r="446" spans="1:29" ht="15.75" customHeight="1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  <c r="AB446" s="256"/>
      <c r="AC446" s="256"/>
    </row>
    <row r="447" spans="1:29" ht="15.75" customHeight="1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  <c r="AB447" s="256"/>
      <c r="AC447" s="256"/>
    </row>
    <row r="448" spans="1:29" ht="15.75" customHeight="1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  <c r="AB448" s="256"/>
      <c r="AC448" s="256"/>
    </row>
    <row r="449" spans="1:29" ht="15.75" customHeight="1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  <c r="AB449" s="256"/>
      <c r="AC449" s="256"/>
    </row>
    <row r="450" spans="1:29" ht="15.75" customHeight="1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  <c r="AB450" s="256"/>
      <c r="AC450" s="256"/>
    </row>
    <row r="451" spans="1:29" ht="15.75" customHeight="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  <c r="AB451" s="256"/>
      <c r="AC451" s="256"/>
    </row>
    <row r="452" spans="1:29" ht="15.75" customHeight="1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  <c r="AB452" s="256"/>
      <c r="AC452" s="256"/>
    </row>
    <row r="453" spans="1:29" ht="15.75" customHeight="1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  <c r="AB453" s="256"/>
      <c r="AC453" s="256"/>
    </row>
    <row r="454" spans="1:29" ht="15.75" customHeight="1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  <c r="AB454" s="256"/>
      <c r="AC454" s="256"/>
    </row>
    <row r="455" spans="1:29" ht="15.75" customHeight="1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  <c r="AB455" s="256"/>
      <c r="AC455" s="256"/>
    </row>
    <row r="456" spans="1:29" ht="15.75" customHeight="1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  <c r="AB456" s="256"/>
      <c r="AC456" s="256"/>
    </row>
    <row r="457" spans="1:29" ht="15.75" customHeight="1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  <c r="AB457" s="256"/>
      <c r="AC457" s="256"/>
    </row>
    <row r="458" spans="1:29" ht="15.75" customHeight="1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  <c r="AB458" s="256"/>
      <c r="AC458" s="256"/>
    </row>
    <row r="459" spans="1:29" ht="15.75" customHeight="1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  <c r="AB459" s="256"/>
      <c r="AC459" s="256"/>
    </row>
    <row r="460" spans="1:29" ht="15.75" customHeight="1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  <c r="AB460" s="256"/>
      <c r="AC460" s="256"/>
    </row>
    <row r="461" spans="1:29" ht="15.75" customHeight="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  <c r="AB461" s="256"/>
      <c r="AC461" s="256"/>
    </row>
    <row r="462" spans="1:29" ht="15.75" customHeight="1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  <c r="AB462" s="256"/>
      <c r="AC462" s="256"/>
    </row>
    <row r="463" spans="1:29" ht="15.75" customHeight="1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56"/>
    </row>
    <row r="464" spans="1:29" ht="15.75" customHeight="1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  <c r="AB464" s="256"/>
      <c r="AC464" s="256"/>
    </row>
    <row r="465" spans="1:29" ht="15.75" customHeight="1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56"/>
    </row>
    <row r="466" spans="1:29" ht="15.75" customHeight="1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  <c r="AB466" s="256"/>
      <c r="AC466" s="256"/>
    </row>
    <row r="467" spans="1:29" ht="15.75" customHeight="1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  <c r="AB467" s="256"/>
      <c r="AC467" s="256"/>
    </row>
    <row r="468" spans="1:29" ht="15.75" customHeight="1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  <c r="AB468" s="256"/>
      <c r="AC468" s="256"/>
    </row>
    <row r="469" spans="1:29" ht="15.75" customHeight="1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  <c r="AB469" s="256"/>
      <c r="AC469" s="256"/>
    </row>
    <row r="470" spans="1:29" ht="15.75" customHeight="1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  <c r="AB470" s="256"/>
      <c r="AC470" s="256"/>
    </row>
    <row r="471" spans="1:29" ht="15.75" customHeight="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  <c r="AB471" s="256"/>
      <c r="AC471" s="256"/>
    </row>
    <row r="472" spans="1:29" ht="15.75" customHeight="1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  <c r="AB472" s="256"/>
      <c r="AC472" s="256"/>
    </row>
    <row r="473" spans="1:29" ht="15.75" customHeight="1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  <c r="AB473" s="256"/>
      <c r="AC473" s="256"/>
    </row>
    <row r="474" spans="1:29" ht="15.75" customHeight="1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  <c r="AB474" s="256"/>
      <c r="AC474" s="256"/>
    </row>
    <row r="475" spans="1:29" ht="15.75" customHeight="1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56"/>
    </row>
    <row r="476" spans="1:29" ht="15.75" customHeight="1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56"/>
    </row>
    <row r="477" spans="1:29" ht="15.75" customHeight="1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56"/>
    </row>
    <row r="478" spans="1:29" ht="15.75" customHeight="1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56"/>
    </row>
    <row r="479" spans="1:29" ht="15.75" customHeight="1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56"/>
    </row>
    <row r="480" spans="1:29" ht="15.75" customHeight="1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56"/>
    </row>
    <row r="481" spans="1:29" ht="15.75" customHeight="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56"/>
    </row>
    <row r="482" spans="1:29" ht="15.75" customHeight="1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</row>
    <row r="483" spans="1:29" ht="15.75" customHeight="1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56"/>
    </row>
    <row r="484" spans="1:29" ht="15.75" customHeight="1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</row>
    <row r="485" spans="1:29" ht="15.75" customHeight="1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56"/>
    </row>
    <row r="486" spans="1:29" ht="15.75" customHeight="1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56"/>
    </row>
    <row r="487" spans="1:29" ht="15.75" customHeight="1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56"/>
    </row>
    <row r="488" spans="1:29" ht="15.75" customHeight="1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56"/>
    </row>
    <row r="489" spans="1:29" ht="15.75" customHeight="1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56"/>
    </row>
    <row r="490" spans="1:29" ht="15.75" customHeight="1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56"/>
    </row>
    <row r="491" spans="1:29" ht="15.75" customHeight="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56"/>
    </row>
    <row r="492" spans="1:29" ht="15.75" customHeight="1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56"/>
    </row>
    <row r="493" spans="1:29" ht="15.75" customHeight="1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56"/>
    </row>
    <row r="494" spans="1:29" ht="15.75" customHeight="1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56"/>
    </row>
    <row r="495" spans="1:29" ht="15.75" customHeight="1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56"/>
    </row>
    <row r="496" spans="1:29" ht="15.75" customHeight="1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56"/>
    </row>
    <row r="497" spans="1:29" ht="15.75" customHeight="1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56"/>
    </row>
    <row r="498" spans="1:29" ht="15.75" customHeight="1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56"/>
    </row>
    <row r="499" spans="1:29" ht="15.75" customHeight="1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56"/>
    </row>
    <row r="500" spans="1:29" ht="15.75" customHeight="1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56"/>
    </row>
    <row r="501" spans="1:29" ht="15.75" customHeight="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56"/>
    </row>
    <row r="502" spans="1:29" ht="15.75" customHeight="1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56"/>
    </row>
    <row r="503" spans="1:29" ht="15.75" customHeight="1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56"/>
    </row>
    <row r="504" spans="1:29" ht="15.75" customHeight="1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56"/>
    </row>
    <row r="505" spans="1:29" ht="15.75" customHeight="1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56"/>
    </row>
    <row r="506" spans="1:29" ht="15.75" customHeight="1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56"/>
    </row>
    <row r="507" spans="1:29" ht="15.75" customHeight="1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56"/>
    </row>
    <row r="508" spans="1:29" ht="15.75" customHeight="1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56"/>
    </row>
    <row r="509" spans="1:29" ht="15.75" customHeight="1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56"/>
    </row>
    <row r="510" spans="1:29" ht="15.75" customHeight="1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56"/>
    </row>
    <row r="511" spans="1:29" ht="15.75" customHeight="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56"/>
    </row>
    <row r="512" spans="1:29" ht="15.75" customHeight="1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56"/>
    </row>
    <row r="513" spans="1:29" ht="15.75" customHeight="1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56"/>
    </row>
    <row r="514" spans="1:29" ht="15.75" customHeight="1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56"/>
    </row>
    <row r="515" spans="1:29" ht="15.75" customHeight="1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56"/>
    </row>
    <row r="516" spans="1:29" ht="15.75" customHeight="1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56"/>
    </row>
    <row r="517" spans="1:29" ht="15.75" customHeight="1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56"/>
    </row>
    <row r="518" spans="1:29" ht="15.75" customHeight="1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56"/>
    </row>
    <row r="519" spans="1:29" ht="15.75" customHeight="1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56"/>
    </row>
    <row r="520" spans="1:29" ht="15.75" customHeight="1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56"/>
    </row>
    <row r="521" spans="1:29" ht="15.75" customHeight="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56"/>
    </row>
    <row r="522" spans="1:29" ht="15.75" customHeight="1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56"/>
    </row>
    <row r="523" spans="1:29" ht="15.75" customHeight="1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56"/>
    </row>
    <row r="524" spans="1:29" ht="15.75" customHeight="1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56"/>
    </row>
    <row r="525" spans="1:29" ht="15.75" customHeight="1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56"/>
    </row>
    <row r="526" spans="1:29" ht="15.75" customHeight="1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56"/>
    </row>
    <row r="527" spans="1:29" ht="15.75" customHeight="1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56"/>
    </row>
    <row r="528" spans="1:29" ht="15.75" customHeight="1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56"/>
    </row>
    <row r="529" spans="1:29" ht="15.75" customHeight="1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56"/>
    </row>
    <row r="530" spans="1:29" ht="15.75" customHeight="1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56"/>
    </row>
    <row r="531" spans="1:29" ht="15.75" customHeight="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56"/>
    </row>
    <row r="532" spans="1:29" ht="15.75" customHeight="1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56"/>
    </row>
    <row r="533" spans="1:29" ht="15.75" customHeight="1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56"/>
    </row>
    <row r="534" spans="1:29" ht="15.75" customHeight="1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56"/>
    </row>
    <row r="535" spans="1:29" ht="15.75" customHeight="1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56"/>
    </row>
    <row r="536" spans="1:29" ht="15.75" customHeight="1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56"/>
    </row>
    <row r="537" spans="1:29" ht="15.75" customHeight="1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56"/>
    </row>
    <row r="538" spans="1:29" ht="15.75" customHeight="1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56"/>
    </row>
    <row r="539" spans="1:29" ht="15.75" customHeight="1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56"/>
    </row>
    <row r="540" spans="1:29" ht="15.75" customHeight="1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56"/>
    </row>
    <row r="541" spans="1:29" ht="15.75" customHeight="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56"/>
    </row>
    <row r="542" spans="1:29" ht="15.75" customHeight="1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56"/>
    </row>
    <row r="543" spans="1:29" ht="15.75" customHeight="1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56"/>
    </row>
    <row r="544" spans="1:29" ht="15.75" customHeight="1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56"/>
    </row>
    <row r="545" spans="1:29" ht="15.75" customHeight="1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56"/>
    </row>
    <row r="546" spans="1:29" ht="15.75" customHeight="1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56"/>
    </row>
    <row r="547" spans="1:29" ht="15.75" customHeight="1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56"/>
    </row>
    <row r="548" spans="1:29" ht="15.75" customHeight="1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56"/>
    </row>
    <row r="549" spans="1:29" ht="15.75" customHeight="1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56"/>
    </row>
    <row r="550" spans="1:29" ht="15.75" customHeight="1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56"/>
    </row>
    <row r="551" spans="1:29" ht="15.75" customHeight="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56"/>
    </row>
    <row r="552" spans="1:29" ht="15.75" customHeight="1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56"/>
    </row>
    <row r="553" spans="1:29" ht="15.75" customHeight="1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56"/>
    </row>
    <row r="554" spans="1:29" ht="15.75" customHeight="1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56"/>
    </row>
    <row r="555" spans="1:29" ht="15.75" customHeight="1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56"/>
    </row>
    <row r="556" spans="1:29" ht="15.75" customHeight="1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56"/>
    </row>
    <row r="557" spans="1:29" ht="15.75" customHeight="1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56"/>
    </row>
    <row r="558" spans="1:29" ht="15.75" customHeight="1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56"/>
    </row>
    <row r="559" spans="1:29" ht="15.75" customHeight="1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56"/>
    </row>
    <row r="560" spans="1:29" ht="15.75" customHeight="1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56"/>
    </row>
    <row r="561" spans="1:29" ht="15.75" customHeight="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56"/>
    </row>
    <row r="562" spans="1:29" ht="15.75" customHeight="1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56"/>
    </row>
    <row r="563" spans="1:29" ht="15.75" customHeight="1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56"/>
    </row>
    <row r="564" spans="1:29" ht="15.75" customHeight="1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56"/>
    </row>
    <row r="565" spans="1:29" ht="15.75" customHeight="1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56"/>
    </row>
    <row r="566" spans="1:29" ht="15.75" customHeight="1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56"/>
    </row>
    <row r="567" spans="1:29" ht="15.75" customHeight="1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56"/>
    </row>
    <row r="568" spans="1:29" ht="15.75" customHeight="1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56"/>
    </row>
    <row r="569" spans="1:29" ht="15.75" customHeight="1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56"/>
    </row>
    <row r="570" spans="1:29" ht="15.75" customHeight="1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56"/>
    </row>
    <row r="571" spans="1:29" ht="15.75" customHeight="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56"/>
    </row>
    <row r="572" spans="1:29" ht="15.75" customHeight="1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56"/>
    </row>
    <row r="573" spans="1:29" ht="15.75" customHeight="1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56"/>
    </row>
    <row r="574" spans="1:29" ht="15.75" customHeight="1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56"/>
    </row>
    <row r="575" spans="1:29" ht="15.75" customHeight="1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56"/>
    </row>
    <row r="576" spans="1:29" ht="15.75" customHeight="1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56"/>
    </row>
    <row r="577" spans="1:29" ht="15.75" customHeight="1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56"/>
    </row>
    <row r="578" spans="1:29" ht="15.75" customHeight="1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56"/>
    </row>
    <row r="579" spans="1:29" ht="15.75" customHeight="1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56"/>
    </row>
    <row r="580" spans="1:29" ht="15.75" customHeight="1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56"/>
    </row>
    <row r="581" spans="1:29" ht="15.75" customHeight="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56"/>
    </row>
    <row r="582" spans="1:29" ht="15.75" customHeight="1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56"/>
    </row>
    <row r="583" spans="1:29" ht="15.75" customHeight="1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56"/>
    </row>
    <row r="584" spans="1:29" ht="15.75" customHeight="1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</row>
    <row r="585" spans="1:29" ht="15.75" customHeight="1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56"/>
    </row>
    <row r="586" spans="1:29" ht="15.75" customHeight="1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56"/>
    </row>
    <row r="587" spans="1:29" ht="15.75" customHeight="1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56"/>
    </row>
    <row r="588" spans="1:29" ht="15.75" customHeight="1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56"/>
    </row>
    <row r="589" spans="1:29" ht="15.75" customHeight="1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56"/>
    </row>
    <row r="590" spans="1:29" ht="15.75" customHeight="1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56"/>
    </row>
    <row r="591" spans="1:29" ht="15.75" customHeight="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56"/>
    </row>
    <row r="592" spans="1:29" ht="15.75" customHeight="1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56"/>
    </row>
    <row r="593" spans="1:29" ht="15.75" customHeight="1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56"/>
    </row>
    <row r="594" spans="1:29" ht="15.75" customHeight="1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56"/>
    </row>
    <row r="595" spans="1:29" ht="15.75" customHeight="1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56"/>
    </row>
    <row r="596" spans="1:29" ht="15.75" customHeight="1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56"/>
    </row>
    <row r="597" spans="1:29" ht="15.75" customHeight="1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56"/>
    </row>
    <row r="598" spans="1:29" ht="15.75" customHeight="1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56"/>
    </row>
    <row r="599" spans="1:29" ht="15.75" customHeight="1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56"/>
    </row>
    <row r="600" spans="1:29" ht="15.75" customHeight="1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56"/>
    </row>
    <row r="601" spans="1:29" ht="15.75" customHeight="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56"/>
    </row>
    <row r="602" spans="1:29" ht="15.75" customHeight="1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56"/>
    </row>
    <row r="603" spans="1:29" ht="15.75" customHeight="1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56"/>
    </row>
    <row r="604" spans="1:29" ht="15.75" customHeight="1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56"/>
    </row>
    <row r="605" spans="1:29" ht="15.75" customHeight="1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56"/>
    </row>
    <row r="606" spans="1:29" ht="15.75" customHeight="1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56"/>
    </row>
    <row r="607" spans="1:29" ht="15.75" customHeight="1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56"/>
    </row>
    <row r="608" spans="1:29" ht="15.75" customHeight="1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56"/>
    </row>
    <row r="609" spans="1:29" ht="15.75" customHeight="1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56"/>
    </row>
    <row r="610" spans="1:29" ht="15.75" customHeight="1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56"/>
    </row>
    <row r="611" spans="1:29" ht="15.75" customHeight="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56"/>
    </row>
    <row r="612" spans="1:29" ht="15.75" customHeight="1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56"/>
    </row>
    <row r="613" spans="1:29" ht="15.75" customHeight="1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56"/>
    </row>
    <row r="614" spans="1:29" ht="15.75" customHeight="1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56"/>
    </row>
    <row r="615" spans="1:29" ht="15.75" customHeight="1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56"/>
    </row>
    <row r="616" spans="1:29" ht="15.75" customHeight="1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56"/>
    </row>
    <row r="617" spans="1:29" ht="15.75" customHeight="1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56"/>
    </row>
    <row r="618" spans="1:29" ht="15.75" customHeight="1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56"/>
    </row>
    <row r="619" spans="1:29" ht="15.75" customHeight="1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56"/>
    </row>
    <row r="620" spans="1:29" ht="15.75" customHeight="1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56"/>
    </row>
    <row r="621" spans="1:29" ht="15.75" customHeight="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56"/>
    </row>
    <row r="622" spans="1:29" ht="15.75" customHeight="1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56"/>
    </row>
    <row r="623" spans="1:29" ht="15.75" customHeight="1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56"/>
    </row>
    <row r="624" spans="1:29" ht="15.75" customHeight="1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56"/>
    </row>
    <row r="625" spans="1:29" ht="15.75" customHeight="1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56"/>
    </row>
    <row r="626" spans="1:29" ht="15.75" customHeight="1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56"/>
    </row>
    <row r="627" spans="1:29" ht="15.75" customHeight="1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56"/>
    </row>
    <row r="628" spans="1:29" ht="15.75" customHeight="1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56"/>
    </row>
    <row r="629" spans="1:29" ht="15.75" customHeight="1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56"/>
    </row>
    <row r="630" spans="1:29" ht="15.75" customHeight="1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56"/>
    </row>
    <row r="631" spans="1:29" ht="15.75" customHeight="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56"/>
    </row>
    <row r="632" spans="1:29" ht="15.75" customHeight="1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56"/>
    </row>
    <row r="633" spans="1:29" ht="15.75" customHeight="1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56"/>
    </row>
    <row r="634" spans="1:29" ht="15.75" customHeight="1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56"/>
    </row>
    <row r="635" spans="1:29" ht="15.75" customHeight="1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56"/>
    </row>
    <row r="636" spans="1:29" ht="15.75" customHeight="1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56"/>
    </row>
    <row r="637" spans="1:29" ht="15.75" customHeight="1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56"/>
    </row>
    <row r="638" spans="1:29" ht="15.75" customHeight="1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56"/>
    </row>
    <row r="639" spans="1:29" ht="15.75" customHeight="1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56"/>
    </row>
    <row r="640" spans="1:29" ht="15.75" customHeight="1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56"/>
    </row>
    <row r="641" spans="1:29" ht="15.75" customHeight="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56"/>
    </row>
    <row r="642" spans="1:29" ht="15.75" customHeight="1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56"/>
    </row>
    <row r="643" spans="1:29" ht="15.75" customHeight="1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56"/>
    </row>
    <row r="644" spans="1:29" ht="15.75" customHeight="1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56"/>
    </row>
    <row r="645" spans="1:29" ht="15.75" customHeight="1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56"/>
    </row>
    <row r="646" spans="1:29" ht="15.75" customHeight="1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56"/>
    </row>
    <row r="647" spans="1:29" ht="15.75" customHeight="1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56"/>
    </row>
    <row r="648" spans="1:29" ht="15.75" customHeight="1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56"/>
    </row>
    <row r="649" spans="1:29" ht="15.75" customHeight="1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56"/>
    </row>
    <row r="650" spans="1:29" ht="15.75" customHeight="1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56"/>
    </row>
    <row r="651" spans="1:29" ht="15.75" customHeight="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56"/>
    </row>
    <row r="652" spans="1:29" ht="15.75" customHeight="1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56"/>
    </row>
    <row r="653" spans="1:29" ht="15.75" customHeight="1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56"/>
    </row>
    <row r="654" spans="1:29" ht="15.75" customHeight="1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56"/>
    </row>
    <row r="655" spans="1:29" ht="15.75" customHeight="1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56"/>
    </row>
    <row r="656" spans="1:29" ht="15.75" customHeight="1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56"/>
    </row>
    <row r="657" spans="1:29" ht="15.75" customHeight="1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56"/>
    </row>
    <row r="658" spans="1:29" ht="15.75" customHeight="1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56"/>
    </row>
    <row r="659" spans="1:29" ht="15.75" customHeight="1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56"/>
    </row>
    <row r="660" spans="1:29" ht="15.75" customHeight="1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56"/>
    </row>
    <row r="661" spans="1:29" ht="15.75" customHeight="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56"/>
    </row>
    <row r="662" spans="1:29" ht="15.75" customHeight="1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56"/>
    </row>
    <row r="663" spans="1:29" ht="15.75" customHeight="1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56"/>
    </row>
    <row r="664" spans="1:29" ht="15.75" customHeight="1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56"/>
    </row>
    <row r="665" spans="1:29" ht="15.75" customHeight="1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56"/>
    </row>
    <row r="666" spans="1:29" ht="15.75" customHeight="1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56"/>
    </row>
    <row r="667" spans="1:29" ht="15.75" customHeight="1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56"/>
    </row>
    <row r="668" spans="1:29" ht="15.75" customHeight="1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56"/>
    </row>
    <row r="669" spans="1:29" ht="15.75" customHeight="1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56"/>
    </row>
    <row r="670" spans="1:29" ht="15.75" customHeight="1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56"/>
    </row>
    <row r="671" spans="1:29" ht="15.75" customHeight="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56"/>
    </row>
    <row r="672" spans="1:29" ht="15.75" customHeight="1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56"/>
    </row>
    <row r="673" spans="1:29" ht="15.75" customHeight="1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56"/>
    </row>
    <row r="674" spans="1:29" ht="15.75" customHeight="1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56"/>
    </row>
    <row r="675" spans="1:29" ht="15.75" customHeight="1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56"/>
    </row>
    <row r="676" spans="1:29" ht="15.75" customHeight="1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56"/>
    </row>
    <row r="677" spans="1:29" ht="15.75" customHeight="1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56"/>
    </row>
    <row r="678" spans="1:29" ht="15.75" customHeight="1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56"/>
    </row>
    <row r="679" spans="1:29" ht="15.75" customHeight="1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56"/>
    </row>
    <row r="680" spans="1:29" ht="15.75" customHeight="1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56"/>
    </row>
    <row r="681" spans="1:29" ht="15.75" customHeight="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56"/>
    </row>
    <row r="682" spans="1:29" ht="15.75" customHeight="1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56"/>
    </row>
    <row r="683" spans="1:29" ht="15.75" customHeight="1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56"/>
    </row>
    <row r="684" spans="1:29" ht="15.75" customHeight="1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56"/>
    </row>
    <row r="685" spans="1:29" ht="15.75" customHeight="1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56"/>
    </row>
    <row r="686" spans="1:29" ht="15.75" customHeight="1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56"/>
    </row>
    <row r="687" spans="1:29" ht="15.75" customHeight="1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56"/>
    </row>
    <row r="688" spans="1:29" ht="15.75" customHeight="1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56"/>
    </row>
    <row r="689" spans="1:29" ht="15.75" customHeight="1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56"/>
    </row>
    <row r="690" spans="1:29" ht="15.75" customHeight="1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56"/>
    </row>
    <row r="691" spans="1:29" ht="15.75" customHeight="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56"/>
    </row>
    <row r="692" spans="1:29" ht="15.75" customHeight="1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56"/>
    </row>
    <row r="693" spans="1:29" ht="15.75" customHeight="1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56"/>
    </row>
    <row r="694" spans="1:29" ht="15.75" customHeight="1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56"/>
    </row>
    <row r="695" spans="1:29" ht="15.75" customHeight="1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56"/>
    </row>
    <row r="696" spans="1:29" ht="15.75" customHeight="1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56"/>
    </row>
    <row r="697" spans="1:29" ht="15.75" customHeight="1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56"/>
    </row>
    <row r="698" spans="1:29" ht="15.75" customHeight="1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56"/>
    </row>
    <row r="699" spans="1:29" ht="15.75" customHeight="1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56"/>
    </row>
    <row r="700" spans="1:29" ht="15.75" customHeight="1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56"/>
    </row>
    <row r="701" spans="1:29" ht="15.75" customHeight="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56"/>
    </row>
    <row r="702" spans="1:29" ht="15.75" customHeight="1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56"/>
    </row>
    <row r="703" spans="1:29" ht="15.75" customHeight="1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56"/>
    </row>
    <row r="704" spans="1:29" ht="15.75" customHeight="1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56"/>
    </row>
    <row r="705" spans="1:29" ht="15.75" customHeight="1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56"/>
    </row>
    <row r="706" spans="1:29" ht="15.75" customHeight="1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56"/>
    </row>
    <row r="707" spans="1:29" ht="15.75" customHeight="1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56"/>
    </row>
    <row r="708" spans="1:29" ht="15.75" customHeight="1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56"/>
    </row>
    <row r="709" spans="1:29" ht="15.75" customHeight="1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56"/>
    </row>
    <row r="710" spans="1:29" ht="15.75" customHeight="1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56"/>
    </row>
    <row r="711" spans="1:29" ht="15.75" customHeight="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56"/>
    </row>
    <row r="712" spans="1:29" ht="15.75" customHeight="1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56"/>
    </row>
    <row r="713" spans="1:29" ht="15.75" customHeight="1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56"/>
    </row>
    <row r="714" spans="1:29" ht="15.75" customHeight="1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56"/>
    </row>
    <row r="715" spans="1:29" ht="15.75" customHeight="1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56"/>
    </row>
    <row r="716" spans="1:29" ht="15.75" customHeight="1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</row>
    <row r="717" spans="1:29" ht="15.75" customHeight="1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56"/>
    </row>
    <row r="718" spans="1:29" ht="15.75" customHeight="1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56"/>
    </row>
    <row r="719" spans="1:29" ht="15.75" customHeight="1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56"/>
    </row>
    <row r="720" spans="1:29" ht="15.75" customHeight="1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56"/>
    </row>
    <row r="721" spans="1:29" ht="15.75" customHeight="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56"/>
    </row>
    <row r="722" spans="1:29" ht="15.75" customHeight="1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56"/>
    </row>
    <row r="723" spans="1:29" ht="15.75" customHeight="1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56"/>
    </row>
    <row r="724" spans="1:29" ht="15.75" customHeight="1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56"/>
    </row>
    <row r="725" spans="1:29" ht="15.75" customHeight="1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56"/>
    </row>
    <row r="726" spans="1:29" ht="15.75" customHeight="1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56"/>
    </row>
    <row r="727" spans="1:29" ht="15.75" customHeight="1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56"/>
    </row>
    <row r="728" spans="1:29" ht="15.75" customHeight="1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56"/>
    </row>
    <row r="729" spans="1:29" ht="15.75" customHeight="1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56"/>
    </row>
    <row r="730" spans="1:29" ht="15.75" customHeight="1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56"/>
    </row>
    <row r="731" spans="1:29" ht="15.75" customHeight="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56"/>
    </row>
    <row r="732" spans="1:29" ht="15.75" customHeight="1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56"/>
    </row>
    <row r="733" spans="1:29" ht="15.75" customHeight="1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56"/>
    </row>
    <row r="734" spans="1:29" ht="15.75" customHeight="1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56"/>
    </row>
    <row r="735" spans="1:29" ht="15.75" customHeight="1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56"/>
    </row>
    <row r="736" spans="1:29" ht="15.75" customHeight="1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56"/>
    </row>
    <row r="737" spans="1:29" ht="15.75" customHeight="1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56"/>
    </row>
    <row r="738" spans="1:29" ht="15.75" customHeight="1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56"/>
    </row>
    <row r="739" spans="1:29" ht="15.75" customHeight="1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56"/>
    </row>
    <row r="740" spans="1:29" ht="15.75" customHeight="1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56"/>
    </row>
    <row r="741" spans="1:29" ht="15.75" customHeight="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56"/>
    </row>
    <row r="742" spans="1:29" ht="15.75" customHeight="1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56"/>
    </row>
    <row r="743" spans="1:29" ht="15.75" customHeight="1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56"/>
    </row>
    <row r="744" spans="1:29" ht="15.75" customHeight="1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56"/>
    </row>
    <row r="745" spans="1:29" ht="15.75" customHeight="1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56"/>
    </row>
    <row r="746" spans="1:29" ht="15.75" customHeight="1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56"/>
    </row>
    <row r="747" spans="1:29" ht="15.75" customHeight="1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56"/>
    </row>
    <row r="748" spans="1:29" ht="15.75" customHeight="1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56"/>
    </row>
    <row r="749" spans="1:29" ht="15.75" customHeight="1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56"/>
    </row>
    <row r="750" spans="1:29" ht="15.75" customHeight="1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56"/>
    </row>
    <row r="751" spans="1:29" ht="15.75" customHeight="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56"/>
    </row>
    <row r="752" spans="1:29" ht="15.75" customHeight="1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56"/>
    </row>
    <row r="753" spans="1:29" ht="15.75" customHeight="1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56"/>
    </row>
    <row r="754" spans="1:29" ht="15.75" customHeight="1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56"/>
    </row>
    <row r="755" spans="1:29" ht="15.75" customHeight="1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56"/>
    </row>
    <row r="756" spans="1:29" ht="15.75" customHeight="1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56"/>
    </row>
    <row r="757" spans="1:29" ht="15.75" customHeight="1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56"/>
    </row>
    <row r="758" spans="1:29" ht="15.75" customHeight="1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56"/>
    </row>
    <row r="759" spans="1:29" ht="15.75" customHeight="1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56"/>
    </row>
    <row r="760" spans="1:29" ht="15.75" customHeight="1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56"/>
    </row>
    <row r="761" spans="1:29" ht="15.75" customHeight="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56"/>
    </row>
    <row r="762" spans="1:29" ht="15.75" customHeight="1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56"/>
    </row>
    <row r="763" spans="1:29" ht="15.75" customHeight="1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56"/>
    </row>
    <row r="764" spans="1:29" ht="15.75" customHeight="1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56"/>
    </row>
    <row r="765" spans="1:29" ht="15.75" customHeight="1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56"/>
    </row>
    <row r="766" spans="1:29" ht="15.75" customHeight="1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56"/>
    </row>
    <row r="767" spans="1:29" ht="15.75" customHeight="1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56"/>
    </row>
    <row r="768" spans="1:29" ht="15.75" customHeight="1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56"/>
    </row>
    <row r="769" spans="1:29" ht="15.75" customHeight="1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56"/>
    </row>
    <row r="770" spans="1:29" ht="15.75" customHeight="1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56"/>
    </row>
    <row r="771" spans="1:29" ht="15.75" customHeight="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56"/>
    </row>
    <row r="772" spans="1:29" ht="15.75" customHeight="1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56"/>
    </row>
    <row r="773" spans="1:29" ht="15.75" customHeight="1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56"/>
    </row>
    <row r="774" spans="1:29" ht="15.75" customHeight="1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56"/>
    </row>
    <row r="775" spans="1:29" ht="15.75" customHeight="1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56"/>
    </row>
    <row r="776" spans="1:29" ht="15.75" customHeight="1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56"/>
    </row>
    <row r="777" spans="1:29" ht="15.75" customHeight="1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56"/>
    </row>
    <row r="778" spans="1:29" ht="15.75" customHeight="1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56"/>
    </row>
    <row r="779" spans="1:29" ht="15.75" customHeight="1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56"/>
    </row>
    <row r="780" spans="1:29" ht="15.75" customHeight="1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56"/>
    </row>
    <row r="781" spans="1:29" ht="15.75" customHeight="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56"/>
    </row>
    <row r="782" spans="1:29" ht="15.75" customHeight="1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56"/>
    </row>
    <row r="783" spans="1:29" ht="15.75" customHeight="1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56"/>
    </row>
    <row r="784" spans="1:29" ht="15.75" customHeight="1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56"/>
    </row>
    <row r="785" spans="1:29" ht="15.75" customHeight="1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56"/>
    </row>
    <row r="786" spans="1:29" ht="15.75" customHeight="1">
      <c r="A786" s="256"/>
      <c r="B786" s="256"/>
      <c r="C786" s="256"/>
      <c r="D786" s="256"/>
      <c r="E786" s="256"/>
      <c r="F786" s="256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56"/>
    </row>
    <row r="787" spans="1:29" ht="15.75" customHeight="1">
      <c r="A787" s="256"/>
      <c r="B787" s="256"/>
      <c r="C787" s="256"/>
      <c r="D787" s="256"/>
      <c r="E787" s="256"/>
      <c r="F787" s="256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56"/>
    </row>
    <row r="788" spans="1:29" ht="15.75" customHeight="1">
      <c r="A788" s="256"/>
      <c r="B788" s="256"/>
      <c r="C788" s="256"/>
      <c r="D788" s="256"/>
      <c r="E788" s="256"/>
      <c r="F788" s="256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56"/>
    </row>
    <row r="789" spans="1:29" ht="15.75" customHeight="1">
      <c r="A789" s="256"/>
      <c r="B789" s="256"/>
      <c r="C789" s="256"/>
      <c r="D789" s="256"/>
      <c r="E789" s="256"/>
      <c r="F789" s="256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56"/>
    </row>
    <row r="790" spans="1:29" ht="15.75" customHeight="1">
      <c r="A790" s="256"/>
      <c r="B790" s="256"/>
      <c r="C790" s="256"/>
      <c r="D790" s="256"/>
      <c r="E790" s="256"/>
      <c r="F790" s="256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56"/>
    </row>
    <row r="791" spans="1:29" ht="15.75" customHeight="1">
      <c r="A791" s="256"/>
      <c r="B791" s="256"/>
      <c r="C791" s="256"/>
      <c r="D791" s="256"/>
      <c r="E791" s="256"/>
      <c r="F791" s="256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56"/>
    </row>
    <row r="792" spans="1:29" ht="15.75" customHeight="1">
      <c r="A792" s="256"/>
      <c r="B792" s="256"/>
      <c r="C792" s="256"/>
      <c r="D792" s="256"/>
      <c r="E792" s="256"/>
      <c r="F792" s="256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56"/>
    </row>
    <row r="793" spans="1:29" ht="15.75" customHeight="1">
      <c r="A793" s="256"/>
      <c r="B793" s="256"/>
      <c r="C793" s="256"/>
      <c r="D793" s="256"/>
      <c r="E793" s="256"/>
      <c r="F793" s="256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56"/>
    </row>
    <row r="794" spans="1:29" ht="15.75" customHeight="1">
      <c r="A794" s="256"/>
      <c r="B794" s="256"/>
      <c r="C794" s="256"/>
      <c r="D794" s="256"/>
      <c r="E794" s="256"/>
      <c r="F794" s="256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56"/>
    </row>
    <row r="795" spans="1:29" ht="15.75" customHeight="1">
      <c r="A795" s="256"/>
      <c r="B795" s="256"/>
      <c r="C795" s="256"/>
      <c r="D795" s="256"/>
      <c r="E795" s="256"/>
      <c r="F795" s="256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56"/>
    </row>
    <row r="796" spans="1:29" ht="15.75" customHeight="1">
      <c r="A796" s="256"/>
      <c r="B796" s="256"/>
      <c r="C796" s="256"/>
      <c r="D796" s="256"/>
      <c r="E796" s="256"/>
      <c r="F796" s="256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56"/>
    </row>
    <row r="797" spans="1:29" ht="15.75" customHeight="1">
      <c r="A797" s="256"/>
      <c r="B797" s="256"/>
      <c r="C797" s="256"/>
      <c r="D797" s="256"/>
      <c r="E797" s="256"/>
      <c r="F797" s="256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56"/>
    </row>
    <row r="798" spans="1:29" ht="15.75" customHeight="1">
      <c r="A798" s="256"/>
      <c r="B798" s="256"/>
      <c r="C798" s="256"/>
      <c r="D798" s="256"/>
      <c r="E798" s="256"/>
      <c r="F798" s="256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56"/>
    </row>
    <row r="799" spans="1:29" ht="15.75" customHeight="1">
      <c r="A799" s="256"/>
      <c r="B799" s="256"/>
      <c r="C799" s="256"/>
      <c r="D799" s="256"/>
      <c r="E799" s="256"/>
      <c r="F799" s="256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56"/>
    </row>
    <row r="800" spans="1:29" ht="15.75" customHeight="1">
      <c r="A800" s="256"/>
      <c r="B800" s="256"/>
      <c r="C800" s="256"/>
      <c r="D800" s="256"/>
      <c r="E800" s="256"/>
      <c r="F800" s="256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56"/>
    </row>
    <row r="801" spans="1:29" ht="15.75" customHeight="1">
      <c r="A801" s="256"/>
      <c r="B801" s="256"/>
      <c r="C801" s="256"/>
      <c r="D801" s="256"/>
      <c r="E801" s="256"/>
      <c r="F801" s="256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56"/>
    </row>
    <row r="802" spans="1:29" ht="15.75" customHeight="1">
      <c r="A802" s="256"/>
      <c r="B802" s="256"/>
      <c r="C802" s="256"/>
      <c r="D802" s="256"/>
      <c r="E802" s="256"/>
      <c r="F802" s="256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56"/>
    </row>
    <row r="803" spans="1:29" ht="15.75" customHeight="1">
      <c r="A803" s="256"/>
      <c r="B803" s="256"/>
      <c r="C803" s="256"/>
      <c r="D803" s="256"/>
      <c r="E803" s="256"/>
      <c r="F803" s="256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56"/>
    </row>
    <row r="804" spans="1:29" ht="15.75" customHeight="1">
      <c r="A804" s="256"/>
      <c r="B804" s="256"/>
      <c r="C804" s="256"/>
      <c r="D804" s="256"/>
      <c r="E804" s="256"/>
      <c r="F804" s="256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56"/>
    </row>
    <row r="805" spans="1:29" ht="15.75" customHeight="1">
      <c r="A805" s="256"/>
      <c r="B805" s="256"/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56"/>
    </row>
    <row r="806" spans="1:29" ht="15.75" customHeight="1">
      <c r="A806" s="256"/>
      <c r="B806" s="256"/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56"/>
    </row>
    <row r="807" spans="1:29" ht="15.75" customHeight="1">
      <c r="A807" s="256"/>
      <c r="B807" s="256"/>
      <c r="C807" s="256"/>
      <c r="D807" s="256"/>
      <c r="E807" s="256"/>
      <c r="F807" s="256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56"/>
    </row>
    <row r="808" spans="1:29" ht="15.75" customHeight="1">
      <c r="A808" s="256"/>
      <c r="B808" s="256"/>
      <c r="C808" s="256"/>
      <c r="D808" s="256"/>
      <c r="E808" s="256"/>
      <c r="F808" s="256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56"/>
    </row>
    <row r="809" spans="1:29" ht="15.75" customHeight="1">
      <c r="A809" s="256"/>
      <c r="B809" s="256"/>
      <c r="C809" s="256"/>
      <c r="D809" s="256"/>
      <c r="E809" s="256"/>
      <c r="F809" s="256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56"/>
    </row>
    <row r="810" spans="1:29" ht="15.75" customHeight="1">
      <c r="A810" s="256"/>
      <c r="B810" s="256"/>
      <c r="C810" s="256"/>
      <c r="D810" s="256"/>
      <c r="E810" s="256"/>
      <c r="F810" s="256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56"/>
    </row>
    <row r="811" spans="1:29" ht="15.75" customHeight="1">
      <c r="A811" s="256"/>
      <c r="B811" s="256"/>
      <c r="C811" s="256"/>
      <c r="D811" s="256"/>
      <c r="E811" s="256"/>
      <c r="F811" s="256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56"/>
    </row>
    <row r="812" spans="1:29" ht="15.75" customHeight="1">
      <c r="A812" s="256"/>
      <c r="B812" s="256"/>
      <c r="C812" s="256"/>
      <c r="D812" s="256"/>
      <c r="E812" s="256"/>
      <c r="F812" s="256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56"/>
    </row>
    <row r="813" spans="1:29" ht="15.75" customHeight="1">
      <c r="A813" s="256"/>
      <c r="B813" s="256"/>
      <c r="C813" s="256"/>
      <c r="D813" s="256"/>
      <c r="E813" s="256"/>
      <c r="F813" s="256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56"/>
    </row>
    <row r="814" spans="1:29" ht="15.75" customHeight="1">
      <c r="A814" s="256"/>
      <c r="B814" s="256"/>
      <c r="C814" s="256"/>
      <c r="D814" s="256"/>
      <c r="E814" s="256"/>
      <c r="F814" s="256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56"/>
    </row>
    <row r="815" spans="1:29" ht="15.75" customHeight="1">
      <c r="A815" s="256"/>
      <c r="B815" s="256"/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56"/>
    </row>
    <row r="816" spans="1:29" ht="15.75" customHeight="1">
      <c r="A816" s="256"/>
      <c r="B816" s="256"/>
      <c r="C816" s="256"/>
      <c r="D816" s="256"/>
      <c r="E816" s="256"/>
      <c r="F816" s="256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56"/>
    </row>
    <row r="817" spans="1:29" ht="15.75" customHeight="1">
      <c r="A817" s="256"/>
      <c r="B817" s="256"/>
      <c r="C817" s="256"/>
      <c r="D817" s="256"/>
      <c r="E817" s="256"/>
      <c r="F817" s="256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56"/>
    </row>
    <row r="818" spans="1:29" ht="15.75" customHeight="1">
      <c r="A818" s="256"/>
      <c r="B818" s="256"/>
      <c r="C818" s="256"/>
      <c r="D818" s="256"/>
      <c r="E818" s="256"/>
      <c r="F818" s="256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56"/>
    </row>
    <row r="819" spans="1:29" ht="15.75" customHeight="1">
      <c r="A819" s="256"/>
      <c r="B819" s="256"/>
      <c r="C819" s="256"/>
      <c r="D819" s="256"/>
      <c r="E819" s="256"/>
      <c r="F819" s="256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56"/>
    </row>
    <row r="820" spans="1:29" ht="15.75" customHeight="1">
      <c r="A820" s="256"/>
      <c r="B820" s="256"/>
      <c r="C820" s="256"/>
      <c r="D820" s="256"/>
      <c r="E820" s="256"/>
      <c r="F820" s="256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56"/>
    </row>
    <row r="821" spans="1:29" ht="15.75" customHeight="1">
      <c r="A821" s="256"/>
      <c r="B821" s="256"/>
      <c r="C821" s="256"/>
      <c r="D821" s="256"/>
      <c r="E821" s="256"/>
      <c r="F821" s="256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56"/>
    </row>
    <row r="822" spans="1:29" ht="15.75" customHeight="1">
      <c r="A822" s="256"/>
      <c r="B822" s="256"/>
      <c r="C822" s="256"/>
      <c r="D822" s="256"/>
      <c r="E822" s="256"/>
      <c r="F822" s="256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56"/>
    </row>
    <row r="823" spans="1:29" ht="15.75" customHeight="1">
      <c r="A823" s="256"/>
      <c r="B823" s="256"/>
      <c r="C823" s="256"/>
      <c r="D823" s="256"/>
      <c r="E823" s="256"/>
      <c r="F823" s="256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56"/>
    </row>
    <row r="824" spans="1:29" ht="15.75" customHeight="1">
      <c r="A824" s="256"/>
      <c r="B824" s="256"/>
      <c r="C824" s="256"/>
      <c r="D824" s="256"/>
      <c r="E824" s="256"/>
      <c r="F824" s="256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56"/>
    </row>
    <row r="825" spans="1:29" ht="15.75" customHeight="1">
      <c r="A825" s="256"/>
      <c r="B825" s="256"/>
      <c r="C825" s="256"/>
      <c r="D825" s="256"/>
      <c r="E825" s="256"/>
      <c r="F825" s="256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56"/>
    </row>
    <row r="826" spans="1:29" ht="15.75" customHeight="1">
      <c r="A826" s="256"/>
      <c r="B826" s="256"/>
      <c r="C826" s="256"/>
      <c r="D826" s="256"/>
      <c r="E826" s="256"/>
      <c r="F826" s="256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56"/>
    </row>
    <row r="827" spans="1:29" ht="15.75" customHeight="1">
      <c r="A827" s="256"/>
      <c r="B827" s="256"/>
      <c r="C827" s="256"/>
      <c r="D827" s="256"/>
      <c r="E827" s="256"/>
      <c r="F827" s="256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56"/>
    </row>
    <row r="828" spans="1:29" ht="15.75" customHeight="1">
      <c r="A828" s="256"/>
      <c r="B828" s="256"/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56"/>
    </row>
    <row r="829" spans="1:29" ht="15.75" customHeight="1">
      <c r="A829" s="256"/>
      <c r="B829" s="256"/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56"/>
    </row>
    <row r="830" spans="1:29" ht="15.75" customHeight="1">
      <c r="A830" s="256"/>
      <c r="B830" s="256"/>
      <c r="C830" s="256"/>
      <c r="D830" s="256"/>
      <c r="E830" s="256"/>
      <c r="F830" s="256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56"/>
    </row>
    <row r="831" spans="1:29" ht="15.75" customHeight="1">
      <c r="A831" s="256"/>
      <c r="B831" s="256"/>
      <c r="C831" s="256"/>
      <c r="D831" s="256"/>
      <c r="E831" s="256"/>
      <c r="F831" s="256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56"/>
    </row>
    <row r="832" spans="1:29" ht="15.75" customHeight="1">
      <c r="A832" s="256"/>
      <c r="B832" s="256"/>
      <c r="C832" s="256"/>
      <c r="D832" s="256"/>
      <c r="E832" s="256"/>
      <c r="F832" s="256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56"/>
    </row>
    <row r="833" spans="1:29" ht="15.75" customHeight="1">
      <c r="A833" s="256"/>
      <c r="B833" s="256"/>
      <c r="C833" s="256"/>
      <c r="D833" s="256"/>
      <c r="E833" s="256"/>
      <c r="F833" s="256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56"/>
    </row>
    <row r="834" spans="1:29" ht="15.75" customHeight="1">
      <c r="A834" s="256"/>
      <c r="B834" s="256"/>
      <c r="C834" s="256"/>
      <c r="D834" s="256"/>
      <c r="E834" s="256"/>
      <c r="F834" s="256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56"/>
    </row>
    <row r="835" spans="1:29" ht="15.75" customHeight="1">
      <c r="A835" s="256"/>
      <c r="B835" s="256"/>
      <c r="C835" s="256"/>
      <c r="D835" s="256"/>
      <c r="E835" s="256"/>
      <c r="F835" s="256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56"/>
    </row>
    <row r="836" spans="1:29" ht="15.75" customHeight="1">
      <c r="A836" s="256"/>
      <c r="B836" s="256"/>
      <c r="C836" s="256"/>
      <c r="D836" s="256"/>
      <c r="E836" s="256"/>
      <c r="F836" s="256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56"/>
    </row>
    <row r="837" spans="1:29" ht="15.75" customHeight="1">
      <c r="A837" s="256"/>
      <c r="B837" s="256"/>
      <c r="C837" s="256"/>
      <c r="D837" s="256"/>
      <c r="E837" s="256"/>
      <c r="F837" s="256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56"/>
    </row>
    <row r="838" spans="1:29" ht="15.75" customHeight="1">
      <c r="A838" s="256"/>
      <c r="B838" s="256"/>
      <c r="C838" s="256"/>
      <c r="D838" s="256"/>
      <c r="E838" s="256"/>
      <c r="F838" s="256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56"/>
    </row>
    <row r="839" spans="1:29" ht="15.75" customHeight="1">
      <c r="A839" s="256"/>
      <c r="B839" s="256"/>
      <c r="C839" s="256"/>
      <c r="D839" s="256"/>
      <c r="E839" s="256"/>
      <c r="F839" s="256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56"/>
    </row>
    <row r="840" spans="1:29" ht="15.75" customHeight="1">
      <c r="A840" s="256"/>
      <c r="B840" s="256"/>
      <c r="C840" s="256"/>
      <c r="D840" s="256"/>
      <c r="E840" s="256"/>
      <c r="F840" s="256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56"/>
    </row>
    <row r="841" spans="1:29" ht="15.75" customHeight="1">
      <c r="A841" s="256"/>
      <c r="B841" s="256"/>
      <c r="C841" s="256"/>
      <c r="D841" s="256"/>
      <c r="E841" s="256"/>
      <c r="F841" s="256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56"/>
    </row>
    <row r="842" spans="1:29" ht="15.75" customHeight="1">
      <c r="A842" s="256"/>
      <c r="B842" s="256"/>
      <c r="C842" s="256"/>
      <c r="D842" s="256"/>
      <c r="E842" s="256"/>
      <c r="F842" s="256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56"/>
    </row>
    <row r="843" spans="1:29" ht="15.75" customHeight="1">
      <c r="A843" s="256"/>
      <c r="B843" s="256"/>
      <c r="C843" s="256"/>
      <c r="D843" s="256"/>
      <c r="E843" s="256"/>
      <c r="F843" s="256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56"/>
    </row>
    <row r="844" spans="1:29" ht="15.75" customHeight="1">
      <c r="A844" s="256"/>
      <c r="B844" s="256"/>
      <c r="C844" s="256"/>
      <c r="D844" s="256"/>
      <c r="E844" s="256"/>
      <c r="F844" s="256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56"/>
    </row>
    <row r="845" spans="1:29" ht="15.75" customHeight="1">
      <c r="A845" s="256"/>
      <c r="B845" s="256"/>
      <c r="C845" s="256"/>
      <c r="D845" s="256"/>
      <c r="E845" s="256"/>
      <c r="F845" s="256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56"/>
    </row>
    <row r="846" spans="1:29" ht="15.75" customHeight="1">
      <c r="A846" s="256"/>
      <c r="B846" s="256"/>
      <c r="C846" s="256"/>
      <c r="D846" s="256"/>
      <c r="E846" s="256"/>
      <c r="F846" s="256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56"/>
    </row>
    <row r="847" spans="1:29" ht="15.75" customHeight="1">
      <c r="A847" s="256"/>
      <c r="B847" s="256"/>
      <c r="C847" s="256"/>
      <c r="D847" s="256"/>
      <c r="E847" s="256"/>
      <c r="F847" s="256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56"/>
    </row>
    <row r="848" spans="1:29" ht="15.75" customHeight="1">
      <c r="A848" s="256"/>
      <c r="B848" s="256"/>
      <c r="C848" s="256"/>
      <c r="D848" s="256"/>
      <c r="E848" s="256"/>
      <c r="F848" s="256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56"/>
    </row>
    <row r="849" spans="1:29" ht="15.75" customHeight="1">
      <c r="A849" s="256"/>
      <c r="B849" s="256"/>
      <c r="C849" s="256"/>
      <c r="D849" s="256"/>
      <c r="E849" s="256"/>
      <c r="F849" s="256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56"/>
    </row>
    <row r="850" spans="1:29" ht="15.75" customHeight="1">
      <c r="A850" s="256"/>
      <c r="B850" s="256"/>
      <c r="C850" s="256"/>
      <c r="D850" s="256"/>
      <c r="E850" s="256"/>
      <c r="F850" s="256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56"/>
    </row>
    <row r="851" spans="1:29" ht="15.75" customHeight="1">
      <c r="A851" s="256"/>
      <c r="B851" s="256"/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56"/>
    </row>
    <row r="852" spans="1:29" ht="15.75" customHeight="1">
      <c r="A852" s="256"/>
      <c r="B852" s="256"/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56"/>
    </row>
    <row r="853" spans="1:29" ht="15.75" customHeight="1">
      <c r="A853" s="256"/>
      <c r="B853" s="256"/>
      <c r="C853" s="256"/>
      <c r="D853" s="256"/>
      <c r="E853" s="256"/>
      <c r="F853" s="256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56"/>
    </row>
    <row r="854" spans="1:29" ht="15.75" customHeight="1">
      <c r="A854" s="256"/>
      <c r="B854" s="256"/>
      <c r="C854" s="256"/>
      <c r="D854" s="256"/>
      <c r="E854" s="256"/>
      <c r="F854" s="256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56"/>
    </row>
    <row r="855" spans="1:29" ht="15.75" customHeight="1">
      <c r="A855" s="256"/>
      <c r="B855" s="256"/>
      <c r="C855" s="256"/>
      <c r="D855" s="256"/>
      <c r="E855" s="256"/>
      <c r="F855" s="256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56"/>
    </row>
    <row r="856" spans="1:29" ht="15.75" customHeight="1">
      <c r="A856" s="256"/>
      <c r="B856" s="256"/>
      <c r="C856" s="256"/>
      <c r="D856" s="256"/>
      <c r="E856" s="256"/>
      <c r="F856" s="256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56"/>
    </row>
    <row r="857" spans="1:29" ht="15.75" customHeight="1">
      <c r="A857" s="256"/>
      <c r="B857" s="256"/>
      <c r="C857" s="256"/>
      <c r="D857" s="256"/>
      <c r="E857" s="256"/>
      <c r="F857" s="256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56"/>
    </row>
    <row r="858" spans="1:29" ht="15.75" customHeight="1">
      <c r="A858" s="256"/>
      <c r="B858" s="256"/>
      <c r="C858" s="256"/>
      <c r="D858" s="256"/>
      <c r="E858" s="256"/>
      <c r="F858" s="256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56"/>
    </row>
    <row r="859" spans="1:29" ht="15.75" customHeight="1">
      <c r="A859" s="256"/>
      <c r="B859" s="256"/>
      <c r="C859" s="256"/>
      <c r="D859" s="256"/>
      <c r="E859" s="256"/>
      <c r="F859" s="256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56"/>
    </row>
    <row r="860" spans="1:29" ht="15.75" customHeight="1">
      <c r="A860" s="256"/>
      <c r="B860" s="256"/>
      <c r="C860" s="256"/>
      <c r="D860" s="256"/>
      <c r="E860" s="256"/>
      <c r="F860" s="256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56"/>
    </row>
    <row r="861" spans="1:29" ht="15.75" customHeight="1">
      <c r="A861" s="256"/>
      <c r="B861" s="256"/>
      <c r="C861" s="256"/>
      <c r="D861" s="256"/>
      <c r="E861" s="256"/>
      <c r="F861" s="256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56"/>
    </row>
    <row r="862" spans="1:29" ht="15.75" customHeight="1">
      <c r="A862" s="256"/>
      <c r="B862" s="256"/>
      <c r="C862" s="256"/>
      <c r="D862" s="256"/>
      <c r="E862" s="256"/>
      <c r="F862" s="256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56"/>
    </row>
    <row r="863" spans="1:29" ht="15.75" customHeight="1">
      <c r="A863" s="256"/>
      <c r="B863" s="256"/>
      <c r="C863" s="256"/>
      <c r="D863" s="256"/>
      <c r="E863" s="256"/>
      <c r="F863" s="256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56"/>
    </row>
  </sheetData>
  <mergeCells count="38">
    <mergeCell ref="A1:L1"/>
    <mergeCell ref="B4:B5"/>
    <mergeCell ref="J4:J5"/>
    <mergeCell ref="K4:K5"/>
    <mergeCell ref="L4:L5"/>
    <mergeCell ref="A2:L2"/>
    <mergeCell ref="C4:C5"/>
    <mergeCell ref="A4:A5"/>
    <mergeCell ref="I4:I5"/>
    <mergeCell ref="H4:H5"/>
    <mergeCell ref="D4:D5"/>
    <mergeCell ref="E4:E5"/>
    <mergeCell ref="F4:F5"/>
    <mergeCell ref="G4:G5"/>
    <mergeCell ref="A19:L19"/>
    <mergeCell ref="D34:D35"/>
    <mergeCell ref="A3:J3"/>
    <mergeCell ref="N4:N5"/>
    <mergeCell ref="A6:L6"/>
    <mergeCell ref="G34:G35"/>
    <mergeCell ref="J34:J35"/>
    <mergeCell ref="K34:K35"/>
    <mergeCell ref="L34:L35"/>
    <mergeCell ref="A13:L13"/>
    <mergeCell ref="F32:G32"/>
    <mergeCell ref="B34:B35"/>
    <mergeCell ref="I34:I35"/>
    <mergeCell ref="H34:H35"/>
    <mergeCell ref="C34:C35"/>
    <mergeCell ref="E34:E35"/>
    <mergeCell ref="A39:L39"/>
    <mergeCell ref="F34:F35"/>
    <mergeCell ref="F45:G45"/>
    <mergeCell ref="A34:A35"/>
    <mergeCell ref="A33:F33"/>
    <mergeCell ref="F44:G44"/>
    <mergeCell ref="A36:L36"/>
    <mergeCell ref="A40:L40"/>
  </mergeCells>
  <printOptions horizontalCentered="1" verticalCentered="1"/>
  <pageMargins left="0.69930555555555596" right="0.69930555555555596" top="0.75" bottom="0.75" header="0" footer="0"/>
  <pageSetup paperSize="9" scale="4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FB577"/>
  <sheetViews>
    <sheetView topLeftCell="E31" workbookViewId="0">
      <selection activeCell="I45" sqref="I45"/>
    </sheetView>
  </sheetViews>
  <sheetFormatPr defaultColWidth="9" defaultRowHeight="15" customHeight="1"/>
  <cols>
    <col min="1" max="1" width="3.83203125" style="352" customWidth="1"/>
    <col min="2" max="2" width="18.33203125" style="352" customWidth="1"/>
    <col min="3" max="3" width="21.33203125" style="352" customWidth="1"/>
    <col min="4" max="4" width="31.08203125" style="352" customWidth="1"/>
    <col min="5" max="5" width="25.58203125" style="352" customWidth="1"/>
    <col min="6" max="6" width="14.33203125" style="352" customWidth="1"/>
    <col min="7" max="7" width="15.75" style="352" customWidth="1"/>
    <col min="8" max="9" width="11.75" style="353" customWidth="1"/>
    <col min="10" max="10" width="17.25" style="353" customWidth="1"/>
    <col min="11" max="11" width="0.33203125" style="1" customWidth="1"/>
    <col min="12" max="16" width="14.25" style="1" customWidth="1"/>
    <col min="17" max="17" width="8.75" style="1" customWidth="1"/>
    <col min="18" max="20" width="13.08203125" style="1" customWidth="1"/>
    <col min="21" max="21" width="10.25" style="1" customWidth="1"/>
    <col min="22" max="26" width="8.75" style="1" customWidth="1"/>
    <col min="27" max="16382" width="9.83203125" style="1"/>
    <col min="16383" max="16383" width="9.83203125"/>
    <col min="16384" max="16384" width="9.83203125" customWidth="1"/>
  </cols>
  <sheetData>
    <row r="1" spans="1:26" ht="18" customHeight="1">
      <c r="A1" s="1051" t="s">
        <v>3319</v>
      </c>
      <c r="B1" s="1052"/>
      <c r="C1" s="1052"/>
      <c r="D1" s="1052"/>
      <c r="E1" s="1052"/>
      <c r="F1" s="1052"/>
      <c r="G1" s="1052"/>
      <c r="H1" s="1052"/>
      <c r="I1" s="1052"/>
      <c r="J1" s="1052"/>
      <c r="K1" s="308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 spans="1:26" ht="18" customHeight="1">
      <c r="A2" s="1058" t="s">
        <v>3268</v>
      </c>
      <c r="B2" s="1052"/>
      <c r="C2" s="1052"/>
      <c r="D2" s="1052"/>
      <c r="E2" s="1052"/>
      <c r="F2" s="1052"/>
      <c r="G2" s="1052"/>
      <c r="H2" s="1052"/>
      <c r="I2" s="1052"/>
      <c r="J2" s="1052"/>
      <c r="K2" s="308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 spans="1:26" ht="18" customHeight="1">
      <c r="A3" s="1058" t="s">
        <v>3320</v>
      </c>
      <c r="B3" s="1052"/>
      <c r="C3" s="1052"/>
      <c r="D3" s="1052"/>
      <c r="E3" s="1052"/>
      <c r="F3" s="1052"/>
      <c r="G3" s="1052"/>
      <c r="H3" s="1052"/>
      <c r="I3" s="1052"/>
      <c r="J3" s="1052"/>
      <c r="K3" s="308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</row>
    <row r="4" spans="1:26" ht="15" customHeight="1">
      <c r="A4" s="1045" t="s">
        <v>25</v>
      </c>
      <c r="B4" s="1046"/>
      <c r="C4" s="1046"/>
      <c r="D4" s="1046"/>
      <c r="E4" s="1046"/>
      <c r="F4" s="1046"/>
      <c r="G4" s="1046"/>
      <c r="H4" s="1046"/>
      <c r="I4" s="1046"/>
      <c r="J4" s="1046"/>
      <c r="K4" s="308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</row>
    <row r="5" spans="1:26" ht="17.25" customHeight="1">
      <c r="A5" s="1043" t="s">
        <v>3270</v>
      </c>
      <c r="B5" s="1043" t="s">
        <v>3271</v>
      </c>
      <c r="C5" s="1043" t="s">
        <v>3272</v>
      </c>
      <c r="D5" s="1043" t="s">
        <v>3273</v>
      </c>
      <c r="E5" s="1043" t="s">
        <v>3274</v>
      </c>
      <c r="F5" s="1043" t="s">
        <v>3275</v>
      </c>
      <c r="G5" s="1043" t="s">
        <v>13</v>
      </c>
      <c r="H5" s="1047" t="s">
        <v>3276</v>
      </c>
      <c r="I5" s="1047" t="s">
        <v>3277</v>
      </c>
      <c r="J5" s="1047" t="s">
        <v>21</v>
      </c>
      <c r="K5" s="308"/>
      <c r="L5" s="993" t="s">
        <v>3279</v>
      </c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</row>
    <row r="6" spans="1:26" ht="15" customHeight="1">
      <c r="A6" s="1044"/>
      <c r="B6" s="1044"/>
      <c r="C6" s="1044"/>
      <c r="D6" s="1044"/>
      <c r="E6" s="1044"/>
      <c r="F6" s="1044"/>
      <c r="G6" s="1044"/>
      <c r="H6" s="1048"/>
      <c r="I6" s="1048"/>
      <c r="J6" s="1048"/>
      <c r="K6" s="308"/>
      <c r="L6" s="993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</row>
    <row r="7" spans="1:26" ht="21.75" customHeight="1">
      <c r="A7" s="354">
        <v>1</v>
      </c>
      <c r="B7" s="355" t="s">
        <v>1736</v>
      </c>
      <c r="C7" s="356" t="s">
        <v>1733</v>
      </c>
      <c r="D7" s="356" t="s">
        <v>1375</v>
      </c>
      <c r="E7" s="356" t="s">
        <v>1732</v>
      </c>
      <c r="F7" s="356" t="s">
        <v>94</v>
      </c>
      <c r="G7" s="357">
        <v>45017</v>
      </c>
      <c r="H7" s="358">
        <v>27833324</v>
      </c>
      <c r="I7" s="358">
        <v>34353310</v>
      </c>
      <c r="J7" s="358">
        <f>I7-H7</f>
        <v>6519986</v>
      </c>
      <c r="K7" s="308"/>
      <c r="L7" s="256" t="s">
        <v>3281</v>
      </c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</row>
    <row r="8" spans="1:26" ht="21.75" customHeight="1">
      <c r="A8" s="354">
        <v>2</v>
      </c>
      <c r="B8" s="355" t="s">
        <v>1745</v>
      </c>
      <c r="C8" s="356" t="s">
        <v>1742</v>
      </c>
      <c r="D8" s="356" t="s">
        <v>45</v>
      </c>
      <c r="E8" s="356" t="s">
        <v>1741</v>
      </c>
      <c r="F8" s="356" t="s">
        <v>66</v>
      </c>
      <c r="G8" s="357">
        <v>45019</v>
      </c>
      <c r="H8" s="359">
        <v>6307300</v>
      </c>
      <c r="I8" s="359">
        <v>10225000</v>
      </c>
      <c r="J8" s="359">
        <f t="shared" ref="J8:J24" si="0">I8-H8</f>
        <v>3917700</v>
      </c>
      <c r="K8" s="308"/>
      <c r="L8" s="256" t="s">
        <v>3281</v>
      </c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</row>
    <row r="9" spans="1:26" ht="21.75" customHeight="1">
      <c r="A9" s="354">
        <v>3</v>
      </c>
      <c r="B9" s="360" t="s">
        <v>1752</v>
      </c>
      <c r="C9" s="361" t="s">
        <v>1678</v>
      </c>
      <c r="D9" s="361" t="s">
        <v>1375</v>
      </c>
      <c r="E9" s="361" t="s">
        <v>1748</v>
      </c>
      <c r="F9" s="361" t="s">
        <v>66</v>
      </c>
      <c r="G9" s="362">
        <v>45019</v>
      </c>
      <c r="H9" s="363">
        <v>114836000</v>
      </c>
      <c r="I9" s="363">
        <v>121763010</v>
      </c>
      <c r="J9" s="363">
        <f t="shared" si="0"/>
        <v>6927010</v>
      </c>
      <c r="K9" s="308"/>
      <c r="L9" s="256" t="s">
        <v>3281</v>
      </c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</row>
    <row r="10" spans="1:26" ht="21.75" customHeight="1">
      <c r="A10" s="354">
        <v>4</v>
      </c>
      <c r="B10" s="364" t="s">
        <v>1762</v>
      </c>
      <c r="C10" s="364" t="s">
        <v>1588</v>
      </c>
      <c r="D10" s="364" t="s">
        <v>1758</v>
      </c>
      <c r="E10" s="364" t="s">
        <v>1759</v>
      </c>
      <c r="F10" s="364" t="s">
        <v>1764</v>
      </c>
      <c r="G10" s="362">
        <v>45023</v>
      </c>
      <c r="H10" s="363">
        <v>140000</v>
      </c>
      <c r="I10" s="363">
        <v>1400500</v>
      </c>
      <c r="J10" s="363">
        <f t="shared" si="0"/>
        <v>1260500</v>
      </c>
      <c r="K10" s="308"/>
      <c r="L10" s="256" t="s">
        <v>3281</v>
      </c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</row>
    <row r="11" spans="1:26" ht="21.75" customHeight="1">
      <c r="A11" s="354">
        <v>5</v>
      </c>
      <c r="B11" s="360" t="s">
        <v>1769</v>
      </c>
      <c r="C11" s="361" t="s">
        <v>1742</v>
      </c>
      <c r="D11" s="361" t="s">
        <v>45</v>
      </c>
      <c r="E11" s="361" t="s">
        <v>1768</v>
      </c>
      <c r="F11" s="361" t="s">
        <v>365</v>
      </c>
      <c r="G11" s="362">
        <v>45025</v>
      </c>
      <c r="H11" s="363">
        <v>194838000</v>
      </c>
      <c r="I11" s="363">
        <v>265247000</v>
      </c>
      <c r="J11" s="363">
        <f t="shared" si="0"/>
        <v>70409000</v>
      </c>
      <c r="K11" s="308"/>
      <c r="L11" s="256" t="s">
        <v>3281</v>
      </c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</row>
    <row r="12" spans="1:26" ht="21.75" customHeight="1">
      <c r="A12" s="354">
        <v>6</v>
      </c>
      <c r="B12" s="360" t="s">
        <v>1776</v>
      </c>
      <c r="C12" s="361" t="s">
        <v>1588</v>
      </c>
      <c r="D12" s="361" t="s">
        <v>1485</v>
      </c>
      <c r="E12" s="361" t="s">
        <v>1774</v>
      </c>
      <c r="F12" s="361" t="s">
        <v>1050</v>
      </c>
      <c r="G12" s="362">
        <v>45026</v>
      </c>
      <c r="H12" s="363">
        <v>1750000</v>
      </c>
      <c r="I12" s="363">
        <v>2800000</v>
      </c>
      <c r="J12" s="363">
        <f t="shared" si="0"/>
        <v>1050000</v>
      </c>
      <c r="K12" s="308"/>
      <c r="L12" s="256" t="s">
        <v>3281</v>
      </c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</row>
    <row r="13" spans="1:26" ht="21.75" customHeight="1">
      <c r="A13" s="354">
        <v>7</v>
      </c>
      <c r="B13" s="360" t="s">
        <v>1780</v>
      </c>
      <c r="C13" s="361" t="s">
        <v>1599</v>
      </c>
      <c r="D13" s="361" t="s">
        <v>749</v>
      </c>
      <c r="E13" s="361" t="s">
        <v>1778</v>
      </c>
      <c r="F13" s="361" t="s">
        <v>110</v>
      </c>
      <c r="G13" s="362">
        <v>45026</v>
      </c>
      <c r="H13" s="363">
        <v>1650000</v>
      </c>
      <c r="I13" s="363">
        <v>3565000</v>
      </c>
      <c r="J13" s="363">
        <f t="shared" si="0"/>
        <v>1915000</v>
      </c>
      <c r="K13" s="308"/>
      <c r="L13" s="256" t="s">
        <v>3281</v>
      </c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</row>
    <row r="14" spans="1:26" ht="21.75" customHeight="1">
      <c r="A14" s="354">
        <v>8</v>
      </c>
      <c r="B14" s="360" t="s">
        <v>1789</v>
      </c>
      <c r="C14" s="361" t="s">
        <v>1599</v>
      </c>
      <c r="D14" s="361" t="s">
        <v>1785</v>
      </c>
      <c r="E14" s="361" t="s">
        <v>1786</v>
      </c>
      <c r="F14" s="361" t="s">
        <v>1791</v>
      </c>
      <c r="G14" s="362">
        <v>45028</v>
      </c>
      <c r="H14" s="363">
        <v>4500000</v>
      </c>
      <c r="I14" s="363">
        <v>13876250</v>
      </c>
      <c r="J14" s="363">
        <f t="shared" si="0"/>
        <v>9376250</v>
      </c>
      <c r="K14" s="308"/>
      <c r="L14" s="256" t="s">
        <v>3281</v>
      </c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</row>
    <row r="15" spans="1:26" ht="21.75" customHeight="1">
      <c r="A15" s="354">
        <v>9</v>
      </c>
      <c r="B15" s="360" t="s">
        <v>1796</v>
      </c>
      <c r="C15" s="361" t="s">
        <v>1599</v>
      </c>
      <c r="D15" s="361" t="s">
        <v>1086</v>
      </c>
      <c r="E15" s="361" t="s">
        <v>1793</v>
      </c>
      <c r="F15" s="361" t="s">
        <v>172</v>
      </c>
      <c r="G15" s="362">
        <v>45029</v>
      </c>
      <c r="H15" s="363">
        <v>5192788</v>
      </c>
      <c r="I15" s="363">
        <v>6567788</v>
      </c>
      <c r="J15" s="363">
        <f t="shared" si="0"/>
        <v>1375000</v>
      </c>
      <c r="K15" s="308"/>
      <c r="L15" s="256" t="s">
        <v>3281</v>
      </c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</row>
    <row r="16" spans="1:26" ht="21.75" customHeight="1">
      <c r="A16" s="354">
        <v>10</v>
      </c>
      <c r="B16" s="360" t="s">
        <v>1803</v>
      </c>
      <c r="C16" s="361" t="s">
        <v>25</v>
      </c>
      <c r="D16" s="361" t="s">
        <v>1375</v>
      </c>
      <c r="E16" s="361" t="s">
        <v>1800</v>
      </c>
      <c r="F16" s="361" t="s">
        <v>1805</v>
      </c>
      <c r="G16" s="362">
        <v>45029</v>
      </c>
      <c r="H16" s="363">
        <v>27800000</v>
      </c>
      <c r="I16" s="363">
        <v>37700000</v>
      </c>
      <c r="J16" s="363">
        <f t="shared" si="0"/>
        <v>9900000</v>
      </c>
      <c r="K16" s="308"/>
      <c r="L16" s="256" t="s">
        <v>3281</v>
      </c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</row>
    <row r="17" spans="1:26" ht="21.75" customHeight="1">
      <c r="A17" s="354">
        <v>11</v>
      </c>
      <c r="B17" s="361" t="s">
        <v>1823</v>
      </c>
      <c r="C17" s="361" t="s">
        <v>1820</v>
      </c>
      <c r="D17" s="361" t="s">
        <v>1375</v>
      </c>
      <c r="E17" s="361">
        <v>226222927</v>
      </c>
      <c r="F17" s="361" t="s">
        <v>66</v>
      </c>
      <c r="G17" s="362">
        <v>45029</v>
      </c>
      <c r="H17" s="363">
        <v>23400000</v>
      </c>
      <c r="I17" s="363">
        <v>28075900</v>
      </c>
      <c r="J17" s="363">
        <f t="shared" si="0"/>
        <v>4675900</v>
      </c>
      <c r="K17" s="308"/>
      <c r="L17" s="256" t="s">
        <v>3281</v>
      </c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</row>
    <row r="18" spans="1:26" ht="21.75" customHeight="1">
      <c r="A18" s="354">
        <v>12</v>
      </c>
      <c r="B18" s="361" t="s">
        <v>1832</v>
      </c>
      <c r="C18" s="361" t="s">
        <v>1829</v>
      </c>
      <c r="D18" s="361" t="s">
        <v>1375</v>
      </c>
      <c r="E18" s="361" t="s">
        <v>1828</v>
      </c>
      <c r="F18" s="361" t="s">
        <v>1805</v>
      </c>
      <c r="G18" s="362">
        <v>45036</v>
      </c>
      <c r="H18" s="363">
        <v>5800000</v>
      </c>
      <c r="I18" s="363">
        <v>8650000</v>
      </c>
      <c r="J18" s="363">
        <f t="shared" si="0"/>
        <v>2850000</v>
      </c>
      <c r="K18" s="308"/>
      <c r="L18" s="256" t="s">
        <v>3281</v>
      </c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</row>
    <row r="19" spans="1:26" ht="21.75" customHeight="1">
      <c r="A19" s="354">
        <v>13</v>
      </c>
      <c r="B19" s="365" t="s">
        <v>3321</v>
      </c>
      <c r="C19" s="365" t="s">
        <v>1829</v>
      </c>
      <c r="D19" s="365" t="s">
        <v>1375</v>
      </c>
      <c r="E19" s="365" t="s">
        <v>1839</v>
      </c>
      <c r="F19" s="365" t="s">
        <v>1805</v>
      </c>
      <c r="G19" s="366">
        <v>45036</v>
      </c>
      <c r="H19" s="367">
        <v>11600000</v>
      </c>
      <c r="I19" s="367">
        <v>16900000</v>
      </c>
      <c r="J19" s="367">
        <f t="shared" si="0"/>
        <v>5300000</v>
      </c>
      <c r="K19" s="308"/>
      <c r="L19" s="256" t="s">
        <v>3281</v>
      </c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</row>
    <row r="20" spans="1:26" ht="21.75" customHeight="1">
      <c r="A20" s="354">
        <v>14</v>
      </c>
      <c r="B20" s="361" t="s">
        <v>1891</v>
      </c>
      <c r="C20" s="361" t="s">
        <v>1588</v>
      </c>
      <c r="D20" s="361" t="s">
        <v>1485</v>
      </c>
      <c r="E20" s="322" t="s">
        <v>1888</v>
      </c>
      <c r="F20" s="322" t="s">
        <v>1892</v>
      </c>
      <c r="G20" s="362">
        <v>45044</v>
      </c>
      <c r="H20" s="363">
        <v>4500000</v>
      </c>
      <c r="I20" s="363">
        <v>6450000</v>
      </c>
      <c r="J20" s="363">
        <f t="shared" si="0"/>
        <v>1950000</v>
      </c>
      <c r="K20" s="308"/>
      <c r="L20" s="256" t="s">
        <v>3281</v>
      </c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</row>
    <row r="21" spans="1:26" ht="21.75" customHeight="1">
      <c r="A21" s="354">
        <v>15</v>
      </c>
      <c r="B21" s="365" t="s">
        <v>1850</v>
      </c>
      <c r="C21" s="361" t="s">
        <v>1820</v>
      </c>
      <c r="D21" s="365" t="s">
        <v>1375</v>
      </c>
      <c r="E21" s="365">
        <v>226376719</v>
      </c>
      <c r="F21" s="365" t="s">
        <v>66</v>
      </c>
      <c r="G21" s="366">
        <v>45044</v>
      </c>
      <c r="H21" s="367">
        <v>59750000</v>
      </c>
      <c r="I21" s="367">
        <v>66381500</v>
      </c>
      <c r="J21" s="367">
        <f t="shared" si="0"/>
        <v>6631500</v>
      </c>
      <c r="K21" s="308"/>
      <c r="L21" s="256" t="s">
        <v>3281</v>
      </c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</row>
    <row r="22" spans="1:26" ht="21.75" customHeight="1">
      <c r="A22" s="354">
        <v>16</v>
      </c>
      <c r="B22" s="365" t="s">
        <v>1860</v>
      </c>
      <c r="C22" s="361" t="s">
        <v>1820</v>
      </c>
      <c r="D22" s="365" t="s">
        <v>1375</v>
      </c>
      <c r="E22" s="365">
        <v>226373665</v>
      </c>
      <c r="F22" s="365" t="s">
        <v>66</v>
      </c>
      <c r="G22" s="366">
        <v>45044</v>
      </c>
      <c r="H22" s="367">
        <v>47800000</v>
      </c>
      <c r="I22" s="367">
        <v>56785200</v>
      </c>
      <c r="J22" s="367">
        <f t="shared" si="0"/>
        <v>8985200</v>
      </c>
      <c r="K22" s="308"/>
      <c r="L22" s="256" t="s">
        <v>3281</v>
      </c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</row>
    <row r="23" spans="1:26" ht="21.75" customHeight="1">
      <c r="A23" s="354">
        <v>17</v>
      </c>
      <c r="B23" s="365" t="s">
        <v>1868</v>
      </c>
      <c r="C23" s="361" t="s">
        <v>1820</v>
      </c>
      <c r="D23" s="365" t="s">
        <v>1375</v>
      </c>
      <c r="E23" s="365">
        <v>226373780</v>
      </c>
      <c r="F23" s="365" t="s">
        <v>66</v>
      </c>
      <c r="G23" s="366">
        <v>45044</v>
      </c>
      <c r="H23" s="367">
        <v>35950000</v>
      </c>
      <c r="I23" s="367">
        <v>39988900</v>
      </c>
      <c r="J23" s="367">
        <f t="shared" si="0"/>
        <v>4038900</v>
      </c>
      <c r="K23" s="308"/>
      <c r="L23" s="256" t="s">
        <v>3281</v>
      </c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</row>
    <row r="24" spans="1:26" ht="21.75" customHeight="1">
      <c r="A24" s="354">
        <v>18</v>
      </c>
      <c r="B24" s="365" t="s">
        <v>1875</v>
      </c>
      <c r="C24" s="361" t="s">
        <v>1820</v>
      </c>
      <c r="D24" s="365" t="s">
        <v>1375</v>
      </c>
      <c r="E24" s="365">
        <v>226373746</v>
      </c>
      <c r="F24" s="365" t="s">
        <v>66</v>
      </c>
      <c r="G24" s="366">
        <v>45044</v>
      </c>
      <c r="H24" s="367">
        <v>119500000</v>
      </c>
      <c r="I24" s="367">
        <v>132363000</v>
      </c>
      <c r="J24" s="367">
        <f t="shared" si="0"/>
        <v>12863000</v>
      </c>
      <c r="K24" s="308"/>
      <c r="L24" s="256" t="s">
        <v>3281</v>
      </c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</row>
    <row r="25" spans="1:26" ht="21.75" customHeight="1">
      <c r="A25" s="368"/>
      <c r="B25" s="369"/>
      <c r="C25" s="369"/>
      <c r="D25" s="368" t="s">
        <v>3290</v>
      </c>
      <c r="E25" s="368"/>
      <c r="F25" s="1053" t="s">
        <v>3291</v>
      </c>
      <c r="G25" s="1054"/>
      <c r="H25" s="372"/>
      <c r="I25" s="372"/>
      <c r="J25" s="373">
        <f>SUM(J7:K24)</f>
        <v>159944946</v>
      </c>
      <c r="K25" s="320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</row>
    <row r="26" spans="1:26" ht="21.75" customHeight="1">
      <c r="A26" s="1049" t="s">
        <v>128</v>
      </c>
      <c r="B26" s="1050"/>
      <c r="C26" s="1050"/>
      <c r="D26" s="1050"/>
      <c r="E26" s="1050"/>
      <c r="F26" s="1050"/>
      <c r="J26" s="374"/>
      <c r="K26" s="320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</row>
    <row r="27" spans="1:26" ht="21.75" customHeight="1">
      <c r="A27" s="1043" t="s">
        <v>3270</v>
      </c>
      <c r="B27" s="1043" t="s">
        <v>3271</v>
      </c>
      <c r="C27" s="1043" t="s">
        <v>3272</v>
      </c>
      <c r="D27" s="1043" t="s">
        <v>3273</v>
      </c>
      <c r="E27" s="1043" t="s">
        <v>3274</v>
      </c>
      <c r="F27" s="1043" t="s">
        <v>3292</v>
      </c>
      <c r="G27" s="1043" t="s">
        <v>12</v>
      </c>
      <c r="H27" s="1047" t="s">
        <v>3276</v>
      </c>
      <c r="I27" s="1047" t="s">
        <v>3277</v>
      </c>
      <c r="J27" s="1047" t="s">
        <v>21</v>
      </c>
      <c r="K27" s="308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</row>
    <row r="28" spans="1:26" ht="21.75" customHeight="1">
      <c r="A28" s="1044"/>
      <c r="B28" s="1044"/>
      <c r="C28" s="1044"/>
      <c r="D28" s="1044"/>
      <c r="E28" s="1044"/>
      <c r="F28" s="1044"/>
      <c r="G28" s="1044"/>
      <c r="H28" s="1048"/>
      <c r="I28" s="1048"/>
      <c r="J28" s="1048"/>
      <c r="K28" s="308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</row>
    <row r="29" spans="1:26" s="270" customFormat="1" ht="21.75" customHeight="1">
      <c r="A29" s="361">
        <v>19</v>
      </c>
      <c r="B29" s="375" t="s">
        <v>1899</v>
      </c>
      <c r="C29" s="354" t="s">
        <v>1270</v>
      </c>
      <c r="D29" s="354" t="s">
        <v>1896</v>
      </c>
      <c r="E29" s="354" t="s">
        <v>1897</v>
      </c>
      <c r="F29" s="354" t="s">
        <v>1900</v>
      </c>
      <c r="G29" s="376">
        <v>45029</v>
      </c>
      <c r="H29" s="363">
        <v>1600000</v>
      </c>
      <c r="I29" s="363">
        <v>2100000</v>
      </c>
      <c r="J29" s="358">
        <f>I29-H29</f>
        <v>500000</v>
      </c>
      <c r="K29" s="308"/>
      <c r="L29" s="256" t="s">
        <v>3281</v>
      </c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</row>
    <row r="30" spans="1:26" s="270" customFormat="1" ht="21.75" customHeight="1">
      <c r="A30" s="368"/>
      <c r="B30" s="368"/>
      <c r="C30" s="368"/>
      <c r="D30" s="368"/>
      <c r="E30" s="368"/>
      <c r="F30" s="1055" t="s">
        <v>3295</v>
      </c>
      <c r="G30" s="1056"/>
      <c r="H30" s="372"/>
      <c r="I30" s="372"/>
      <c r="J30" s="373">
        <f>SUM(J29)</f>
        <v>500000</v>
      </c>
      <c r="K30" s="308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</row>
    <row r="31" spans="1:26" s="270" customFormat="1" ht="21.75" customHeight="1">
      <c r="A31" s="1049" t="s">
        <v>1905</v>
      </c>
      <c r="B31" s="1050"/>
      <c r="C31" s="1050"/>
      <c r="D31" s="1050"/>
      <c r="E31" s="1050"/>
      <c r="F31" s="1050"/>
      <c r="G31" s="352"/>
      <c r="H31" s="353"/>
      <c r="I31" s="353"/>
      <c r="J31" s="374"/>
      <c r="K31" s="308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</row>
    <row r="32" spans="1:26" s="270" customFormat="1" ht="21.75" customHeight="1">
      <c r="A32" s="1043" t="s">
        <v>3270</v>
      </c>
      <c r="B32" s="1043" t="s">
        <v>3271</v>
      </c>
      <c r="C32" s="1043" t="s">
        <v>3272</v>
      </c>
      <c r="D32" s="1043" t="s">
        <v>3273</v>
      </c>
      <c r="E32" s="1043" t="s">
        <v>3274</v>
      </c>
      <c r="F32" s="1043" t="s">
        <v>3292</v>
      </c>
      <c r="G32" s="1043" t="s">
        <v>12</v>
      </c>
      <c r="H32" s="1047" t="s">
        <v>3276</v>
      </c>
      <c r="I32" s="1047" t="s">
        <v>3277</v>
      </c>
      <c r="J32" s="1047" t="s">
        <v>21</v>
      </c>
      <c r="K32" s="308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</row>
    <row r="33" spans="1:26" s="270" customFormat="1" ht="21.75" customHeight="1">
      <c r="A33" s="1044"/>
      <c r="B33" s="1044"/>
      <c r="C33" s="1044"/>
      <c r="D33" s="1044"/>
      <c r="E33" s="1044"/>
      <c r="F33" s="1044"/>
      <c r="G33" s="1044"/>
      <c r="H33" s="1048"/>
      <c r="I33" s="1048"/>
      <c r="J33" s="1048"/>
      <c r="K33" s="308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</row>
    <row r="34" spans="1:26" s="270" customFormat="1" ht="21.75" customHeight="1">
      <c r="A34" s="361">
        <v>20</v>
      </c>
      <c r="B34" s="375" t="s">
        <v>1911</v>
      </c>
      <c r="C34" s="354" t="s">
        <v>1908</v>
      </c>
      <c r="D34" s="354" t="s">
        <v>1906</v>
      </c>
      <c r="E34" s="354" t="s">
        <v>1907</v>
      </c>
      <c r="F34" s="354" t="s">
        <v>1912</v>
      </c>
      <c r="G34" s="376" t="s">
        <v>40</v>
      </c>
      <c r="H34" s="363">
        <v>3600000</v>
      </c>
      <c r="I34" s="363">
        <v>4300000</v>
      </c>
      <c r="J34" s="358">
        <f>I34-H34</f>
        <v>700000</v>
      </c>
      <c r="K34" s="308"/>
      <c r="L34" s="256" t="s">
        <v>3281</v>
      </c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</row>
    <row r="35" spans="1:26" s="270" customFormat="1" ht="21.75" customHeight="1">
      <c r="A35" s="361">
        <v>21</v>
      </c>
      <c r="B35" s="377" t="s">
        <v>1922</v>
      </c>
      <c r="C35" s="378" t="s">
        <v>1919</v>
      </c>
      <c r="D35" s="378" t="s">
        <v>1375</v>
      </c>
      <c r="E35" s="378" t="s">
        <v>1918</v>
      </c>
      <c r="F35" s="378" t="s">
        <v>1923</v>
      </c>
      <c r="G35" s="379">
        <v>45029</v>
      </c>
      <c r="H35" s="358">
        <v>64200000</v>
      </c>
      <c r="I35" s="358">
        <v>81000000</v>
      </c>
      <c r="J35" s="358">
        <f>I35-H35</f>
        <v>16800000</v>
      </c>
      <c r="K35" s="308"/>
      <c r="L35" s="256" t="s">
        <v>3281</v>
      </c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</row>
    <row r="36" spans="1:26" s="270" customFormat="1" ht="21.75" customHeight="1">
      <c r="A36" s="368"/>
      <c r="B36" s="368"/>
      <c r="C36" s="368"/>
      <c r="D36" s="368"/>
      <c r="E36" s="368"/>
      <c r="F36" s="1055" t="s">
        <v>3322</v>
      </c>
      <c r="G36" s="1056"/>
      <c r="H36" s="372"/>
      <c r="I36" s="372"/>
      <c r="J36" s="373">
        <f>SUM(J34:J35)</f>
        <v>17500000</v>
      </c>
      <c r="K36" s="308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</row>
    <row r="37" spans="1:26" ht="7.5" customHeight="1">
      <c r="A37" s="368"/>
      <c r="B37" s="368"/>
      <c r="C37" s="368"/>
      <c r="D37" s="368"/>
      <c r="E37" s="368"/>
      <c r="F37" s="370"/>
      <c r="G37" s="370"/>
      <c r="H37" s="380"/>
      <c r="I37" s="380"/>
      <c r="J37" s="381"/>
      <c r="K37" s="308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</row>
    <row r="38" spans="1:26" ht="15" customHeight="1">
      <c r="A38" s="368"/>
      <c r="B38" s="368"/>
      <c r="C38" s="368"/>
      <c r="D38" s="368"/>
      <c r="E38" s="368"/>
      <c r="F38" s="1057" t="s">
        <v>3323</v>
      </c>
      <c r="G38" s="1054"/>
      <c r="H38" s="372"/>
      <c r="I38" s="372"/>
      <c r="J38" s="383">
        <f>J25+J30+J36</f>
        <v>177944946</v>
      </c>
      <c r="K38" s="308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</row>
    <row r="39" spans="1:26" ht="15" customHeight="1">
      <c r="A39" s="368"/>
      <c r="B39" s="368"/>
      <c r="C39" s="368"/>
      <c r="D39" s="368"/>
      <c r="E39" s="368"/>
      <c r="F39" s="1053" t="s">
        <v>3297</v>
      </c>
      <c r="G39" s="1053"/>
      <c r="H39" s="380"/>
      <c r="I39" s="380"/>
      <c r="J39" s="384">
        <v>36000000</v>
      </c>
      <c r="K39" s="308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</row>
    <row r="40" spans="1:26" ht="15" customHeight="1">
      <c r="A40" s="368"/>
      <c r="B40" s="368"/>
      <c r="C40" s="368"/>
      <c r="D40" s="368"/>
      <c r="E40" s="368"/>
      <c r="F40" s="1053" t="s">
        <v>3324</v>
      </c>
      <c r="G40" s="1053"/>
      <c r="H40" s="380"/>
      <c r="I40" s="380"/>
      <c r="J40" s="381">
        <v>5000000</v>
      </c>
      <c r="K40" s="308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</row>
    <row r="41" spans="1:26" ht="15" customHeight="1">
      <c r="A41" s="368"/>
      <c r="B41" s="368"/>
      <c r="C41" s="368"/>
      <c r="D41" s="368"/>
      <c r="E41" s="368"/>
      <c r="F41" s="370"/>
      <c r="G41" s="370"/>
      <c r="H41" s="380"/>
      <c r="I41" s="380"/>
      <c r="J41" s="381">
        <f>J38-J40</f>
        <v>172944946</v>
      </c>
      <c r="K41" s="308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</row>
    <row r="42" spans="1:26" ht="5.25" customHeight="1">
      <c r="A42" s="368"/>
      <c r="B42" s="368"/>
      <c r="C42" s="368"/>
      <c r="D42" s="368"/>
      <c r="E42" s="368"/>
      <c r="F42" s="370"/>
      <c r="G42" s="370"/>
      <c r="H42" s="380"/>
      <c r="I42" s="380"/>
      <c r="J42" s="381"/>
      <c r="K42" s="308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</row>
    <row r="43" spans="1:26" ht="15" customHeight="1">
      <c r="A43" s="368"/>
      <c r="B43" s="368"/>
      <c r="C43" s="368"/>
      <c r="D43" s="368"/>
      <c r="E43" s="368"/>
      <c r="F43" s="1053" t="s">
        <v>3298</v>
      </c>
      <c r="G43" s="1053"/>
      <c r="H43" s="380"/>
      <c r="I43" s="380"/>
      <c r="J43" s="381">
        <f>J38*12.5/100</f>
        <v>22243118.25</v>
      </c>
      <c r="K43" s="308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</row>
    <row r="44" spans="1:26" ht="15.75" customHeight="1">
      <c r="J44" s="353">
        <f>J41*12.5/100</f>
        <v>21618118.25</v>
      </c>
      <c r="K44" s="256"/>
      <c r="L44" s="256" t="s">
        <v>3325</v>
      </c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</row>
    <row r="45" spans="1:26" ht="15.75" customHeight="1"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</row>
    <row r="46" spans="1:26" ht="15.75" customHeight="1">
      <c r="J46" s="353" t="s">
        <v>543</v>
      </c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</row>
    <row r="47" spans="1:26" ht="15.75" customHeight="1"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</row>
    <row r="48" spans="1:26" ht="15.75" customHeight="1"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</row>
    <row r="49" spans="11:26" ht="15.75" customHeight="1"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</row>
    <row r="50" spans="11:26" ht="15.75" customHeight="1"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</row>
    <row r="51" spans="11:26" ht="15.75" customHeight="1"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</row>
    <row r="52" spans="11:26" ht="15.75" customHeight="1"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</row>
    <row r="53" spans="11:26" ht="15.75" customHeight="1"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</row>
    <row r="54" spans="11:26" ht="15.75" customHeight="1"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</row>
    <row r="55" spans="11:26" ht="15.75" customHeight="1"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</row>
    <row r="56" spans="11:26" ht="15.75" customHeight="1"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</row>
    <row r="57" spans="11:26" ht="15.75" customHeight="1"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</row>
    <row r="58" spans="11:26" ht="15.75" customHeight="1"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</row>
    <row r="59" spans="11:26" ht="15.75" customHeight="1"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</row>
    <row r="60" spans="11:26" ht="15.75" customHeight="1"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</row>
    <row r="61" spans="11:26" ht="15.75" customHeight="1"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</row>
    <row r="62" spans="11:26" ht="15.75" customHeight="1"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</row>
    <row r="63" spans="11:26" ht="15.75" customHeight="1"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</row>
    <row r="64" spans="11:26" ht="15.75" customHeight="1"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</row>
    <row r="65" spans="11:26" ht="15.75" customHeight="1"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</row>
    <row r="66" spans="11:26" ht="15.75" customHeight="1"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</row>
    <row r="67" spans="11:26" ht="15.75" customHeight="1"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</row>
    <row r="68" spans="11:26" ht="15.75" customHeight="1"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</row>
    <row r="69" spans="11:26" ht="15.75" customHeight="1"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</row>
    <row r="70" spans="11:26" ht="15.75" customHeight="1"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</row>
    <row r="71" spans="11:26" ht="15.75" customHeight="1"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</row>
    <row r="72" spans="11:26" ht="15.75" customHeight="1"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</row>
    <row r="73" spans="11:26" ht="15.75" customHeight="1"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</row>
    <row r="74" spans="11:26" ht="15.75" customHeight="1"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</row>
    <row r="75" spans="11:26" ht="15.75" customHeight="1"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</row>
    <row r="76" spans="11:26" ht="15.75" customHeight="1"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</row>
    <row r="77" spans="11:26" ht="15.75" customHeight="1"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</row>
    <row r="78" spans="11:26" ht="15.75" customHeight="1"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</row>
    <row r="79" spans="11:26" ht="15.75" customHeight="1"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</row>
    <row r="80" spans="11:26" ht="15.75" customHeight="1"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</row>
    <row r="81" spans="11:26" ht="15.75" customHeight="1"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</row>
    <row r="82" spans="11:26" ht="15.75" customHeight="1"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</row>
    <row r="83" spans="11:26" ht="15.75" customHeight="1"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</row>
    <row r="84" spans="11:26" ht="15.75" customHeight="1"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</row>
    <row r="85" spans="11:26" ht="15.75" customHeight="1"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</row>
    <row r="86" spans="11:26" ht="15.75" customHeight="1"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</row>
    <row r="87" spans="11:26" ht="15.75" customHeight="1"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</row>
    <row r="88" spans="11:26" ht="15.75" customHeight="1"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</row>
    <row r="89" spans="11:26" ht="15.75" customHeight="1"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</row>
    <row r="90" spans="11:26" ht="15.75" customHeight="1"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</row>
    <row r="91" spans="11:26" ht="15.75" customHeight="1"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</row>
    <row r="92" spans="11:26" ht="15.75" customHeight="1"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</row>
    <row r="93" spans="11:26" ht="15.75" customHeight="1"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</row>
    <row r="94" spans="11:26" ht="15.75" customHeight="1"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</row>
    <row r="95" spans="11:26" ht="15.75" customHeight="1"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</row>
    <row r="96" spans="11:26" ht="15.75" customHeight="1"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</row>
    <row r="97" spans="11:26" ht="15.75" customHeight="1"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</row>
    <row r="98" spans="11:26" ht="15.75" customHeight="1"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</row>
    <row r="99" spans="11:26" ht="15.75" customHeight="1"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</row>
    <row r="100" spans="11:26" ht="15.75" customHeight="1"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</row>
    <row r="101" spans="11:26" ht="15.75" customHeight="1"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</row>
    <row r="102" spans="11:26" ht="15.75" customHeight="1"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</row>
    <row r="103" spans="11:26" ht="15.75" customHeight="1"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</row>
    <row r="104" spans="11:26" ht="15.75" customHeight="1"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</row>
    <row r="105" spans="11:26" ht="15.75" customHeight="1"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</row>
    <row r="106" spans="11:26" ht="15.75" customHeight="1"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</row>
    <row r="107" spans="11:26" ht="15.75" customHeight="1"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</row>
    <row r="108" spans="11:26" ht="15.75" customHeight="1"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</row>
    <row r="109" spans="11:26" ht="15.75" customHeight="1"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</row>
    <row r="110" spans="11:26" ht="15.75" customHeight="1"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</row>
    <row r="111" spans="11:26" ht="15.75" customHeight="1"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</row>
    <row r="112" spans="11:26" ht="15.75" customHeight="1"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</row>
    <row r="113" spans="11:26" ht="15.75" customHeight="1"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</row>
    <row r="114" spans="11:26" ht="15.75" customHeight="1"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</row>
    <row r="115" spans="11:26" ht="15.75" customHeight="1"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</row>
    <row r="116" spans="11:26" ht="15.75" customHeight="1"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</row>
    <row r="117" spans="11:26" ht="15.75" customHeight="1"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</row>
    <row r="118" spans="11:26" ht="15.75" customHeight="1"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</row>
    <row r="119" spans="11:26" ht="15.75" customHeight="1"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</row>
    <row r="120" spans="11:26" ht="15.75" customHeight="1"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</row>
    <row r="121" spans="11:26" ht="15.75" customHeight="1"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</row>
    <row r="122" spans="11:26" ht="15.75" customHeight="1"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</row>
    <row r="123" spans="11:26" ht="15.75" customHeight="1"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</row>
    <row r="124" spans="11:26" ht="15.75" customHeight="1"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</row>
    <row r="125" spans="11:26" ht="15.75" customHeight="1"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</row>
    <row r="126" spans="11:26" ht="15.75" customHeight="1"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</row>
    <row r="127" spans="11:26" ht="15.75" customHeight="1"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</row>
    <row r="128" spans="11:26" ht="15.75" customHeight="1"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</row>
    <row r="129" spans="11:26" ht="15.75" customHeight="1"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</row>
    <row r="130" spans="11:26" ht="15.75" customHeight="1"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</row>
    <row r="131" spans="11:26" ht="15.75" customHeight="1"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</row>
    <row r="132" spans="11:26" ht="15.75" customHeight="1"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</row>
    <row r="133" spans="11:26" ht="15.75" customHeight="1"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</row>
    <row r="134" spans="11:26" ht="15.75" customHeight="1"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</row>
    <row r="135" spans="11:26" ht="15.75" customHeight="1"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</row>
    <row r="136" spans="11:26" ht="15.75" customHeight="1"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</row>
    <row r="137" spans="11:26" ht="15.75" customHeight="1"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</row>
    <row r="138" spans="11:26" ht="15.75" customHeight="1"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</row>
    <row r="139" spans="11:26" ht="15.75" customHeight="1"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</row>
    <row r="140" spans="11:26" ht="15.75" customHeight="1"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</row>
    <row r="141" spans="11:26" ht="15.75" customHeight="1"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</row>
    <row r="142" spans="11:26" ht="15.75" customHeight="1"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</row>
    <row r="143" spans="11:26" ht="15.75" customHeight="1"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</row>
    <row r="144" spans="11:26" ht="15.75" customHeight="1"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</row>
    <row r="145" spans="11:26" ht="15.75" customHeight="1"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</row>
    <row r="146" spans="11:26" ht="15.75" customHeight="1"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</row>
    <row r="147" spans="11:26" ht="15.75" customHeight="1"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</row>
    <row r="148" spans="11:26" ht="15.75" customHeight="1"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</row>
    <row r="149" spans="11:26" ht="15.75" customHeight="1"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</row>
    <row r="150" spans="11:26" ht="15.75" customHeight="1"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</row>
    <row r="151" spans="11:26" ht="15.75" customHeight="1"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</row>
    <row r="152" spans="11:26" ht="15.75" customHeight="1"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</row>
    <row r="153" spans="11:26" ht="15.75" customHeight="1"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</row>
    <row r="154" spans="11:26" ht="15.75" customHeight="1"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</row>
    <row r="155" spans="11:26" ht="15.75" customHeight="1"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</row>
    <row r="156" spans="11:26" ht="15.75" customHeight="1"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</row>
    <row r="157" spans="11:26" ht="15.75" customHeight="1"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</row>
    <row r="158" spans="11:26" ht="15.75" customHeight="1"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</row>
    <row r="159" spans="11:26" ht="15.75" customHeight="1"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</row>
    <row r="160" spans="11:26" ht="15.75" customHeight="1"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</row>
    <row r="161" spans="11:26" ht="15.75" customHeight="1"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</row>
    <row r="162" spans="11:26" ht="15.75" customHeight="1"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</row>
    <row r="163" spans="11:26" ht="15.75" customHeight="1"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</row>
    <row r="164" spans="11:26" ht="15.75" customHeight="1"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</row>
    <row r="165" spans="11:26" ht="15.75" customHeight="1"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</row>
    <row r="166" spans="11:26" ht="15.75" customHeight="1"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</row>
    <row r="167" spans="11:26" ht="15.75" customHeight="1"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</row>
    <row r="168" spans="11:26" ht="15.75" customHeight="1"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</row>
    <row r="169" spans="11:26" ht="15.75" customHeight="1"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</row>
    <row r="170" spans="11:26" ht="15.75" customHeight="1"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</row>
    <row r="171" spans="11:26" ht="15.75" customHeight="1"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</row>
    <row r="172" spans="11:26" ht="15.75" customHeight="1"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</row>
    <row r="173" spans="11:26" ht="15.75" customHeight="1"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</row>
    <row r="174" spans="11:26" ht="15.75" customHeight="1"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</row>
    <row r="175" spans="11:26" ht="15.75" customHeight="1"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</row>
    <row r="176" spans="11:26" ht="15.75" customHeight="1"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</row>
    <row r="177" spans="11:26" ht="15.75" customHeight="1"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</row>
    <row r="178" spans="11:26" ht="15.75" customHeight="1"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</row>
    <row r="179" spans="11:26" ht="15.75" customHeight="1"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</row>
    <row r="180" spans="11:26" ht="15.75" customHeight="1"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</row>
    <row r="181" spans="11:26" ht="15.75" customHeight="1"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</row>
    <row r="182" spans="11:26" ht="15.75" customHeight="1"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</row>
    <row r="183" spans="11:26" ht="15.75" customHeight="1"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</row>
    <row r="184" spans="11:26" ht="15.75" customHeight="1"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</row>
    <row r="185" spans="11:26" ht="15.75" customHeight="1"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</row>
    <row r="186" spans="11:26" ht="15.75" customHeight="1"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</row>
    <row r="187" spans="11:26" ht="15.75" customHeight="1"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</row>
    <row r="188" spans="11:26" ht="15.75" customHeight="1"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</row>
    <row r="189" spans="11:26" ht="15.75" customHeight="1"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</row>
    <row r="190" spans="11:26" ht="15.75" customHeight="1"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</row>
    <row r="191" spans="11:26" ht="15.75" customHeight="1"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</row>
    <row r="192" spans="11:26" ht="15.75" customHeight="1"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</row>
    <row r="193" spans="11:26" ht="15.75" customHeight="1"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</row>
    <row r="194" spans="11:26" ht="15.75" customHeight="1"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</row>
    <row r="195" spans="11:26" ht="15.75" customHeight="1"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</row>
    <row r="196" spans="11:26" ht="15.75" customHeight="1"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</row>
    <row r="197" spans="11:26" ht="15.75" customHeight="1"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</row>
    <row r="198" spans="11:26" ht="15.75" customHeight="1"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</row>
    <row r="199" spans="11:26" ht="15.75" customHeight="1"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</row>
    <row r="200" spans="11:26" ht="15.75" customHeight="1"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</row>
    <row r="201" spans="11:26" ht="15.75" customHeight="1"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</row>
    <row r="202" spans="11:26" ht="15.75" customHeight="1"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</row>
    <row r="203" spans="11:26" ht="15.75" customHeight="1"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</row>
    <row r="204" spans="11:26" ht="15.75" customHeight="1"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</row>
    <row r="205" spans="11:26" ht="15.75" customHeight="1"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</row>
    <row r="206" spans="11:26" ht="15.75" customHeight="1"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</row>
    <row r="207" spans="11:26" ht="15.75" customHeight="1"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</row>
    <row r="208" spans="11:26" ht="15.75" customHeight="1"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</row>
    <row r="209" spans="11:26" ht="15.75" customHeight="1"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</row>
    <row r="210" spans="11:26" ht="15.75" customHeight="1"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</row>
    <row r="211" spans="11:26" ht="15.75" customHeight="1"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</row>
    <row r="212" spans="11:26" ht="15.75" customHeight="1"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</row>
    <row r="213" spans="11:26" ht="15.75" customHeight="1"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</row>
    <row r="214" spans="11:26" ht="15.75" customHeight="1"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</row>
    <row r="215" spans="11:26" ht="15.75" customHeight="1"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</row>
    <row r="216" spans="11:26" ht="15.75" customHeight="1"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</row>
    <row r="217" spans="11:26" ht="15.75" customHeight="1"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</row>
    <row r="218" spans="11:26" ht="15.75" customHeight="1"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</row>
    <row r="219" spans="11:26" ht="15.75" customHeight="1"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</row>
    <row r="220" spans="11:26" ht="15.75" customHeight="1"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</row>
    <row r="221" spans="11:26" ht="15.75" customHeight="1"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</row>
    <row r="222" spans="11:26" ht="15.75" customHeight="1"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</row>
    <row r="223" spans="11:26" ht="15.75" customHeight="1"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</row>
    <row r="224" spans="11:26" ht="15.75" customHeight="1"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</row>
    <row r="225" spans="11:26" ht="15.75" customHeight="1"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</row>
    <row r="226" spans="11:26" ht="15.75" customHeight="1"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</row>
    <row r="227" spans="11:26" ht="15.75" customHeight="1"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</row>
    <row r="228" spans="11:26" ht="15.75" customHeight="1"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</row>
    <row r="229" spans="11:26" ht="15.75" customHeight="1"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</row>
    <row r="230" spans="11:26" ht="15.75" customHeight="1"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</row>
    <row r="231" spans="11:26" ht="15.75" customHeight="1"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</row>
    <row r="232" spans="11:26" ht="15.75" customHeight="1"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</row>
    <row r="233" spans="11:26" ht="15.75" customHeight="1"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</row>
    <row r="234" spans="11:26" ht="15.75" customHeight="1"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</row>
    <row r="235" spans="11:26" ht="15.75" customHeight="1"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</row>
    <row r="236" spans="11:26" ht="15.75" customHeight="1"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</row>
    <row r="237" spans="11:26" ht="15.75" customHeight="1"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</row>
    <row r="238" spans="11:26" ht="15.75" customHeight="1"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</row>
    <row r="239" spans="11:26" ht="15.75" customHeight="1"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</row>
    <row r="240" spans="11:26" ht="15.75" customHeight="1"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</row>
    <row r="241" spans="11:26" ht="15.75" customHeight="1"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</row>
    <row r="242" spans="11:26" ht="15.75" customHeight="1"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</row>
    <row r="243" spans="11:26" ht="15.75" customHeight="1"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</row>
    <row r="244" spans="11:26" ht="15.75" customHeight="1"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</row>
    <row r="245" spans="11:26" ht="15.75" customHeight="1"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</row>
    <row r="246" spans="11:26" ht="15.75" customHeight="1"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</row>
    <row r="247" spans="11:26" ht="15.75" customHeight="1"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</row>
    <row r="248" spans="11:26" ht="15.75" customHeight="1"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</row>
    <row r="249" spans="11:26" ht="15.75" customHeight="1"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</row>
    <row r="250" spans="11:26" ht="15.75" customHeight="1"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</row>
    <row r="251" spans="11:26" ht="15.75" customHeight="1"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</row>
    <row r="252" spans="11:26" ht="15.75" customHeight="1"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</row>
    <row r="253" spans="11:26" ht="15.75" customHeight="1"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</row>
    <row r="254" spans="11:26" ht="15.75" customHeight="1"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</row>
    <row r="255" spans="11:26" ht="15.75" customHeight="1"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</row>
    <row r="256" spans="11:26" ht="15.75" customHeight="1"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</row>
    <row r="257" spans="11:26" ht="15.75" customHeight="1"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</row>
    <row r="258" spans="11:26" ht="15.75" customHeight="1"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</row>
    <row r="259" spans="11:26" ht="15.75" customHeight="1"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</row>
    <row r="260" spans="11:26" ht="15.75" customHeight="1"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</row>
    <row r="261" spans="11:26" ht="15.75" customHeight="1"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</row>
    <row r="262" spans="11:26" ht="15.75" customHeight="1"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</row>
    <row r="263" spans="11:26" ht="15.75" customHeight="1"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</row>
    <row r="264" spans="11:26" ht="15.75" customHeight="1"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</row>
    <row r="265" spans="11:26" ht="15.75" customHeight="1"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</row>
    <row r="266" spans="11:26" ht="15.75" customHeight="1"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</row>
    <row r="267" spans="11:26" ht="15.75" customHeight="1"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</row>
    <row r="268" spans="11:26" ht="15.75" customHeight="1"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</row>
    <row r="269" spans="11:26" ht="15.75" customHeight="1"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</row>
    <row r="270" spans="11:26" ht="15.75" customHeight="1"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</row>
    <row r="271" spans="11:26" ht="15.75" customHeight="1"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</row>
    <row r="272" spans="11:26" ht="15.75" customHeight="1"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</row>
    <row r="273" spans="11:26" ht="15.75" customHeight="1"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</row>
    <row r="274" spans="11:26" ht="15.75" customHeight="1"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</row>
    <row r="275" spans="11:26" ht="15.75" customHeight="1"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</row>
    <row r="276" spans="11:26" ht="15.75" customHeight="1"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</row>
    <row r="277" spans="11:26" ht="15.75" customHeight="1"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</row>
    <row r="278" spans="11:26" ht="15.75" customHeight="1"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</row>
    <row r="279" spans="11:26" ht="15.75" customHeight="1"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</row>
    <row r="280" spans="11:26" ht="15.75" customHeight="1"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</row>
    <row r="281" spans="11:26" ht="15.75" customHeight="1"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</row>
    <row r="282" spans="11:26" ht="15.75" customHeight="1"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</row>
    <row r="283" spans="11:26" ht="15.75" customHeight="1"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</row>
    <row r="284" spans="11:26" ht="15.75" customHeight="1"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</row>
    <row r="285" spans="11:26" ht="15.75" customHeight="1"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</row>
    <row r="286" spans="11:26" ht="15.75" customHeight="1"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</row>
    <row r="287" spans="11:26" ht="15.75" customHeight="1"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</row>
    <row r="288" spans="11:26" ht="15.75" customHeight="1"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</row>
    <row r="289" spans="11:26" ht="15.75" customHeight="1"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</row>
    <row r="290" spans="11:26" ht="15.75" customHeight="1"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</row>
    <row r="291" spans="11:26" ht="15.75" customHeight="1"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</row>
    <row r="292" spans="11:26" ht="15.75" customHeight="1"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</row>
    <row r="293" spans="11:26" ht="15.75" customHeight="1"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</row>
    <row r="294" spans="11:26" ht="15.75" customHeight="1"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</row>
    <row r="295" spans="11:26" ht="15.75" customHeight="1"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</row>
    <row r="296" spans="11:26" ht="15.75" customHeight="1"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</row>
    <row r="297" spans="11:26" ht="15.75" customHeight="1"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</row>
    <row r="298" spans="11:26" ht="15.75" customHeight="1"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</row>
    <row r="299" spans="11:26" ht="15.75" customHeight="1"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</row>
    <row r="300" spans="11:26" ht="15.75" customHeight="1"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</row>
    <row r="301" spans="11:26" ht="15.75" customHeight="1"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</row>
    <row r="302" spans="11:26" ht="15.75" customHeight="1"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</row>
    <row r="303" spans="11:26" ht="15.75" customHeight="1"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</row>
    <row r="304" spans="11:26" ht="15.75" customHeight="1"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</row>
    <row r="305" spans="11:26" ht="15.75" customHeight="1"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</row>
    <row r="306" spans="11:26" ht="15.75" customHeight="1"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</row>
    <row r="307" spans="11:26" ht="15.75" customHeight="1"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</row>
    <row r="308" spans="11:26" ht="15.75" customHeight="1"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</row>
    <row r="309" spans="11:26" ht="15.75" customHeight="1"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</row>
    <row r="310" spans="11:26" ht="15.75" customHeight="1"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</row>
    <row r="311" spans="11:26" ht="15.75" customHeight="1"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</row>
    <row r="312" spans="11:26" ht="15.75" customHeight="1"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</row>
    <row r="313" spans="11:26" ht="15.75" customHeight="1"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</row>
    <row r="314" spans="11:26" ht="15.75" customHeight="1"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</row>
    <row r="315" spans="11:26" ht="15.75" customHeight="1"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</row>
    <row r="316" spans="11:26" ht="15.75" customHeight="1"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</row>
    <row r="317" spans="11:26" ht="15.75" customHeight="1"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</row>
    <row r="318" spans="11:26" ht="15.75" customHeight="1"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</row>
    <row r="319" spans="11:26" ht="15.75" customHeight="1"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</row>
    <row r="320" spans="11:26" ht="15.75" customHeight="1"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</row>
    <row r="321" spans="11:26" ht="15.75" customHeight="1"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</row>
    <row r="322" spans="11:26" ht="15.75" customHeight="1"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</row>
    <row r="323" spans="11:26" ht="15.75" customHeight="1"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</row>
    <row r="324" spans="11:26" ht="15.75" customHeight="1"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</row>
    <row r="325" spans="11:26" ht="15.75" customHeight="1"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</row>
    <row r="326" spans="11:26" ht="15.75" customHeight="1"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</row>
    <row r="327" spans="11:26" ht="15.75" customHeight="1"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</row>
    <row r="328" spans="11:26" ht="15.75" customHeight="1"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</row>
    <row r="329" spans="11:26" ht="15.75" customHeight="1"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</row>
    <row r="330" spans="11:26" ht="15.75" customHeight="1"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</row>
    <row r="331" spans="11:26" ht="15.75" customHeight="1"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</row>
    <row r="332" spans="11:26" ht="15.75" customHeight="1"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</row>
    <row r="333" spans="11:26" ht="15.75" customHeight="1"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</row>
    <row r="334" spans="11:26" ht="15.75" customHeight="1"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</row>
    <row r="335" spans="11:26" ht="15.75" customHeight="1"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</row>
    <row r="336" spans="11:26" ht="15.75" customHeight="1"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</row>
    <row r="337" spans="11:26" ht="15.75" customHeight="1"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</row>
    <row r="338" spans="11:26" ht="15.75" customHeight="1"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</row>
    <row r="339" spans="11:26" ht="15.75" customHeight="1"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</row>
    <row r="340" spans="11:26" ht="15.75" customHeight="1"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</row>
    <row r="341" spans="11:26" ht="15.75" customHeight="1"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</row>
    <row r="342" spans="11:26" ht="15.75" customHeight="1"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</row>
    <row r="343" spans="11:26" ht="15.75" customHeight="1"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</row>
    <row r="344" spans="11:26" ht="15.75" customHeight="1"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</row>
    <row r="345" spans="11:26" ht="15.75" customHeight="1"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</row>
    <row r="346" spans="11:26" ht="15.75" customHeight="1"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</row>
    <row r="347" spans="11:26" ht="15.75" customHeight="1"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</row>
    <row r="348" spans="11:26" ht="15.75" customHeight="1"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</row>
    <row r="349" spans="11:26" ht="15.75" customHeight="1"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</row>
    <row r="350" spans="11:26" ht="15.75" customHeight="1"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</row>
    <row r="351" spans="11:26" ht="15.75" customHeight="1"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</row>
    <row r="352" spans="11:26" ht="15.75" customHeight="1"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</row>
    <row r="353" spans="11:26" ht="15.75" customHeight="1"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</row>
    <row r="354" spans="11:26" ht="15.75" customHeight="1"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</row>
    <row r="355" spans="11:26" ht="15.75" customHeight="1"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</row>
    <row r="356" spans="11:26" ht="15.75" customHeight="1"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</row>
    <row r="357" spans="11:26" ht="15.75" customHeight="1"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</row>
    <row r="358" spans="11:26" ht="15.75" customHeight="1"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</row>
    <row r="359" spans="11:26" ht="15.75" customHeight="1"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</row>
    <row r="360" spans="11:26" ht="15.75" customHeight="1"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</row>
    <row r="361" spans="11:26" ht="15.75" customHeight="1"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</row>
    <row r="362" spans="11:26" ht="15.75" customHeight="1"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</row>
    <row r="363" spans="11:26" ht="15.75" customHeight="1"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</row>
    <row r="364" spans="11:26" ht="15.75" customHeight="1"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</row>
    <row r="365" spans="11:26" ht="15.75" customHeight="1"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</row>
    <row r="366" spans="11:26" ht="15.75" customHeight="1"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</row>
    <row r="367" spans="11:26" ht="15.75" customHeight="1"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</row>
    <row r="368" spans="11:26" ht="15.75" customHeight="1"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</row>
    <row r="369" spans="11:26" ht="15.75" customHeight="1"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</row>
    <row r="370" spans="11:26" ht="15.75" customHeight="1"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</row>
    <row r="371" spans="11:26" ht="15.75" customHeight="1"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</row>
    <row r="372" spans="11:26" ht="15.75" customHeight="1"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</row>
    <row r="373" spans="11:26" ht="15.75" customHeight="1"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</row>
    <row r="374" spans="11:26" ht="15.75" customHeight="1"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</row>
    <row r="375" spans="11:26" ht="15.75" customHeight="1"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</row>
    <row r="376" spans="11:26" ht="15.75" customHeight="1"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</row>
    <row r="377" spans="11:26" ht="15.75" customHeight="1"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</row>
    <row r="378" spans="11:26" ht="15.75" customHeight="1"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</row>
    <row r="379" spans="11:26" ht="15.75" customHeight="1"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</row>
    <row r="380" spans="11:26" ht="15.75" customHeight="1"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</row>
    <row r="381" spans="11:26" ht="15.75" customHeight="1"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</row>
    <row r="382" spans="11:26" ht="15.75" customHeight="1"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</row>
    <row r="383" spans="11:26" ht="15.75" customHeight="1"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</row>
    <row r="384" spans="11:26" ht="15.75" customHeight="1"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</row>
    <row r="385" spans="11:26" ht="15.75" customHeight="1"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</row>
    <row r="386" spans="11:26" ht="15.75" customHeight="1"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</row>
    <row r="387" spans="11:26" ht="15.75" customHeight="1"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</row>
    <row r="388" spans="11:26" ht="15.75" customHeight="1"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</row>
    <row r="389" spans="11:26" ht="15.75" customHeight="1"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</row>
    <row r="390" spans="11:26" ht="15.75" customHeight="1"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</row>
    <row r="391" spans="11:26" ht="15.75" customHeight="1"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</row>
    <row r="392" spans="11:26" ht="15.75" customHeight="1"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</row>
    <row r="393" spans="11:26" ht="15.75" customHeight="1"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</row>
    <row r="394" spans="11:26" ht="15.75" customHeight="1"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</row>
    <row r="395" spans="11:26" ht="15.75" customHeight="1"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</row>
    <row r="396" spans="11:26" ht="15.75" customHeight="1"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</row>
    <row r="397" spans="11:26" ht="15.75" customHeight="1"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</row>
    <row r="398" spans="11:26" ht="15.75" customHeight="1"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</row>
    <row r="399" spans="11:26" ht="15.75" customHeight="1"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</row>
    <row r="400" spans="11:26" ht="15.75" customHeight="1"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</row>
    <row r="401" spans="11:26" ht="15.75" customHeight="1"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</row>
    <row r="402" spans="11:26" ht="15.75" customHeight="1"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</row>
    <row r="403" spans="11:26" ht="15.75" customHeight="1"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</row>
    <row r="404" spans="11:26" ht="15.75" customHeight="1"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</row>
    <row r="405" spans="11:26" ht="15.75" customHeight="1"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</row>
    <row r="406" spans="11:26" ht="15.75" customHeight="1"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</row>
    <row r="407" spans="11:26" ht="15.75" customHeight="1"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</row>
    <row r="408" spans="11:26" ht="15.75" customHeight="1"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</row>
    <row r="409" spans="11:26" ht="15.75" customHeight="1"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</row>
    <row r="410" spans="11:26" ht="15.75" customHeight="1"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</row>
    <row r="411" spans="11:26" ht="15.75" customHeight="1"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</row>
    <row r="412" spans="11:26" ht="15.75" customHeight="1"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</row>
    <row r="413" spans="11:26" ht="15.75" customHeight="1"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</row>
    <row r="414" spans="11:26" ht="15.75" customHeight="1"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</row>
    <row r="415" spans="11:26" ht="15.75" customHeight="1"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</row>
    <row r="416" spans="11:26" ht="15.75" customHeight="1"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</row>
    <row r="417" spans="11:26" ht="15.75" customHeight="1"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</row>
    <row r="418" spans="11:26" ht="15.75" customHeight="1"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</row>
    <row r="419" spans="11:26" ht="15.75" customHeight="1"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</row>
    <row r="420" spans="11:26" ht="15.75" customHeight="1"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</row>
    <row r="421" spans="11:26" ht="15.75" customHeight="1"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</row>
    <row r="422" spans="11:26" ht="15.75" customHeight="1"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</row>
    <row r="423" spans="11:26" ht="15.75" customHeight="1"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</row>
    <row r="424" spans="11:26" ht="15.75" customHeight="1"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</row>
    <row r="425" spans="11:26" ht="15.75" customHeight="1"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</row>
    <row r="426" spans="11:26" ht="15.75" customHeight="1"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</row>
    <row r="427" spans="11:26" ht="15.75" customHeight="1"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</row>
    <row r="428" spans="11:26" ht="15.75" customHeight="1"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</row>
    <row r="429" spans="11:26" ht="15.75" customHeight="1"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</row>
    <row r="430" spans="11:26" ht="15.75" customHeight="1"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</row>
    <row r="431" spans="11:26" ht="15.75" customHeight="1"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</row>
    <row r="432" spans="11:26" ht="15.75" customHeight="1"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</row>
    <row r="433" spans="11:26" ht="15.75" customHeight="1"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</row>
    <row r="434" spans="11:26" ht="15.75" customHeight="1"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</row>
    <row r="435" spans="11:26" ht="15.75" customHeight="1"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</row>
    <row r="436" spans="11:26" ht="15.75" customHeight="1"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</row>
    <row r="437" spans="11:26" ht="15.75" customHeight="1"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</row>
    <row r="438" spans="11:26" ht="15.75" customHeight="1"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</row>
    <row r="439" spans="11:26" ht="15.75" customHeight="1"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</row>
    <row r="440" spans="11:26" ht="15.75" customHeight="1"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</row>
    <row r="441" spans="11:26" ht="15.75" customHeight="1"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</row>
    <row r="442" spans="11:26" ht="15.75" customHeight="1"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</row>
    <row r="443" spans="11:26" ht="15.75" customHeight="1"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</row>
    <row r="444" spans="11:26" ht="15.75" customHeight="1"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</row>
    <row r="445" spans="11:26" ht="15.75" customHeight="1"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</row>
    <row r="446" spans="11:26" ht="15.75" customHeight="1"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</row>
    <row r="447" spans="11:26" ht="15.75" customHeight="1"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</row>
    <row r="448" spans="11:26" ht="15.75" customHeight="1"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</row>
    <row r="449" spans="11:26" ht="15.75" customHeight="1"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</row>
    <row r="450" spans="11:26" ht="15.75" customHeight="1"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</row>
    <row r="451" spans="11:26" ht="15.75" customHeight="1"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</row>
    <row r="452" spans="11:26" ht="15.75" customHeight="1"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</row>
    <row r="453" spans="11:26" ht="15.75" customHeight="1"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</row>
    <row r="454" spans="11:26" ht="15.75" customHeight="1"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</row>
    <row r="455" spans="11:26" ht="15.75" customHeight="1"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</row>
    <row r="456" spans="11:26" ht="15.75" customHeight="1"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</row>
    <row r="457" spans="11:26" ht="15.75" customHeight="1"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</row>
    <row r="458" spans="11:26" ht="15.75" customHeight="1"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</row>
    <row r="459" spans="11:26" ht="15.75" customHeight="1"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</row>
    <row r="460" spans="11:26" ht="15.75" customHeight="1"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</row>
    <row r="461" spans="11:26" ht="15.75" customHeight="1"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</row>
    <row r="462" spans="11:26" ht="15.75" customHeight="1"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</row>
    <row r="463" spans="11:26" ht="15.75" customHeight="1"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</row>
    <row r="464" spans="11:26" ht="15.75" customHeight="1"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</row>
    <row r="465" spans="11:26" ht="15.75" customHeight="1"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</row>
    <row r="466" spans="11:26" ht="15.75" customHeight="1"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</row>
    <row r="467" spans="11:26" ht="15.75" customHeight="1"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</row>
    <row r="468" spans="11:26" ht="15.75" customHeight="1"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</row>
    <row r="469" spans="11:26" ht="15.75" customHeight="1"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</row>
    <row r="470" spans="11:26" ht="15.75" customHeight="1"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</row>
    <row r="471" spans="11:26" ht="15.75" customHeight="1"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</row>
    <row r="472" spans="11:26" ht="15.75" customHeight="1"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</row>
    <row r="473" spans="11:26" ht="15.75" customHeight="1"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</row>
    <row r="474" spans="11:26" ht="15.75" customHeight="1"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</row>
    <row r="475" spans="11:26" ht="15.75" customHeight="1"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</row>
    <row r="476" spans="11:26" ht="15.75" customHeight="1"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</row>
    <row r="477" spans="11:26" ht="15.75" customHeight="1"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</row>
    <row r="478" spans="11:26" ht="15.75" customHeight="1"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</row>
    <row r="479" spans="11:26" ht="15.75" customHeight="1"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</row>
    <row r="480" spans="11:26" ht="15.75" customHeight="1"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</row>
    <row r="481" spans="11:26" ht="15.75" customHeight="1"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</row>
    <row r="482" spans="11:26" ht="15.75" customHeight="1"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</row>
    <row r="483" spans="11:26" ht="15.75" customHeight="1"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</row>
    <row r="484" spans="11:26" ht="15.75" customHeight="1"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</row>
    <row r="485" spans="11:26" ht="15.75" customHeight="1"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</row>
    <row r="486" spans="11:26" ht="15.75" customHeight="1"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</row>
    <row r="487" spans="11:26" ht="15.75" customHeight="1"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</row>
    <row r="488" spans="11:26" ht="15.75" customHeight="1"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</row>
    <row r="489" spans="11:26" ht="15.75" customHeight="1"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</row>
    <row r="490" spans="11:26" ht="15.75" customHeight="1"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</row>
    <row r="491" spans="11:26" ht="15.75" customHeight="1"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</row>
    <row r="492" spans="11:26" ht="15.75" customHeight="1"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</row>
    <row r="493" spans="11:26" ht="15.75" customHeight="1"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</row>
    <row r="494" spans="11:26" ht="15.75" customHeight="1"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</row>
    <row r="495" spans="11:26" ht="15.75" customHeight="1"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</row>
    <row r="496" spans="11:26" ht="15.75" customHeight="1"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</row>
    <row r="497" spans="11:26" ht="15.75" customHeight="1"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</row>
    <row r="498" spans="11:26" ht="15.75" customHeight="1"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</row>
    <row r="499" spans="11:26" ht="15.75" customHeight="1"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</row>
    <row r="500" spans="11:26" ht="15.75" customHeight="1"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</row>
    <row r="501" spans="11:26" ht="15.75" customHeight="1"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</row>
    <row r="502" spans="11:26" ht="15.75" customHeight="1"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</row>
    <row r="503" spans="11:26" ht="15.75" customHeight="1"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</row>
    <row r="504" spans="11:26" ht="15.75" customHeight="1"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</row>
    <row r="505" spans="11:26" ht="15.75" customHeight="1"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</row>
    <row r="506" spans="11:26" ht="15.75" customHeight="1"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</row>
    <row r="507" spans="11:26" ht="15.75" customHeight="1"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</row>
    <row r="508" spans="11:26" ht="15.75" customHeight="1"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</row>
    <row r="509" spans="11:26" ht="15.75" customHeight="1"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</row>
    <row r="510" spans="11:26" ht="15.75" customHeight="1"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</row>
    <row r="511" spans="11:26" ht="15.75" customHeight="1"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</row>
    <row r="512" spans="11:26" ht="15.75" customHeight="1"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</row>
    <row r="513" spans="11:26" ht="15.75" customHeight="1"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</row>
    <row r="514" spans="11:26" ht="15.75" customHeight="1"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</row>
    <row r="515" spans="11:26" ht="15.75" customHeight="1"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</row>
    <row r="516" spans="11:26" ht="15.75" customHeight="1"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</row>
    <row r="517" spans="11:26" ht="15.75" customHeight="1"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</row>
    <row r="518" spans="11:26" ht="15.75" customHeight="1"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</row>
    <row r="519" spans="11:26" ht="15.75" customHeight="1"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</row>
    <row r="520" spans="11:26" ht="15.75" customHeight="1"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</row>
    <row r="521" spans="11:26" ht="15.75" customHeight="1"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</row>
    <row r="522" spans="11:26" ht="15.75" customHeight="1"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</row>
    <row r="523" spans="11:26" ht="15.75" customHeight="1"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</row>
    <row r="524" spans="11:26" ht="15.75" customHeight="1"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</row>
    <row r="525" spans="11:26" ht="15.75" customHeight="1"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</row>
    <row r="526" spans="11:26" ht="15.75" customHeight="1"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</row>
    <row r="527" spans="11:26" ht="15.75" customHeight="1"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</row>
    <row r="528" spans="11:26" ht="15.75" customHeight="1"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</row>
    <row r="529" spans="11:26" ht="15.75" customHeight="1"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</row>
    <row r="530" spans="11:26" ht="15.75" customHeight="1"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</row>
    <row r="531" spans="11:26" ht="15.75" customHeight="1"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</row>
    <row r="532" spans="11:26" ht="15.75" customHeight="1"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</row>
    <row r="533" spans="11:26" ht="15.75" customHeight="1"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</row>
    <row r="534" spans="11:26" ht="15.75" customHeight="1"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</row>
    <row r="535" spans="11:26" ht="15.75" customHeight="1"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</row>
    <row r="536" spans="11:26" ht="15.75" customHeight="1"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</row>
    <row r="537" spans="11:26" ht="15.75" customHeight="1"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</row>
    <row r="538" spans="11:26" ht="15.75" customHeight="1"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</row>
    <row r="539" spans="11:26" ht="15.75" customHeight="1"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</row>
    <row r="540" spans="11:26" ht="15.75" customHeight="1"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</row>
    <row r="541" spans="11:26" ht="15.75" customHeight="1"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</row>
    <row r="542" spans="11:26" ht="15.75" customHeight="1"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</row>
    <row r="543" spans="11:26" ht="15.75" customHeight="1"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</row>
    <row r="544" spans="11:26" ht="15.75" customHeight="1"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</row>
    <row r="545" spans="11:26" ht="15.75" customHeight="1"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</row>
    <row r="546" spans="11:26" ht="15.75" customHeight="1"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</row>
    <row r="547" spans="11:26" ht="15.75" customHeight="1"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</row>
    <row r="548" spans="11:26" ht="15.75" customHeight="1"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</row>
    <row r="549" spans="11:26" ht="15.75" customHeight="1"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</row>
    <row r="550" spans="11:26" ht="15.75" customHeight="1"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</row>
    <row r="551" spans="11:26" ht="15.75" customHeight="1"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</row>
    <row r="552" spans="11:26" ht="15.75" customHeight="1"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</row>
    <row r="553" spans="11:26" ht="15.75" customHeight="1"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</row>
    <row r="554" spans="11:26" ht="15.75" customHeight="1"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</row>
    <row r="555" spans="11:26" ht="15.75" customHeight="1"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</row>
    <row r="556" spans="11:26" ht="15.75" customHeight="1"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</row>
    <row r="557" spans="11:26" ht="15.75" customHeight="1"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</row>
    <row r="558" spans="11:26" ht="15.75" customHeight="1"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</row>
    <row r="559" spans="11:26" ht="15.75" customHeight="1"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</row>
    <row r="560" spans="11:26" ht="15.75" customHeight="1"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</row>
    <row r="561" spans="11:26" ht="15.75" customHeight="1"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</row>
    <row r="562" spans="11:26" ht="15.75" customHeight="1"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</row>
    <row r="563" spans="11:26" ht="15.75" customHeight="1"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</row>
    <row r="564" spans="11:26" ht="15.75" customHeight="1"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</row>
    <row r="565" spans="11:26" ht="15.75" customHeight="1"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</row>
    <row r="566" spans="11:26" ht="15.75" customHeight="1"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</row>
    <row r="567" spans="11:26" ht="15.75" customHeight="1"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</row>
    <row r="568" spans="11:26" ht="15.75" customHeight="1"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</row>
    <row r="569" spans="11:26" ht="15.75" customHeight="1"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</row>
    <row r="570" spans="11:26" ht="15.75" customHeight="1"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</row>
    <row r="571" spans="11:26" ht="15.75" customHeight="1"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</row>
    <row r="572" spans="11:26" ht="15.75" customHeight="1"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</row>
    <row r="573" spans="11:26" ht="15.75" customHeight="1"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</row>
    <row r="574" spans="11:26" ht="15.75" customHeight="1"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</row>
    <row r="575" spans="11:26" ht="15.75" customHeight="1"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</row>
    <row r="576" spans="11:26" ht="15.75" customHeight="1"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</row>
    <row r="577" spans="11:26" ht="15.75" customHeight="1"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</row>
  </sheetData>
  <mergeCells count="44">
    <mergeCell ref="A1:J1"/>
    <mergeCell ref="B5:B6"/>
    <mergeCell ref="F43:G43"/>
    <mergeCell ref="A31:F31"/>
    <mergeCell ref="F25:G25"/>
    <mergeCell ref="F40:G40"/>
    <mergeCell ref="A27:A28"/>
    <mergeCell ref="B27:B28"/>
    <mergeCell ref="F30:G30"/>
    <mergeCell ref="F38:G38"/>
    <mergeCell ref="A3:J3"/>
    <mergeCell ref="D5:D6"/>
    <mergeCell ref="J5:J6"/>
    <mergeCell ref="F36:G36"/>
    <mergeCell ref="A2:J2"/>
    <mergeCell ref="F39:G39"/>
    <mergeCell ref="L5:L6"/>
    <mergeCell ref="A26:F26"/>
    <mergeCell ref="F32:F33"/>
    <mergeCell ref="G27:G28"/>
    <mergeCell ref="I32:I33"/>
    <mergeCell ref="J27:J28"/>
    <mergeCell ref="J32:J33"/>
    <mergeCell ref="D27:D28"/>
    <mergeCell ref="B32:B33"/>
    <mergeCell ref="C5:C6"/>
    <mergeCell ref="C27:C28"/>
    <mergeCell ref="A32:A33"/>
    <mergeCell ref="I27:I28"/>
    <mergeCell ref="D32:D33"/>
    <mergeCell ref="H32:H33"/>
    <mergeCell ref="F27:F28"/>
    <mergeCell ref="G32:G33"/>
    <mergeCell ref="A5:A6"/>
    <mergeCell ref="A4:J4"/>
    <mergeCell ref="I5:I6"/>
    <mergeCell ref="H5:H6"/>
    <mergeCell ref="E5:E6"/>
    <mergeCell ref="F5:F6"/>
    <mergeCell ref="G5:G6"/>
    <mergeCell ref="C32:C33"/>
    <mergeCell ref="H27:H28"/>
    <mergeCell ref="E32:E33"/>
    <mergeCell ref="E27:E28"/>
  </mergeCells>
  <printOptions horizontalCentered="1" verticalCentered="1"/>
  <pageMargins left="0.69930555555555596" right="0.69930555555555596" top="0.75" bottom="0.75" header="0" footer="0"/>
  <pageSetup paperSize="9" scale="6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564"/>
  <sheetViews>
    <sheetView topLeftCell="D34" zoomScale="85" workbookViewId="0">
      <selection activeCell="F53" sqref="F53"/>
    </sheetView>
  </sheetViews>
  <sheetFormatPr defaultColWidth="9.83203125" defaultRowHeight="15" customHeight="1"/>
  <cols>
    <col min="1" max="1" width="3.83203125" style="352" customWidth="1"/>
    <col min="2" max="2" width="18.33203125" style="352" customWidth="1"/>
    <col min="3" max="3" width="21.33203125" style="352" customWidth="1"/>
    <col min="4" max="4" width="31.08203125" style="352" customWidth="1"/>
    <col min="5" max="5" width="25.58203125" style="352" customWidth="1"/>
    <col min="6" max="6" width="25" style="352" customWidth="1"/>
    <col min="7" max="7" width="15.75" style="352" customWidth="1"/>
    <col min="8" max="8" width="17" style="352" customWidth="1"/>
    <col min="9" max="10" width="11.75" style="353" customWidth="1"/>
    <col min="11" max="11" width="17.25" style="353" customWidth="1"/>
    <col min="12" max="12" width="11.08203125" style="1" customWidth="1"/>
    <col min="13" max="18" width="14.25" style="1" customWidth="1"/>
    <col min="19" max="19" width="8.75" style="1" customWidth="1"/>
    <col min="20" max="22" width="13.08203125" style="1" customWidth="1"/>
    <col min="23" max="23" width="10.25" style="1" customWidth="1"/>
    <col min="24" max="28" width="8.75" style="1" customWidth="1"/>
    <col min="29" max="16384" width="9.83203125" style="1"/>
  </cols>
  <sheetData>
    <row r="1" spans="1:28" ht="18" customHeight="1">
      <c r="A1" s="1051" t="s">
        <v>3326</v>
      </c>
      <c r="B1" s="1052"/>
      <c r="C1" s="1052"/>
      <c r="D1" s="1052"/>
      <c r="E1" s="1052"/>
      <c r="F1" s="1052"/>
      <c r="G1" s="1052"/>
      <c r="H1" s="1052"/>
      <c r="I1" s="1052"/>
      <c r="J1" s="1052"/>
      <c r="K1" s="1052"/>
      <c r="L1" s="308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</row>
    <row r="2" spans="1:28" ht="18" customHeight="1">
      <c r="A2" s="1058" t="s">
        <v>3268</v>
      </c>
      <c r="B2" s="1052"/>
      <c r="C2" s="1052"/>
      <c r="D2" s="1052"/>
      <c r="E2" s="1052"/>
      <c r="F2" s="1052"/>
      <c r="G2" s="1052"/>
      <c r="H2" s="1052"/>
      <c r="I2" s="1052"/>
      <c r="J2" s="1052"/>
      <c r="K2" s="1052"/>
      <c r="L2" s="308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</row>
    <row r="3" spans="1:28" ht="18" customHeight="1">
      <c r="A3" s="1058" t="s">
        <v>3327</v>
      </c>
      <c r="B3" s="1052"/>
      <c r="C3" s="1052"/>
      <c r="D3" s="1052"/>
      <c r="E3" s="1052"/>
      <c r="F3" s="1052"/>
      <c r="G3" s="1052"/>
      <c r="H3" s="1052"/>
      <c r="I3" s="1052"/>
      <c r="J3" s="1052"/>
      <c r="K3" s="1052"/>
      <c r="L3" s="308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15" customHeight="1">
      <c r="A4" s="1045" t="s">
        <v>25</v>
      </c>
      <c r="B4" s="1046"/>
      <c r="C4" s="1046"/>
      <c r="D4" s="1046"/>
      <c r="E4" s="1046"/>
      <c r="F4" s="1046"/>
      <c r="G4" s="1046"/>
      <c r="H4" s="1046"/>
      <c r="I4" s="1046"/>
      <c r="J4" s="1046"/>
      <c r="K4" s="1046"/>
      <c r="L4" s="308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</row>
    <row r="5" spans="1:28" ht="17.25" customHeight="1">
      <c r="A5" s="1043" t="s">
        <v>3270</v>
      </c>
      <c r="B5" s="1043" t="s">
        <v>3271</v>
      </c>
      <c r="C5" s="1043" t="s">
        <v>3272</v>
      </c>
      <c r="D5" s="1043" t="s">
        <v>3273</v>
      </c>
      <c r="E5" s="1043" t="s">
        <v>3274</v>
      </c>
      <c r="F5" s="1059" t="s">
        <v>3275</v>
      </c>
      <c r="G5" s="1043" t="s">
        <v>13</v>
      </c>
      <c r="H5" s="1047" t="s">
        <v>3278</v>
      </c>
      <c r="I5" s="1047" t="s">
        <v>3276</v>
      </c>
      <c r="J5" s="1047" t="s">
        <v>3277</v>
      </c>
      <c r="K5" s="1047" t="s">
        <v>21</v>
      </c>
      <c r="L5" s="308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</row>
    <row r="6" spans="1:28" ht="15" customHeight="1">
      <c r="A6" s="1044"/>
      <c r="B6" s="1044"/>
      <c r="C6" s="1044"/>
      <c r="D6" s="1044"/>
      <c r="E6" s="1044"/>
      <c r="F6" s="1044"/>
      <c r="G6" s="1044"/>
      <c r="H6" s="1048"/>
      <c r="I6" s="1048"/>
      <c r="J6" s="1048"/>
      <c r="K6" s="1048"/>
      <c r="L6" s="308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21.75" customHeight="1">
      <c r="A7" s="354">
        <v>1</v>
      </c>
      <c r="B7" s="10" t="s">
        <v>1932</v>
      </c>
      <c r="C7" s="9" t="s">
        <v>1829</v>
      </c>
      <c r="D7" s="356" t="s">
        <v>1485</v>
      </c>
      <c r="E7" s="356" t="s">
        <v>1929</v>
      </c>
      <c r="F7" s="385" t="s">
        <v>1050</v>
      </c>
      <c r="G7" s="12">
        <v>45048</v>
      </c>
      <c r="H7" s="12">
        <v>45128</v>
      </c>
      <c r="I7" s="358">
        <v>2710450</v>
      </c>
      <c r="J7" s="358">
        <v>3560450</v>
      </c>
      <c r="K7" s="358">
        <f t="shared" ref="K7:K24" si="0">J7-I7</f>
        <v>850000</v>
      </c>
      <c r="L7" s="308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 spans="1:28" ht="21.75" customHeight="1">
      <c r="A8" s="356">
        <v>2</v>
      </c>
      <c r="B8" s="16" t="s">
        <v>1937</v>
      </c>
      <c r="C8" s="13" t="s">
        <v>1847</v>
      </c>
      <c r="D8" s="13" t="s">
        <v>1375</v>
      </c>
      <c r="E8" s="13">
        <v>914906633</v>
      </c>
      <c r="F8" s="386" t="s">
        <v>66</v>
      </c>
      <c r="G8" s="17">
        <v>45050</v>
      </c>
      <c r="H8" s="17" t="s">
        <v>1853</v>
      </c>
      <c r="I8" s="359">
        <v>58150000</v>
      </c>
      <c r="J8" s="359">
        <v>64510000</v>
      </c>
      <c r="K8" s="358">
        <f t="shared" si="0"/>
        <v>6360000</v>
      </c>
      <c r="L8" s="308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</row>
    <row r="9" spans="1:28" ht="21.75" customHeight="1">
      <c r="A9" s="361">
        <v>3</v>
      </c>
      <c r="B9" s="16" t="s">
        <v>1946</v>
      </c>
      <c r="C9" s="13" t="s">
        <v>1943</v>
      </c>
      <c r="D9" s="13" t="s">
        <v>1375</v>
      </c>
      <c r="E9" s="13" t="s">
        <v>3328</v>
      </c>
      <c r="F9" s="386" t="s">
        <v>200</v>
      </c>
      <c r="G9" s="17">
        <v>45053</v>
      </c>
      <c r="H9" s="17">
        <v>45140</v>
      </c>
      <c r="I9" s="363">
        <v>34535000</v>
      </c>
      <c r="J9" s="363">
        <v>51300830</v>
      </c>
      <c r="K9" s="358">
        <f t="shared" si="0"/>
        <v>16765830</v>
      </c>
      <c r="L9" s="308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</row>
    <row r="10" spans="1:28" ht="21.75" customHeight="1">
      <c r="A10" s="361">
        <v>4</v>
      </c>
      <c r="B10" s="104" t="s">
        <v>1952</v>
      </c>
      <c r="C10" s="96" t="s">
        <v>1588</v>
      </c>
      <c r="D10" s="96" t="s">
        <v>1375</v>
      </c>
      <c r="E10" s="96" t="s">
        <v>1950</v>
      </c>
      <c r="F10" s="133" t="s">
        <v>1954</v>
      </c>
      <c r="G10" s="94">
        <v>45054</v>
      </c>
      <c r="H10" s="94">
        <v>45134</v>
      </c>
      <c r="I10" s="363">
        <v>4200000</v>
      </c>
      <c r="J10" s="363">
        <v>6200000</v>
      </c>
      <c r="K10" s="358">
        <f t="shared" si="0"/>
        <v>2000000</v>
      </c>
      <c r="L10" s="308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8" ht="21.75" customHeight="1">
      <c r="A11" s="361">
        <v>5</v>
      </c>
      <c r="B11" s="16" t="s">
        <v>1960</v>
      </c>
      <c r="C11" s="13" t="s">
        <v>1847</v>
      </c>
      <c r="D11" s="13" t="s">
        <v>1375</v>
      </c>
      <c r="E11" s="13">
        <v>226906048</v>
      </c>
      <c r="F11" s="386" t="s">
        <v>66</v>
      </c>
      <c r="G11" s="17">
        <v>45057</v>
      </c>
      <c r="H11" s="17" t="s">
        <v>1853</v>
      </c>
      <c r="I11" s="363">
        <v>34950000</v>
      </c>
      <c r="J11" s="363">
        <v>39988900</v>
      </c>
      <c r="K11" s="358">
        <f t="shared" si="0"/>
        <v>5038900</v>
      </c>
      <c r="L11" s="308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8" ht="21.75" customHeight="1">
      <c r="A12" s="361">
        <v>6</v>
      </c>
      <c r="B12" s="9" t="s">
        <v>1968</v>
      </c>
      <c r="C12" s="9" t="s">
        <v>1599</v>
      </c>
      <c r="D12" s="9" t="s">
        <v>749</v>
      </c>
      <c r="E12" s="9" t="s">
        <v>1965</v>
      </c>
      <c r="F12" s="387" t="s">
        <v>754</v>
      </c>
      <c r="G12" s="12">
        <v>45060</v>
      </c>
      <c r="H12" s="12">
        <v>45113</v>
      </c>
      <c r="I12" s="363">
        <v>4050000</v>
      </c>
      <c r="J12" s="363">
        <v>6190000</v>
      </c>
      <c r="K12" s="358">
        <f t="shared" si="0"/>
        <v>2140000</v>
      </c>
      <c r="L12" s="308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8" ht="21.75" customHeight="1">
      <c r="A13" s="361">
        <v>7</v>
      </c>
      <c r="B13" s="9" t="s">
        <v>1973</v>
      </c>
      <c r="C13" s="9" t="s">
        <v>1829</v>
      </c>
      <c r="D13" s="9" t="s">
        <v>1485</v>
      </c>
      <c r="E13" s="9" t="s">
        <v>1971</v>
      </c>
      <c r="F13" s="387" t="s">
        <v>1975</v>
      </c>
      <c r="G13" s="12">
        <v>45061</v>
      </c>
      <c r="H13" s="12">
        <v>45128</v>
      </c>
      <c r="I13" s="363">
        <v>1950000</v>
      </c>
      <c r="J13" s="363">
        <v>3200000</v>
      </c>
      <c r="K13" s="358">
        <f t="shared" si="0"/>
        <v>1250000</v>
      </c>
      <c r="L13" s="308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8" ht="21.75" customHeight="1">
      <c r="A14" s="361">
        <v>8</v>
      </c>
      <c r="B14" s="16" t="s">
        <v>1982</v>
      </c>
      <c r="C14" s="13" t="s">
        <v>1979</v>
      </c>
      <c r="D14" s="13" t="s">
        <v>1977</v>
      </c>
      <c r="E14" s="13" t="s">
        <v>1978</v>
      </c>
      <c r="F14" s="386" t="s">
        <v>934</v>
      </c>
      <c r="G14" s="17">
        <v>45064</v>
      </c>
      <c r="H14" s="17">
        <v>45162</v>
      </c>
      <c r="I14" s="363">
        <v>3350000</v>
      </c>
      <c r="J14" s="363">
        <v>4150000</v>
      </c>
      <c r="K14" s="358">
        <f t="shared" si="0"/>
        <v>800000</v>
      </c>
      <c r="L14" s="308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8" ht="21.75" customHeight="1">
      <c r="A15" s="361">
        <v>9</v>
      </c>
      <c r="B15" s="10" t="s">
        <v>1991</v>
      </c>
      <c r="C15" s="9" t="s">
        <v>1599</v>
      </c>
      <c r="D15" s="9" t="s">
        <v>749</v>
      </c>
      <c r="E15" s="9" t="s">
        <v>1988</v>
      </c>
      <c r="F15" s="387" t="s">
        <v>1993</v>
      </c>
      <c r="G15" s="12">
        <v>45066</v>
      </c>
      <c r="H15" s="12">
        <v>45128</v>
      </c>
      <c r="I15" s="363">
        <v>975000</v>
      </c>
      <c r="J15" s="363">
        <v>3825000</v>
      </c>
      <c r="K15" s="358">
        <f t="shared" si="0"/>
        <v>2850000</v>
      </c>
      <c r="L15" s="308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8" ht="21.75" customHeight="1">
      <c r="A16" s="361">
        <v>10</v>
      </c>
      <c r="B16" s="9" t="s">
        <v>1997</v>
      </c>
      <c r="C16" s="9" t="s">
        <v>1829</v>
      </c>
      <c r="D16" s="9" t="s">
        <v>1485</v>
      </c>
      <c r="E16" s="9" t="s">
        <v>1995</v>
      </c>
      <c r="F16" s="387" t="s">
        <v>1050</v>
      </c>
      <c r="G16" s="12">
        <v>45067</v>
      </c>
      <c r="H16" s="12">
        <v>45128</v>
      </c>
      <c r="I16" s="363">
        <v>1750000</v>
      </c>
      <c r="J16" s="363">
        <v>2800000</v>
      </c>
      <c r="K16" s="358">
        <f t="shared" si="0"/>
        <v>1050000</v>
      </c>
      <c r="L16" s="308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8" ht="21.75" customHeight="1">
      <c r="A17" s="361">
        <v>11</v>
      </c>
      <c r="B17" s="16" t="s">
        <v>2005</v>
      </c>
      <c r="C17" s="13" t="s">
        <v>1847</v>
      </c>
      <c r="D17" s="13" t="s">
        <v>1375</v>
      </c>
      <c r="E17" s="13" t="s">
        <v>2001</v>
      </c>
      <c r="F17" s="386" t="s">
        <v>1954</v>
      </c>
      <c r="G17" s="17">
        <v>45069</v>
      </c>
      <c r="H17" s="17">
        <v>45145</v>
      </c>
      <c r="I17" s="363">
        <v>8900000</v>
      </c>
      <c r="J17" s="363">
        <v>17800000</v>
      </c>
      <c r="K17" s="358">
        <f t="shared" si="0"/>
        <v>8900000</v>
      </c>
      <c r="L17" s="308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8" ht="21.75" customHeight="1">
      <c r="A18" s="361">
        <v>12</v>
      </c>
      <c r="B18" s="16" t="s">
        <v>2018</v>
      </c>
      <c r="C18" s="13" t="s">
        <v>1847</v>
      </c>
      <c r="D18" s="13" t="s">
        <v>1375</v>
      </c>
      <c r="E18" s="13">
        <v>227090974</v>
      </c>
      <c r="F18" s="386" t="s">
        <v>66</v>
      </c>
      <c r="G18" s="17">
        <v>45071</v>
      </c>
      <c r="H18" s="17">
        <v>45145</v>
      </c>
      <c r="I18" s="363">
        <v>88400000</v>
      </c>
      <c r="J18" s="363">
        <v>102399840</v>
      </c>
      <c r="K18" s="358">
        <f t="shared" si="0"/>
        <v>13999840</v>
      </c>
      <c r="L18" s="308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8" ht="21.75" customHeight="1">
      <c r="A19" s="361">
        <v>13</v>
      </c>
      <c r="B19" s="16" t="s">
        <v>2030</v>
      </c>
      <c r="C19" s="13" t="s">
        <v>1829</v>
      </c>
      <c r="D19" s="13" t="s">
        <v>1485</v>
      </c>
      <c r="E19" s="13" t="s">
        <v>2028</v>
      </c>
      <c r="F19" s="386" t="s">
        <v>1975</v>
      </c>
      <c r="G19" s="17">
        <v>45074</v>
      </c>
      <c r="H19" s="17">
        <v>45129</v>
      </c>
      <c r="I19" s="363">
        <v>1700000</v>
      </c>
      <c r="J19" s="363">
        <v>2800000</v>
      </c>
      <c r="K19" s="358">
        <f t="shared" si="0"/>
        <v>1100000</v>
      </c>
      <c r="L19" s="308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8" ht="21.75" customHeight="1">
      <c r="A20" s="361">
        <v>14</v>
      </c>
      <c r="B20" s="104" t="s">
        <v>2036</v>
      </c>
      <c r="C20" s="96" t="s">
        <v>1847</v>
      </c>
      <c r="D20" s="96" t="s">
        <v>1375</v>
      </c>
      <c r="E20" s="96" t="s">
        <v>2033</v>
      </c>
      <c r="F20" s="133" t="s">
        <v>1954</v>
      </c>
      <c r="G20" s="94">
        <v>45075</v>
      </c>
      <c r="H20" s="94">
        <v>45145</v>
      </c>
      <c r="I20" s="363">
        <v>8100000</v>
      </c>
      <c r="J20" s="363">
        <v>11600000</v>
      </c>
      <c r="K20" s="358">
        <f t="shared" si="0"/>
        <v>3500000</v>
      </c>
      <c r="L20" s="308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8" ht="21.75" customHeight="1">
      <c r="A21" s="361">
        <v>15</v>
      </c>
      <c r="B21" s="105" t="s">
        <v>2046</v>
      </c>
      <c r="C21" s="105" t="s">
        <v>1588</v>
      </c>
      <c r="D21" s="105" t="s">
        <v>1758</v>
      </c>
      <c r="E21" s="105" t="s">
        <v>2043</v>
      </c>
      <c r="F21" s="98" t="s">
        <v>66</v>
      </c>
      <c r="G21" s="107">
        <v>45076</v>
      </c>
      <c r="H21" s="107" t="s">
        <v>2048</v>
      </c>
      <c r="I21" s="363">
        <v>260000</v>
      </c>
      <c r="J21" s="363">
        <v>1371000</v>
      </c>
      <c r="K21" s="358">
        <f t="shared" si="0"/>
        <v>1111000</v>
      </c>
      <c r="L21" s="308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</row>
    <row r="22" spans="1:28" ht="21.75" customHeight="1">
      <c r="A22" s="361">
        <v>16</v>
      </c>
      <c r="B22" s="108" t="s">
        <v>2055</v>
      </c>
      <c r="C22" s="89" t="s">
        <v>2051</v>
      </c>
      <c r="D22" s="15" t="s">
        <v>2049</v>
      </c>
      <c r="E22" s="15" t="s">
        <v>2050</v>
      </c>
      <c r="F22" s="388" t="s">
        <v>2056</v>
      </c>
      <c r="G22" s="90" t="s">
        <v>40</v>
      </c>
      <c r="H22" s="90">
        <v>45072</v>
      </c>
      <c r="I22" s="363">
        <v>180000</v>
      </c>
      <c r="J22" s="363">
        <v>1050000</v>
      </c>
      <c r="K22" s="358">
        <f t="shared" si="0"/>
        <v>870000</v>
      </c>
      <c r="L22" s="308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</row>
    <row r="23" spans="1:28" ht="21.75" customHeight="1">
      <c r="A23" s="361">
        <v>17</v>
      </c>
      <c r="B23" s="67" t="s">
        <v>2064</v>
      </c>
      <c r="C23" s="66" t="s">
        <v>2051</v>
      </c>
      <c r="D23" s="9" t="s">
        <v>2049</v>
      </c>
      <c r="E23" s="9" t="s">
        <v>2060</v>
      </c>
      <c r="F23" s="389" t="s">
        <v>375</v>
      </c>
      <c r="G23" s="68" t="s">
        <v>40</v>
      </c>
      <c r="H23" s="68">
        <v>45072</v>
      </c>
      <c r="I23" s="363">
        <v>180000</v>
      </c>
      <c r="J23" s="363">
        <v>1050000</v>
      </c>
      <c r="K23" s="358">
        <f t="shared" si="0"/>
        <v>870000</v>
      </c>
      <c r="L23" s="308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</row>
    <row r="24" spans="1:28" ht="21.75" customHeight="1">
      <c r="A24" s="361">
        <v>18</v>
      </c>
      <c r="B24" s="67" t="s">
        <v>2070</v>
      </c>
      <c r="C24" s="66" t="s">
        <v>2067</v>
      </c>
      <c r="D24" s="9" t="s">
        <v>2066</v>
      </c>
      <c r="E24" s="9">
        <v>226484187</v>
      </c>
      <c r="F24" s="389" t="s">
        <v>66</v>
      </c>
      <c r="G24" s="68" t="s">
        <v>40</v>
      </c>
      <c r="H24" s="68">
        <v>45065</v>
      </c>
      <c r="I24" s="363">
        <v>1700000</v>
      </c>
      <c r="J24" s="363">
        <v>1900000</v>
      </c>
      <c r="K24" s="358">
        <f t="shared" si="0"/>
        <v>200000</v>
      </c>
      <c r="L24" s="308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</row>
    <row r="25" spans="1:28" ht="21.75" customHeight="1">
      <c r="A25" s="368"/>
      <c r="B25" s="369"/>
      <c r="C25" s="369"/>
      <c r="D25" s="368" t="s">
        <v>3290</v>
      </c>
      <c r="E25" s="368"/>
      <c r="F25" s="1053" t="s">
        <v>3291</v>
      </c>
      <c r="G25" s="1054"/>
      <c r="H25" s="371"/>
      <c r="I25" s="372"/>
      <c r="J25" s="372"/>
      <c r="K25" s="373">
        <f>SUM(K7:K24)</f>
        <v>69655570</v>
      </c>
      <c r="L25" s="320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</row>
    <row r="26" spans="1:28" ht="21.75" customHeight="1">
      <c r="A26" s="1049" t="s">
        <v>128</v>
      </c>
      <c r="B26" s="1050"/>
      <c r="C26" s="1050"/>
      <c r="D26" s="1050"/>
      <c r="E26" s="1050"/>
      <c r="F26" s="1050"/>
      <c r="K26" s="374"/>
      <c r="L26" s="320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</row>
    <row r="27" spans="1:28" ht="21.75" customHeight="1">
      <c r="A27" s="1043" t="s">
        <v>3270</v>
      </c>
      <c r="B27" s="1043" t="s">
        <v>3271</v>
      </c>
      <c r="C27" s="1043" t="s">
        <v>3272</v>
      </c>
      <c r="D27" s="1043" t="s">
        <v>3273</v>
      </c>
      <c r="E27" s="1043" t="s">
        <v>3274</v>
      </c>
      <c r="F27" s="1059" t="s">
        <v>3292</v>
      </c>
      <c r="G27" s="1043" t="s">
        <v>12</v>
      </c>
      <c r="H27" s="1047" t="s">
        <v>3278</v>
      </c>
      <c r="I27" s="1047" t="s">
        <v>3276</v>
      </c>
      <c r="J27" s="1047" t="s">
        <v>3277</v>
      </c>
      <c r="K27" s="1047" t="s">
        <v>21</v>
      </c>
      <c r="L27" s="308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</row>
    <row r="28" spans="1:28" ht="21.75" customHeight="1">
      <c r="A28" s="1044"/>
      <c r="B28" s="1044"/>
      <c r="C28" s="1044"/>
      <c r="D28" s="1044"/>
      <c r="E28" s="1044"/>
      <c r="F28" s="1044"/>
      <c r="G28" s="1044"/>
      <c r="H28" s="1048"/>
      <c r="I28" s="1048"/>
      <c r="J28" s="1048"/>
      <c r="K28" s="1048"/>
      <c r="L28" s="308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</row>
    <row r="29" spans="1:28" s="270" customFormat="1" ht="26.25" customHeight="1">
      <c r="A29" s="361">
        <v>19</v>
      </c>
      <c r="B29" s="9" t="s">
        <v>2077</v>
      </c>
      <c r="C29" s="9" t="s">
        <v>2076</v>
      </c>
      <c r="D29" s="9" t="s">
        <v>2074</v>
      </c>
      <c r="E29" s="9" t="s">
        <v>2075</v>
      </c>
      <c r="F29" s="9" t="s">
        <v>2078</v>
      </c>
      <c r="G29" s="12">
        <v>45047</v>
      </c>
      <c r="H29" s="109" t="s">
        <v>2080</v>
      </c>
      <c r="I29" s="363">
        <v>200000</v>
      </c>
      <c r="J29" s="363">
        <v>550000</v>
      </c>
      <c r="K29" s="358">
        <f t="shared" ref="K29:K33" si="1">J29-I29</f>
        <v>350000</v>
      </c>
      <c r="L29" s="308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</row>
    <row r="30" spans="1:28" s="270" customFormat="1" ht="21.75" customHeight="1">
      <c r="A30" s="361">
        <v>20</v>
      </c>
      <c r="B30" s="16" t="s">
        <v>2085</v>
      </c>
      <c r="C30" s="13" t="s">
        <v>2083</v>
      </c>
      <c r="D30" s="13" t="s">
        <v>2081</v>
      </c>
      <c r="E30" s="13" t="s">
        <v>2082</v>
      </c>
      <c r="F30" s="13" t="s">
        <v>365</v>
      </c>
      <c r="G30" s="17">
        <v>45060</v>
      </c>
      <c r="H30" s="63">
        <v>45163</v>
      </c>
      <c r="I30" s="363">
        <v>2000000</v>
      </c>
      <c r="J30" s="363">
        <v>5500000</v>
      </c>
      <c r="K30" s="358">
        <f t="shared" si="1"/>
        <v>3500000</v>
      </c>
      <c r="L30" s="308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</row>
    <row r="31" spans="1:28" s="270" customFormat="1" ht="21.75" customHeight="1">
      <c r="A31" s="361">
        <v>21</v>
      </c>
      <c r="B31" s="16" t="s">
        <v>2091</v>
      </c>
      <c r="C31" s="13" t="s">
        <v>2083</v>
      </c>
      <c r="D31" s="13" t="s">
        <v>2081</v>
      </c>
      <c r="E31" s="13" t="s">
        <v>2089</v>
      </c>
      <c r="F31" s="13" t="s">
        <v>66</v>
      </c>
      <c r="G31" s="17">
        <v>45067</v>
      </c>
      <c r="H31" s="63">
        <v>45163</v>
      </c>
      <c r="I31" s="363">
        <v>900000</v>
      </c>
      <c r="J31" s="363">
        <v>3100000</v>
      </c>
      <c r="K31" s="358">
        <f t="shared" si="1"/>
        <v>2200000</v>
      </c>
      <c r="L31" s="308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</row>
    <row r="32" spans="1:28" s="270" customFormat="1" ht="21.75" customHeight="1">
      <c r="A32" s="361">
        <v>22</v>
      </c>
      <c r="B32" s="104" t="s">
        <v>2097</v>
      </c>
      <c r="C32" s="96" t="s">
        <v>2083</v>
      </c>
      <c r="D32" s="96" t="s">
        <v>2081</v>
      </c>
      <c r="E32" s="96" t="s">
        <v>2095</v>
      </c>
      <c r="F32" s="96" t="s">
        <v>365</v>
      </c>
      <c r="G32" s="94">
        <v>45067</v>
      </c>
      <c r="H32" s="94">
        <v>45163</v>
      </c>
      <c r="I32" s="363">
        <v>1550000</v>
      </c>
      <c r="J32" s="363">
        <v>4600000</v>
      </c>
      <c r="K32" s="358">
        <f t="shared" si="1"/>
        <v>3050000</v>
      </c>
      <c r="L32" s="308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</row>
    <row r="33" spans="1:28" s="270" customFormat="1" ht="21.75" customHeight="1">
      <c r="A33" s="361">
        <v>23</v>
      </c>
      <c r="B33" s="390" t="s">
        <v>2103</v>
      </c>
      <c r="C33" s="66" t="s">
        <v>1561</v>
      </c>
      <c r="D33" s="66" t="s">
        <v>1559</v>
      </c>
      <c r="E33" s="66" t="s">
        <v>2100</v>
      </c>
      <c r="F33" s="66" t="s">
        <v>2104</v>
      </c>
      <c r="G33" s="65">
        <v>45074</v>
      </c>
      <c r="H33" s="153">
        <v>45145</v>
      </c>
      <c r="I33" s="391">
        <v>1650000</v>
      </c>
      <c r="J33" s="363">
        <v>2600000</v>
      </c>
      <c r="K33" s="392">
        <f t="shared" si="1"/>
        <v>950000</v>
      </c>
      <c r="L33" s="308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</row>
    <row r="34" spans="1:28" s="270" customFormat="1" ht="21.75" customHeight="1">
      <c r="A34" s="368"/>
      <c r="B34" s="368"/>
      <c r="C34" s="368"/>
      <c r="D34" s="368"/>
      <c r="E34" s="368"/>
      <c r="F34" s="1053" t="s">
        <v>3295</v>
      </c>
      <c r="G34" s="1054"/>
      <c r="H34" s="371"/>
      <c r="I34" s="372"/>
      <c r="J34" s="372"/>
      <c r="K34" s="373">
        <f>SUM(K29:K33)</f>
        <v>10050000</v>
      </c>
      <c r="L34" s="308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</row>
    <row r="35" spans="1:28" s="270" customFormat="1" ht="21.75" customHeight="1">
      <c r="A35" s="1049" t="s">
        <v>1905</v>
      </c>
      <c r="B35" s="1050"/>
      <c r="C35" s="1050"/>
      <c r="D35" s="1050"/>
      <c r="E35" s="1050"/>
      <c r="F35" s="1050"/>
      <c r="G35" s="352"/>
      <c r="H35" s="352"/>
      <c r="I35" s="353"/>
      <c r="J35" s="353"/>
      <c r="K35" s="374"/>
      <c r="L35" s="308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</row>
    <row r="36" spans="1:28" s="270" customFormat="1" ht="21.75" customHeight="1">
      <c r="A36" s="1043" t="s">
        <v>3270</v>
      </c>
      <c r="B36" s="1043" t="s">
        <v>3271</v>
      </c>
      <c r="C36" s="1043" t="s">
        <v>3272</v>
      </c>
      <c r="D36" s="1043" t="s">
        <v>3273</v>
      </c>
      <c r="E36" s="1043" t="s">
        <v>3274</v>
      </c>
      <c r="F36" s="1059" t="s">
        <v>3292</v>
      </c>
      <c r="G36" s="1043" t="s">
        <v>12</v>
      </c>
      <c r="H36" s="1047" t="s">
        <v>3278</v>
      </c>
      <c r="I36" s="1047" t="s">
        <v>3276</v>
      </c>
      <c r="J36" s="1047" t="s">
        <v>3277</v>
      </c>
      <c r="K36" s="1047" t="s">
        <v>21</v>
      </c>
      <c r="L36" s="308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</row>
    <row r="37" spans="1:28" s="270" customFormat="1" ht="21.75" customHeight="1">
      <c r="A37" s="1044"/>
      <c r="B37" s="1044"/>
      <c r="C37" s="1044"/>
      <c r="D37" s="1044"/>
      <c r="E37" s="1044"/>
      <c r="F37" s="1044"/>
      <c r="G37" s="1044"/>
      <c r="H37" s="1048"/>
      <c r="I37" s="1048"/>
      <c r="J37" s="1048"/>
      <c r="K37" s="1048"/>
      <c r="L37" s="308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</row>
    <row r="38" spans="1:28" s="270" customFormat="1" ht="21.75" customHeight="1">
      <c r="A38" s="361">
        <v>24</v>
      </c>
      <c r="B38" s="67" t="s">
        <v>2111</v>
      </c>
      <c r="C38" s="66" t="s">
        <v>1919</v>
      </c>
      <c r="D38" s="9" t="s">
        <v>1375</v>
      </c>
      <c r="E38" s="9" t="s">
        <v>2108</v>
      </c>
      <c r="F38" s="66" t="s">
        <v>2112</v>
      </c>
      <c r="G38" s="68">
        <v>45048</v>
      </c>
      <c r="H38" s="68">
        <v>45090</v>
      </c>
      <c r="I38" s="363">
        <v>12000000</v>
      </c>
      <c r="J38" s="363">
        <v>16000000</v>
      </c>
      <c r="K38" s="358">
        <f t="shared" ref="K38:K41" si="2">J38-I38</f>
        <v>4000000</v>
      </c>
      <c r="L38" s="308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</row>
    <row r="39" spans="1:28" s="270" customFormat="1" ht="21.75" customHeight="1">
      <c r="A39" s="361">
        <v>25</v>
      </c>
      <c r="B39" s="67" t="s">
        <v>2115</v>
      </c>
      <c r="C39" s="66" t="s">
        <v>1919</v>
      </c>
      <c r="D39" s="9" t="s">
        <v>1375</v>
      </c>
      <c r="E39" s="9" t="s">
        <v>2114</v>
      </c>
      <c r="F39" s="66" t="s">
        <v>2116</v>
      </c>
      <c r="G39" s="68">
        <v>45072</v>
      </c>
      <c r="H39" s="68">
        <v>45090</v>
      </c>
      <c r="I39" s="363">
        <v>12000000</v>
      </c>
      <c r="J39" s="363">
        <v>14000000</v>
      </c>
      <c r="K39" s="358">
        <f t="shared" si="2"/>
        <v>2000000</v>
      </c>
      <c r="L39" s="308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</row>
    <row r="40" spans="1:28" s="270" customFormat="1" ht="21.75" customHeight="1">
      <c r="A40" s="361">
        <v>26</v>
      </c>
      <c r="B40" s="16" t="s">
        <v>2123</v>
      </c>
      <c r="C40" s="13" t="s">
        <v>1919</v>
      </c>
      <c r="D40" s="13" t="s">
        <v>2081</v>
      </c>
      <c r="E40" s="13" t="s">
        <v>2120</v>
      </c>
      <c r="F40" s="13" t="s">
        <v>2124</v>
      </c>
      <c r="G40" s="17">
        <v>45035</v>
      </c>
      <c r="H40" s="63">
        <v>45163</v>
      </c>
      <c r="I40" s="363">
        <v>2850000</v>
      </c>
      <c r="J40" s="363">
        <v>4950000</v>
      </c>
      <c r="K40" s="358">
        <f t="shared" si="2"/>
        <v>2100000</v>
      </c>
      <c r="L40" s="308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</row>
    <row r="41" spans="1:28" s="270" customFormat="1" ht="21.75" customHeight="1">
      <c r="A41" s="361">
        <v>27</v>
      </c>
      <c r="B41" s="104" t="s">
        <v>2130</v>
      </c>
      <c r="C41" s="96" t="s">
        <v>1919</v>
      </c>
      <c r="D41" s="96" t="s">
        <v>2081</v>
      </c>
      <c r="E41" s="96" t="s">
        <v>2128</v>
      </c>
      <c r="F41" s="96" t="s">
        <v>2124</v>
      </c>
      <c r="G41" s="94">
        <v>45052</v>
      </c>
      <c r="H41" s="94">
        <v>45163</v>
      </c>
      <c r="I41" s="358">
        <v>2800000</v>
      </c>
      <c r="J41" s="358">
        <v>4950000</v>
      </c>
      <c r="K41" s="358">
        <f t="shared" si="2"/>
        <v>2150000</v>
      </c>
      <c r="L41" s="308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</row>
    <row r="42" spans="1:28" s="270" customFormat="1" ht="21.75" customHeight="1">
      <c r="A42" s="368"/>
      <c r="B42" s="368"/>
      <c r="C42" s="368"/>
      <c r="D42" s="368"/>
      <c r="E42" s="368"/>
      <c r="F42" s="1055" t="s">
        <v>3322</v>
      </c>
      <c r="G42" s="1056"/>
      <c r="H42" s="371"/>
      <c r="I42" s="372"/>
      <c r="J42" s="372"/>
      <c r="K42" s="373">
        <f>SUM(K38:K41)</f>
        <v>10250000</v>
      </c>
      <c r="L42" s="308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</row>
    <row r="43" spans="1:28" ht="7.5" customHeight="1">
      <c r="A43" s="368"/>
      <c r="B43" s="368"/>
      <c r="C43" s="368"/>
      <c r="D43" s="368"/>
      <c r="E43" s="368"/>
      <c r="F43" s="370"/>
      <c r="G43" s="370"/>
      <c r="H43" s="370"/>
      <c r="I43" s="380"/>
      <c r="J43" s="380"/>
      <c r="K43" s="381"/>
      <c r="L43" s="308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</row>
    <row r="44" spans="1:28" ht="18" customHeight="1">
      <c r="A44" s="368"/>
      <c r="B44" s="368"/>
      <c r="C44" s="368"/>
      <c r="D44" s="368"/>
      <c r="E44" s="368"/>
      <c r="F44" s="1053" t="s">
        <v>3329</v>
      </c>
      <c r="G44" s="1053"/>
      <c r="H44" s="370"/>
      <c r="I44" s="380"/>
      <c r="J44" s="380"/>
      <c r="K44" s="393">
        <v>5000000</v>
      </c>
      <c r="L44" s="308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</row>
    <row r="45" spans="1:28" ht="15" customHeight="1">
      <c r="A45" s="368"/>
      <c r="B45" s="368"/>
      <c r="C45" s="368"/>
      <c r="D45" s="368"/>
      <c r="E45" s="368"/>
      <c r="F45" s="1057" t="s">
        <v>3323</v>
      </c>
      <c r="G45" s="1054"/>
      <c r="H45" s="371"/>
      <c r="I45" s="372"/>
      <c r="J45" s="372"/>
      <c r="K45" s="394">
        <f>K25+K34+K42</f>
        <v>89955570</v>
      </c>
      <c r="L45" s="308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</row>
    <row r="46" spans="1:28" ht="15" customHeight="1">
      <c r="A46" s="368"/>
      <c r="B46" s="368"/>
      <c r="C46" s="368"/>
      <c r="D46" s="368"/>
      <c r="E46" s="368"/>
      <c r="F46" s="1057" t="s">
        <v>3221</v>
      </c>
      <c r="G46" s="1054"/>
      <c r="H46" s="370"/>
      <c r="I46" s="380"/>
      <c r="J46" s="380"/>
      <c r="K46" s="395">
        <f>K45-K44</f>
        <v>84955570</v>
      </c>
      <c r="L46" s="308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</row>
    <row r="47" spans="1:28" ht="5.25" customHeight="1">
      <c r="A47" s="368"/>
      <c r="B47" s="368"/>
      <c r="C47" s="368"/>
      <c r="D47" s="368"/>
      <c r="E47" s="368"/>
      <c r="F47" s="370"/>
      <c r="G47" s="370"/>
      <c r="H47" s="370"/>
      <c r="I47" s="380"/>
      <c r="J47" s="380"/>
      <c r="K47" s="381"/>
      <c r="L47" s="308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</row>
    <row r="48" spans="1:28" ht="15" customHeight="1">
      <c r="A48" s="368"/>
      <c r="B48" s="368"/>
      <c r="C48" s="368"/>
      <c r="D48" s="368"/>
      <c r="E48" s="368"/>
      <c r="F48" s="1053" t="s">
        <v>3298</v>
      </c>
      <c r="G48" s="1053"/>
      <c r="H48" s="370"/>
      <c r="I48" s="380"/>
      <c r="J48" s="380"/>
      <c r="K48" s="381">
        <f>K46*12.5/100</f>
        <v>10619446.25</v>
      </c>
      <c r="L48" s="396">
        <v>45187</v>
      </c>
      <c r="M48" s="256" t="s">
        <v>3330</v>
      </c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</row>
    <row r="49" spans="4:28" ht="15.75" customHeight="1"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</row>
    <row r="50" spans="4:28" ht="15.75" customHeight="1"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</row>
    <row r="51" spans="4:28" ht="15.75" customHeight="1"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</row>
    <row r="52" spans="4:28" ht="15.75" customHeight="1">
      <c r="D52" s="1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</row>
    <row r="53" spans="4:28" ht="15.75" customHeight="1">
      <c r="D53" s="1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</row>
    <row r="54" spans="4:28" ht="15.75" customHeight="1">
      <c r="D54" s="1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</row>
    <row r="55" spans="4:28" ht="15.75" customHeight="1">
      <c r="D55" s="1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</row>
    <row r="56" spans="4:28" ht="15.75" customHeight="1">
      <c r="D56" s="1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</row>
    <row r="57" spans="4:28" ht="15.75" customHeight="1">
      <c r="D57" s="1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</row>
    <row r="58" spans="4:28" ht="15.75" customHeight="1">
      <c r="D58" s="1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</row>
    <row r="59" spans="4:28" ht="15.75" customHeight="1">
      <c r="D59" s="1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</row>
    <row r="60" spans="4:28" ht="15.75" customHeight="1">
      <c r="D60" s="1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</row>
    <row r="61" spans="4:28" ht="15.75" customHeight="1">
      <c r="D61" s="1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</row>
    <row r="62" spans="4:28" ht="15.75" customHeight="1">
      <c r="D62" s="1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</row>
    <row r="63" spans="4:28" ht="15.75" customHeight="1">
      <c r="D63" s="1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</row>
    <row r="64" spans="4:28" ht="15.75" customHeight="1">
      <c r="D64" s="1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</row>
    <row r="65" spans="4:28" ht="15.75" customHeight="1">
      <c r="D65" s="1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</row>
    <row r="66" spans="4:28" ht="15.75" customHeight="1">
      <c r="D66" s="1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</row>
    <row r="67" spans="4:28" ht="15.75" customHeight="1">
      <c r="D67" s="1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</row>
    <row r="68" spans="4:28" ht="15.75" customHeight="1"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</row>
    <row r="69" spans="4:28" ht="15.75" customHeight="1"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</row>
    <row r="70" spans="4:28" ht="15.75" customHeight="1"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</row>
    <row r="71" spans="4:28" ht="15.75" customHeight="1"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</row>
    <row r="72" spans="4:28" ht="15.75" customHeight="1"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</row>
    <row r="73" spans="4:28" ht="15.75" customHeight="1"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</row>
    <row r="74" spans="4:28" ht="15.75" customHeight="1"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</row>
    <row r="75" spans="4:28" ht="15.75" customHeight="1"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</row>
    <row r="76" spans="4:28" ht="15.75" customHeight="1"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</row>
    <row r="77" spans="4:28" ht="15.75" customHeight="1"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</row>
    <row r="78" spans="4:28" ht="15.75" customHeight="1"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</row>
    <row r="79" spans="4:28" ht="15.75" customHeight="1"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</row>
    <row r="80" spans="4:28" ht="15.75" customHeight="1"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</row>
    <row r="81" spans="12:28" ht="15.75" customHeight="1"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</row>
    <row r="82" spans="12:28" ht="15.75" customHeight="1"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</row>
    <row r="83" spans="12:28" ht="15.75" customHeight="1"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</row>
    <row r="84" spans="12:28" ht="15.75" customHeight="1"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</row>
    <row r="85" spans="12:28" ht="15.75" customHeight="1"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</row>
    <row r="86" spans="12:28" ht="15.75" customHeight="1"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</row>
    <row r="87" spans="12:28" ht="15.75" customHeight="1"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</row>
    <row r="88" spans="12:28" ht="15.75" customHeight="1"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</row>
    <row r="89" spans="12:28" ht="15.75" customHeight="1"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</row>
    <row r="90" spans="12:28" ht="15.75" customHeight="1"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</row>
    <row r="91" spans="12:28" ht="15.75" customHeight="1"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</row>
    <row r="92" spans="12:28" ht="15.75" customHeight="1"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</row>
    <row r="93" spans="12:28" ht="15.75" customHeight="1"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</row>
    <row r="94" spans="12:28" ht="15.75" customHeight="1"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</row>
    <row r="95" spans="12:28" ht="15.75" customHeight="1"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</row>
    <row r="96" spans="12:28" ht="15.75" customHeight="1"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</row>
    <row r="97" spans="12:28" ht="15.75" customHeight="1"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</row>
    <row r="98" spans="12:28" ht="15.75" customHeight="1"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</row>
    <row r="99" spans="12:28" ht="15.75" customHeight="1"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</row>
    <row r="100" spans="12:28" ht="15.75" customHeight="1"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</row>
    <row r="101" spans="12:28" ht="15.75" customHeight="1"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</row>
    <row r="102" spans="12:28" ht="15.75" customHeight="1"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</row>
    <row r="103" spans="12:28" ht="15.75" customHeight="1"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</row>
    <row r="104" spans="12:28" ht="15.75" customHeight="1"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</row>
    <row r="105" spans="12:28" ht="15.75" customHeight="1"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</row>
    <row r="106" spans="12:28" ht="15.75" customHeight="1"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</row>
    <row r="107" spans="12:28" ht="15.75" customHeight="1"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</row>
    <row r="108" spans="12:28" ht="15.75" customHeight="1"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</row>
    <row r="109" spans="12:28" ht="15.75" customHeight="1"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</row>
    <row r="110" spans="12:28" ht="15.75" customHeight="1"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</row>
    <row r="111" spans="12:28" ht="15.75" customHeight="1"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</row>
    <row r="112" spans="12:28" ht="15.75" customHeight="1"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</row>
    <row r="113" spans="12:28" ht="15.75" customHeight="1"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</row>
    <row r="114" spans="12:28" ht="15.75" customHeight="1"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</row>
    <row r="115" spans="12:28" ht="15.75" customHeight="1"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</row>
    <row r="116" spans="12:28" ht="15.75" customHeight="1"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</row>
    <row r="117" spans="12:28" ht="15.75" customHeight="1"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</row>
    <row r="118" spans="12:28" ht="15.75" customHeight="1"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</row>
    <row r="119" spans="12:28" ht="15.75" customHeight="1"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</row>
    <row r="120" spans="12:28" ht="15.75" customHeight="1"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</row>
    <row r="121" spans="12:28" ht="15.75" customHeight="1"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</row>
    <row r="122" spans="12:28" ht="15.75" customHeight="1"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</row>
    <row r="123" spans="12:28" ht="15.75" customHeight="1"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</row>
    <row r="124" spans="12:28" ht="15.75" customHeight="1"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</row>
    <row r="125" spans="12:28" ht="15.75" customHeight="1"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</row>
    <row r="126" spans="12:28" ht="15.75" customHeight="1"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</row>
    <row r="127" spans="12:28" ht="15.75" customHeight="1"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</row>
    <row r="128" spans="12:28" ht="15.75" customHeight="1"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</row>
    <row r="129" spans="12:28" ht="15.75" customHeight="1"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</row>
    <row r="130" spans="12:28" ht="15.75" customHeight="1"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</row>
    <row r="131" spans="12:28" ht="15.75" customHeight="1"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</row>
    <row r="132" spans="12:28" ht="15.75" customHeight="1"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</row>
    <row r="133" spans="12:28" ht="15.75" customHeight="1"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</row>
    <row r="134" spans="12:28" ht="15.75" customHeight="1"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</row>
    <row r="135" spans="12:28" ht="15.75" customHeight="1"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</row>
    <row r="136" spans="12:28" ht="15.75" customHeight="1"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</row>
    <row r="137" spans="12:28" ht="15.75" customHeight="1"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  <c r="AB137" s="256"/>
    </row>
    <row r="138" spans="12:28" ht="15.75" customHeight="1"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</row>
    <row r="139" spans="12:28" ht="15.75" customHeight="1"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</row>
    <row r="140" spans="12:28" ht="15.75" customHeight="1"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  <c r="AB140" s="256"/>
    </row>
    <row r="141" spans="12:28" ht="15.75" customHeight="1"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  <c r="AB141" s="256"/>
    </row>
    <row r="142" spans="12:28" ht="15.75" customHeight="1"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  <c r="AB142" s="256"/>
    </row>
    <row r="143" spans="12:28" ht="15.75" customHeight="1"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</row>
    <row r="144" spans="12:28" ht="15.75" customHeight="1"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</row>
    <row r="145" spans="12:28" ht="15.75" customHeight="1"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  <c r="AB145" s="256"/>
    </row>
    <row r="146" spans="12:28" ht="15.75" customHeight="1"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  <c r="AB146" s="256"/>
    </row>
    <row r="147" spans="12:28" ht="15.75" customHeight="1"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</row>
    <row r="148" spans="12:28" ht="15.75" customHeight="1"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</row>
    <row r="149" spans="12:28" ht="15.75" customHeight="1"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</row>
    <row r="150" spans="12:28" ht="15.75" customHeight="1"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  <c r="AB150" s="256"/>
    </row>
    <row r="151" spans="12:28" ht="15.75" customHeight="1"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  <c r="AA151" s="256"/>
      <c r="AB151" s="256"/>
    </row>
    <row r="152" spans="12:28" ht="15.75" customHeight="1"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  <c r="AB152" s="256"/>
    </row>
    <row r="153" spans="12:28" ht="15.75" customHeight="1"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</row>
    <row r="154" spans="12:28" ht="15.75" customHeight="1"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</row>
    <row r="155" spans="12:28" ht="15.75" customHeight="1"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</row>
    <row r="156" spans="12:28" ht="15.75" customHeight="1"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  <c r="AA156" s="256"/>
      <c r="AB156" s="256"/>
    </row>
    <row r="157" spans="12:28" ht="15.75" customHeight="1"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  <c r="AA157" s="256"/>
      <c r="AB157" s="256"/>
    </row>
    <row r="158" spans="12:28" ht="15.75" customHeight="1"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  <c r="AB158" s="256"/>
    </row>
    <row r="159" spans="12:28" ht="15.75" customHeight="1"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  <c r="AB159" s="256"/>
    </row>
    <row r="160" spans="12:28" ht="15.75" customHeight="1"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  <c r="AB160" s="256"/>
    </row>
    <row r="161" spans="12:28" ht="15.75" customHeight="1"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  <c r="AB161" s="256"/>
    </row>
    <row r="162" spans="12:28" ht="15.75" customHeight="1"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  <c r="AA162" s="256"/>
      <c r="AB162" s="256"/>
    </row>
    <row r="163" spans="12:28" ht="15.75" customHeight="1"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  <c r="AB163" s="256"/>
    </row>
    <row r="164" spans="12:28" ht="15.75" customHeight="1"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  <c r="AB164" s="256"/>
    </row>
    <row r="165" spans="12:28" ht="15.75" customHeight="1"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  <c r="AB165" s="256"/>
    </row>
    <row r="166" spans="12:28" ht="15.75" customHeight="1"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  <c r="AA166" s="256"/>
      <c r="AB166" s="256"/>
    </row>
    <row r="167" spans="12:28" ht="15.75" customHeight="1"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  <c r="AA167" s="256"/>
      <c r="AB167" s="256"/>
    </row>
    <row r="168" spans="12:28" ht="15.75" customHeight="1"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  <c r="AA168" s="256"/>
      <c r="AB168" s="256"/>
    </row>
    <row r="169" spans="12:28" ht="15.75" customHeight="1"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  <c r="AA169" s="256"/>
      <c r="AB169" s="256"/>
    </row>
    <row r="170" spans="12:28" ht="15.75" customHeight="1"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  <c r="AB170" s="256"/>
    </row>
    <row r="171" spans="12:28" ht="15.75" customHeight="1"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</row>
    <row r="172" spans="12:28" ht="15.75" customHeight="1"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  <c r="AB172" s="256"/>
    </row>
    <row r="173" spans="12:28" ht="15.75" customHeight="1"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  <c r="AB173" s="256"/>
    </row>
    <row r="174" spans="12:28" ht="15.75" customHeight="1"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</row>
    <row r="175" spans="12:28" ht="15.75" customHeight="1"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</row>
    <row r="176" spans="12:28" ht="15.75" customHeight="1"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  <c r="AB176" s="256"/>
    </row>
    <row r="177" spans="12:28" ht="15.75" customHeight="1"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  <c r="AB177" s="256"/>
    </row>
    <row r="178" spans="12:28" ht="15.75" customHeight="1"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  <c r="AA178" s="256"/>
      <c r="AB178" s="256"/>
    </row>
    <row r="179" spans="12:28" ht="15.75" customHeight="1"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  <c r="AA179" s="256"/>
      <c r="AB179" s="256"/>
    </row>
    <row r="180" spans="12:28" ht="15.75" customHeight="1"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  <c r="AB180" s="256"/>
    </row>
    <row r="181" spans="12:28" ht="15.75" customHeight="1"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  <c r="AA181" s="256"/>
      <c r="AB181" s="256"/>
    </row>
    <row r="182" spans="12:28" ht="15.75" customHeight="1"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  <c r="AA182" s="256"/>
      <c r="AB182" s="256"/>
    </row>
    <row r="183" spans="12:28" ht="15.75" customHeight="1"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  <c r="AB183" s="256"/>
    </row>
    <row r="184" spans="12:28" ht="15.75" customHeight="1"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  <c r="AA184" s="256"/>
      <c r="AB184" s="256"/>
    </row>
    <row r="185" spans="12:28" ht="15.75" customHeight="1"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  <c r="AB185" s="256"/>
    </row>
    <row r="186" spans="12:28" ht="15.75" customHeight="1"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  <c r="AB186" s="256"/>
    </row>
    <row r="187" spans="12:28" ht="15.75" customHeight="1"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  <c r="AB187" s="256"/>
    </row>
    <row r="188" spans="12:28" ht="15.75" customHeight="1"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  <c r="AB188" s="256"/>
    </row>
    <row r="189" spans="12:28" ht="15.75" customHeight="1"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  <c r="AA189" s="256"/>
      <c r="AB189" s="256"/>
    </row>
    <row r="190" spans="12:28" ht="15.75" customHeight="1"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  <c r="AA190" s="256"/>
      <c r="AB190" s="256"/>
    </row>
    <row r="191" spans="12:28" ht="15.75" customHeight="1"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  <c r="AA191" s="256"/>
      <c r="AB191" s="256"/>
    </row>
    <row r="192" spans="12:28" ht="15.75" customHeight="1"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  <c r="AA192" s="256"/>
      <c r="AB192" s="256"/>
    </row>
    <row r="193" spans="12:28" ht="15.75" customHeight="1"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  <c r="AA193" s="256"/>
      <c r="AB193" s="256"/>
    </row>
    <row r="194" spans="12:28" ht="15.75" customHeight="1"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  <c r="AA194" s="256"/>
      <c r="AB194" s="256"/>
    </row>
    <row r="195" spans="12:28" ht="15.75" customHeight="1"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  <c r="AA195" s="256"/>
      <c r="AB195" s="256"/>
    </row>
    <row r="196" spans="12:28" ht="15.75" customHeight="1"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  <c r="AA196" s="256"/>
      <c r="AB196" s="256"/>
    </row>
    <row r="197" spans="12:28" ht="15.75" customHeight="1"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  <c r="AA197" s="256"/>
      <c r="AB197" s="256"/>
    </row>
    <row r="198" spans="12:28" ht="15.75" customHeight="1"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  <c r="AA198" s="256"/>
      <c r="AB198" s="256"/>
    </row>
    <row r="199" spans="12:28" ht="15.75" customHeight="1"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  <c r="AA199" s="256"/>
      <c r="AB199" s="256"/>
    </row>
    <row r="200" spans="12:28" ht="15.75" customHeight="1"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  <c r="AB200" s="256"/>
    </row>
    <row r="201" spans="12:28" ht="15.75" customHeight="1"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  <c r="AA201" s="256"/>
      <c r="AB201" s="256"/>
    </row>
    <row r="202" spans="12:28" ht="15.75" customHeight="1"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  <c r="AA202" s="256"/>
      <c r="AB202" s="256"/>
    </row>
    <row r="203" spans="12:28" ht="15.75" customHeight="1"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  <c r="AA203" s="256"/>
      <c r="AB203" s="256"/>
    </row>
    <row r="204" spans="12:28" ht="15.75" customHeight="1"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  <c r="AA204" s="256"/>
      <c r="AB204" s="256"/>
    </row>
    <row r="205" spans="12:28" ht="15.75" customHeight="1"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  <c r="AB205" s="256"/>
    </row>
    <row r="206" spans="12:28" ht="15.75" customHeight="1"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  <c r="AA206" s="256"/>
      <c r="AB206" s="256"/>
    </row>
    <row r="207" spans="12:28" ht="15.75" customHeight="1"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  <c r="AA207" s="256"/>
      <c r="AB207" s="256"/>
    </row>
    <row r="208" spans="12:28" ht="15.75" customHeight="1"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  <c r="AA208" s="256"/>
      <c r="AB208" s="256"/>
    </row>
    <row r="209" spans="12:28" ht="15.75" customHeight="1"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  <c r="AA209" s="256"/>
      <c r="AB209" s="256"/>
    </row>
    <row r="210" spans="12:28" ht="15.75" customHeight="1"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  <c r="AA210" s="256"/>
      <c r="AB210" s="256"/>
    </row>
    <row r="211" spans="12:28" ht="15.75" customHeight="1"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  <c r="AA211" s="256"/>
      <c r="AB211" s="256"/>
    </row>
    <row r="212" spans="12:28" ht="15.75" customHeight="1"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  <c r="AA212" s="256"/>
      <c r="AB212" s="256"/>
    </row>
    <row r="213" spans="12:28" ht="15.75" customHeight="1"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  <c r="AA213" s="256"/>
      <c r="AB213" s="256"/>
    </row>
    <row r="214" spans="12:28" ht="15.75" customHeight="1"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  <c r="AA214" s="256"/>
      <c r="AB214" s="256"/>
    </row>
    <row r="215" spans="12:28" ht="15.75" customHeight="1"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  <c r="AA215" s="256"/>
      <c r="AB215" s="256"/>
    </row>
    <row r="216" spans="12:28" ht="15.75" customHeight="1"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  <c r="AA216" s="256"/>
      <c r="AB216" s="256"/>
    </row>
    <row r="217" spans="12:28" ht="15.75" customHeight="1"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  <c r="AA217" s="256"/>
      <c r="AB217" s="256"/>
    </row>
    <row r="218" spans="12:28" ht="15.75" customHeight="1"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  <c r="AA218" s="256"/>
      <c r="AB218" s="256"/>
    </row>
    <row r="219" spans="12:28" ht="15.75" customHeight="1"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  <c r="AB219" s="256"/>
    </row>
    <row r="220" spans="12:28" ht="15.75" customHeight="1"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  <c r="AB220" s="256"/>
    </row>
    <row r="221" spans="12:28" ht="15.75" customHeight="1"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  <c r="AA221" s="256"/>
      <c r="AB221" s="256"/>
    </row>
    <row r="222" spans="12:28" ht="15.75" customHeight="1"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  <c r="AA222" s="256"/>
      <c r="AB222" s="256"/>
    </row>
    <row r="223" spans="12:28" ht="15.75" customHeight="1"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  <c r="AB223" s="256"/>
    </row>
    <row r="224" spans="12:28" ht="15.75" customHeight="1"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  <c r="AB224" s="256"/>
    </row>
    <row r="225" spans="12:28" ht="15.75" customHeight="1"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  <c r="AB225" s="256"/>
    </row>
    <row r="226" spans="12:28" ht="15.75" customHeight="1"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  <c r="AA226" s="256"/>
      <c r="AB226" s="256"/>
    </row>
    <row r="227" spans="12:28" ht="15.75" customHeight="1"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  <c r="AB227" s="256"/>
    </row>
    <row r="228" spans="12:28" ht="15.75" customHeight="1"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  <c r="AB228" s="256"/>
    </row>
    <row r="229" spans="12:28" ht="15.75" customHeight="1"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  <c r="AB229" s="256"/>
    </row>
    <row r="230" spans="12:28" ht="15.75" customHeight="1"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  <c r="AB230" s="256"/>
    </row>
    <row r="231" spans="12:28" ht="15.75" customHeight="1"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  <c r="AB231" s="256"/>
    </row>
    <row r="232" spans="12:28" ht="15.75" customHeight="1"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  <c r="AA232" s="256"/>
      <c r="AB232" s="256"/>
    </row>
    <row r="233" spans="12:28" ht="15.75" customHeight="1"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  <c r="AA233" s="256"/>
      <c r="AB233" s="256"/>
    </row>
    <row r="234" spans="12:28" ht="15.75" customHeight="1"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  <c r="AA234" s="256"/>
      <c r="AB234" s="256"/>
    </row>
    <row r="235" spans="12:28" ht="15.75" customHeight="1"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  <c r="AB235" s="256"/>
    </row>
    <row r="236" spans="12:28" ht="15.75" customHeight="1"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  <c r="AA236" s="256"/>
      <c r="AB236" s="256"/>
    </row>
    <row r="237" spans="12:28" ht="15.75" customHeight="1"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  <c r="AB237" s="256"/>
    </row>
    <row r="238" spans="12:28" ht="15.75" customHeight="1"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  <c r="AB238" s="256"/>
    </row>
    <row r="239" spans="12:28" ht="15.75" customHeight="1"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  <c r="AB239" s="256"/>
    </row>
    <row r="240" spans="12:28" ht="15.75" customHeight="1"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  <c r="AB240" s="256"/>
    </row>
    <row r="241" spans="12:28" ht="15.75" customHeight="1"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  <c r="AA241" s="256"/>
      <c r="AB241" s="256"/>
    </row>
    <row r="242" spans="12:28" ht="15.75" customHeight="1"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  <c r="AB242" s="256"/>
    </row>
    <row r="243" spans="12:28" ht="15.75" customHeight="1"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  <c r="AB243" s="256"/>
    </row>
    <row r="244" spans="12:28" ht="15.75" customHeight="1"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  <c r="AA244" s="256"/>
      <c r="AB244" s="256"/>
    </row>
    <row r="245" spans="12:28" ht="15.75" customHeight="1"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  <c r="AA245" s="256"/>
      <c r="AB245" s="256"/>
    </row>
    <row r="246" spans="12:28" ht="15.75" customHeight="1"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  <c r="AA246" s="256"/>
      <c r="AB246" s="256"/>
    </row>
    <row r="247" spans="12:28" ht="15.75" customHeight="1"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  <c r="AB247" s="256"/>
    </row>
    <row r="248" spans="12:28" ht="15.75" customHeight="1"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  <c r="AA248" s="256"/>
      <c r="AB248" s="256"/>
    </row>
    <row r="249" spans="12:28" ht="15.75" customHeight="1"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  <c r="AB249" s="256"/>
    </row>
    <row r="250" spans="12:28" ht="15.75" customHeight="1"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  <c r="AA250" s="256"/>
      <c r="AB250" s="256"/>
    </row>
    <row r="251" spans="12:28" ht="15.75" customHeight="1"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  <c r="AB251" s="256"/>
    </row>
    <row r="252" spans="12:28" ht="15.75" customHeight="1"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  <c r="AA252" s="256"/>
      <c r="AB252" s="256"/>
    </row>
    <row r="253" spans="12:28" ht="15.75" customHeight="1"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  <c r="AA253" s="256"/>
      <c r="AB253" s="256"/>
    </row>
    <row r="254" spans="12:28" ht="15.75" customHeight="1"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  <c r="AA254" s="256"/>
      <c r="AB254" s="256"/>
    </row>
    <row r="255" spans="12:28" ht="15.75" customHeight="1"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  <c r="AA255" s="256"/>
      <c r="AB255" s="256"/>
    </row>
    <row r="256" spans="12:28" ht="15.75" customHeight="1"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  <c r="AA256" s="256"/>
      <c r="AB256" s="256"/>
    </row>
    <row r="257" spans="12:28" ht="15.75" customHeight="1"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  <c r="AB257" s="256"/>
    </row>
    <row r="258" spans="12:28" ht="15.75" customHeight="1"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  <c r="AA258" s="256"/>
      <c r="AB258" s="256"/>
    </row>
    <row r="259" spans="12:28" ht="15.75" customHeight="1"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  <c r="AB259" s="256"/>
    </row>
    <row r="260" spans="12:28" ht="15.75" customHeight="1"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  <c r="AB260" s="256"/>
    </row>
    <row r="261" spans="12:28" ht="15.75" customHeight="1"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  <c r="AB261" s="256"/>
    </row>
    <row r="262" spans="12:28" ht="15.75" customHeight="1"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  <c r="AB262" s="256"/>
    </row>
    <row r="263" spans="12:28" ht="15.75" customHeight="1"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  <c r="AB263" s="256"/>
    </row>
    <row r="264" spans="12:28" ht="15.75" customHeight="1"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  <c r="AB264" s="256"/>
    </row>
    <row r="265" spans="12:28" ht="15.75" customHeight="1"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  <c r="AB265" s="256"/>
    </row>
    <row r="266" spans="12:28" ht="15.75" customHeight="1"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  <c r="AA266" s="256"/>
      <c r="AB266" s="256"/>
    </row>
    <row r="267" spans="12:28" ht="15.75" customHeight="1"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  <c r="AA267" s="256"/>
      <c r="AB267" s="256"/>
    </row>
    <row r="268" spans="12:28" ht="15.75" customHeight="1"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  <c r="AA268" s="256"/>
      <c r="AB268" s="256"/>
    </row>
    <row r="269" spans="12:28" ht="15.75" customHeight="1"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  <c r="AB269" s="256"/>
    </row>
    <row r="270" spans="12:28" ht="15.75" customHeight="1"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  <c r="AB270" s="256"/>
    </row>
    <row r="271" spans="12:28" ht="15.75" customHeight="1"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  <c r="AA271" s="256"/>
      <c r="AB271" s="256"/>
    </row>
    <row r="272" spans="12:28" ht="15.75" customHeight="1"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  <c r="AB272" s="256"/>
    </row>
    <row r="273" spans="12:28" ht="15.75" customHeight="1"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  <c r="AA273" s="256"/>
      <c r="AB273" s="256"/>
    </row>
    <row r="274" spans="12:28" ht="15.75" customHeight="1"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  <c r="AB274" s="256"/>
    </row>
    <row r="275" spans="12:28" ht="15.75" customHeight="1"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  <c r="AA275" s="256"/>
      <c r="AB275" s="256"/>
    </row>
    <row r="276" spans="12:28" ht="15.75" customHeight="1"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  <c r="AB276" s="256"/>
    </row>
    <row r="277" spans="12:28" ht="15.75" customHeight="1"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  <c r="AA277" s="256"/>
      <c r="AB277" s="256"/>
    </row>
    <row r="278" spans="12:28" ht="15.75" customHeight="1"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  <c r="AA278" s="256"/>
      <c r="AB278" s="256"/>
    </row>
    <row r="279" spans="12:28" ht="15.75" customHeight="1"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  <c r="AA279" s="256"/>
      <c r="AB279" s="256"/>
    </row>
    <row r="280" spans="12:28" ht="15.75" customHeight="1"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  <c r="AA280" s="256"/>
      <c r="AB280" s="256"/>
    </row>
    <row r="281" spans="12:28" ht="15.75" customHeight="1"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  <c r="AA281" s="256"/>
      <c r="AB281" s="256"/>
    </row>
    <row r="282" spans="12:28" ht="15.75" customHeight="1"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  <c r="AA282" s="256"/>
      <c r="AB282" s="256"/>
    </row>
    <row r="283" spans="12:28" ht="15.75" customHeight="1"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  <c r="AA283" s="256"/>
      <c r="AB283" s="256"/>
    </row>
    <row r="284" spans="12:28" ht="15.75" customHeight="1"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  <c r="AA284" s="256"/>
      <c r="AB284" s="256"/>
    </row>
    <row r="285" spans="12:28" ht="15.75" customHeight="1"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  <c r="AB285" s="256"/>
    </row>
    <row r="286" spans="12:28" ht="15.75" customHeight="1"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  <c r="AB286" s="256"/>
    </row>
    <row r="287" spans="12:28" ht="15.75" customHeight="1"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  <c r="AB287" s="256"/>
    </row>
    <row r="288" spans="12:28" ht="15.75" customHeight="1"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  <c r="AA288" s="256"/>
      <c r="AB288" s="256"/>
    </row>
    <row r="289" spans="12:28" ht="15.75" customHeight="1"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  <c r="AB289" s="256"/>
    </row>
    <row r="290" spans="12:28" ht="15.75" customHeight="1"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  <c r="AA290" s="256"/>
      <c r="AB290" s="256"/>
    </row>
    <row r="291" spans="12:28" ht="15.75" customHeight="1"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  <c r="AB291" s="256"/>
    </row>
    <row r="292" spans="12:28" ht="15.75" customHeight="1"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  <c r="AA292" s="256"/>
      <c r="AB292" s="256"/>
    </row>
    <row r="293" spans="12:28" ht="15.75" customHeight="1"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  <c r="AB293" s="256"/>
    </row>
    <row r="294" spans="12:28" ht="15.75" customHeight="1"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  <c r="AB294" s="256"/>
    </row>
    <row r="295" spans="12:28" ht="15.75" customHeight="1"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  <c r="AB295" s="256"/>
    </row>
    <row r="296" spans="12:28" ht="15.75" customHeight="1"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  <c r="AA296" s="256"/>
      <c r="AB296" s="256"/>
    </row>
    <row r="297" spans="12:28" ht="15.75" customHeight="1"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  <c r="AB297" s="256"/>
    </row>
    <row r="298" spans="12:28" ht="15.75" customHeight="1"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  <c r="AA298" s="256"/>
      <c r="AB298" s="256"/>
    </row>
    <row r="299" spans="12:28" ht="15.75" customHeight="1"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  <c r="AA299" s="256"/>
      <c r="AB299" s="256"/>
    </row>
    <row r="300" spans="12:28" ht="15.75" customHeight="1"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  <c r="AA300" s="256"/>
      <c r="AB300" s="256"/>
    </row>
    <row r="301" spans="12:28" ht="15.75" customHeight="1"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  <c r="AA301" s="256"/>
      <c r="AB301" s="256"/>
    </row>
    <row r="302" spans="12:28" ht="15.75" customHeight="1"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  <c r="AA302" s="256"/>
      <c r="AB302" s="256"/>
    </row>
    <row r="303" spans="12:28" ht="15.75" customHeight="1"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  <c r="AB303" s="256"/>
    </row>
    <row r="304" spans="12:28" ht="15.75" customHeight="1"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  <c r="AA304" s="256"/>
      <c r="AB304" s="256"/>
    </row>
    <row r="305" spans="12:28" ht="15.75" customHeight="1"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  <c r="AA305" s="256"/>
      <c r="AB305" s="256"/>
    </row>
    <row r="306" spans="12:28" ht="15.75" customHeight="1"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  <c r="AB306" s="256"/>
    </row>
    <row r="307" spans="12:28" ht="15.75" customHeight="1"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  <c r="AB307" s="256"/>
    </row>
    <row r="308" spans="12:28" ht="15.75" customHeight="1"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  <c r="AB308" s="256"/>
    </row>
    <row r="309" spans="12:28" ht="15.75" customHeight="1"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  <c r="AB309" s="256"/>
    </row>
    <row r="310" spans="12:28" ht="15.75" customHeight="1"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  <c r="AA310" s="256"/>
      <c r="AB310" s="256"/>
    </row>
    <row r="311" spans="12:28" ht="15.75" customHeight="1"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  <c r="AA311" s="256"/>
      <c r="AB311" s="256"/>
    </row>
    <row r="312" spans="12:28" ht="15.75" customHeight="1"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  <c r="AA312" s="256"/>
      <c r="AB312" s="256"/>
    </row>
    <row r="313" spans="12:28" ht="15.75" customHeight="1"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  <c r="AA313" s="256"/>
      <c r="AB313" s="256"/>
    </row>
    <row r="314" spans="12:28" ht="15.75" customHeight="1"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  <c r="AA314" s="256"/>
      <c r="AB314" s="256"/>
    </row>
    <row r="315" spans="12:28" ht="15.75" customHeight="1"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  <c r="AA315" s="256"/>
      <c r="AB315" s="256"/>
    </row>
    <row r="316" spans="12:28" ht="15.75" customHeight="1"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  <c r="AB316" s="256"/>
    </row>
    <row r="317" spans="12:28" ht="15.75" customHeight="1"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  <c r="AB317" s="256"/>
    </row>
    <row r="318" spans="12:28" ht="15.75" customHeight="1"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  <c r="AB318" s="256"/>
    </row>
    <row r="319" spans="12:28" ht="15.75" customHeight="1"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  <c r="AB319" s="256"/>
    </row>
    <row r="320" spans="12:28" ht="15.75" customHeight="1"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  <c r="AB320" s="256"/>
    </row>
    <row r="321" spans="12:28" ht="15.75" customHeight="1"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  <c r="AB321" s="256"/>
    </row>
    <row r="322" spans="12:28" ht="15.75" customHeight="1"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  <c r="AB322" s="256"/>
    </row>
    <row r="323" spans="12:28" ht="15.75" customHeight="1"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  <c r="AB323" s="256"/>
    </row>
    <row r="324" spans="12:28" ht="15.75" customHeight="1"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  <c r="AB324" s="256"/>
    </row>
    <row r="325" spans="12:28" ht="15.75" customHeight="1"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  <c r="AB325" s="256"/>
    </row>
    <row r="326" spans="12:28" ht="15.75" customHeight="1"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  <c r="AB326" s="256"/>
    </row>
    <row r="327" spans="12:28" ht="15.75" customHeight="1"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  <c r="AB327" s="256"/>
    </row>
    <row r="328" spans="12:28" ht="15.75" customHeight="1"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  <c r="AB328" s="256"/>
    </row>
    <row r="329" spans="12:28" ht="15.75" customHeight="1"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  <c r="AB329" s="256"/>
    </row>
    <row r="330" spans="12:28" ht="15.75" customHeight="1"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  <c r="AB330" s="256"/>
    </row>
    <row r="331" spans="12:28" ht="15.75" customHeight="1"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  <c r="AB331" s="256"/>
    </row>
    <row r="332" spans="12:28" ht="15.75" customHeight="1"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  <c r="AB332" s="256"/>
    </row>
    <row r="333" spans="12:28" ht="15.75" customHeight="1"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  <c r="AB333" s="256"/>
    </row>
    <row r="334" spans="12:28" ht="15.75" customHeight="1"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  <c r="AB334" s="256"/>
    </row>
    <row r="335" spans="12:28" ht="15.75" customHeight="1"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  <c r="AB335" s="256"/>
    </row>
    <row r="336" spans="12:28" ht="15.75" customHeight="1"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  <c r="AB336" s="256"/>
    </row>
    <row r="337" spans="12:28" ht="15.75" customHeight="1"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</row>
    <row r="338" spans="12:28" ht="15.75" customHeight="1"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  <c r="AB338" s="256"/>
    </row>
    <row r="339" spans="12:28" ht="15.75" customHeight="1"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</row>
    <row r="340" spans="12:28" ht="15.75" customHeight="1"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</row>
    <row r="341" spans="12:28" ht="15.75" customHeight="1"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</row>
    <row r="342" spans="12:28" ht="15.75" customHeight="1"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  <c r="AB342" s="256"/>
    </row>
    <row r="343" spans="12:28" ht="15.75" customHeight="1"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  <c r="AB343" s="256"/>
    </row>
    <row r="344" spans="12:28" ht="15.75" customHeight="1"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  <c r="AB344" s="256"/>
    </row>
    <row r="345" spans="12:28" ht="15.75" customHeight="1"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  <c r="AB345" s="256"/>
    </row>
    <row r="346" spans="12:28" ht="15.75" customHeight="1"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  <c r="AB346" s="256"/>
    </row>
    <row r="347" spans="12:28" ht="15.75" customHeight="1"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  <c r="AB347" s="256"/>
    </row>
    <row r="348" spans="12:28" ht="15.75" customHeight="1"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  <c r="AB348" s="256"/>
    </row>
    <row r="349" spans="12:28" ht="15.75" customHeight="1"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  <c r="AB349" s="256"/>
    </row>
    <row r="350" spans="12:28" ht="15.75" customHeight="1"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  <c r="AB350" s="256"/>
    </row>
    <row r="351" spans="12:28" ht="15.75" customHeight="1"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  <c r="AB351" s="256"/>
    </row>
    <row r="352" spans="12:28" ht="15.75" customHeight="1"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  <c r="AB352" s="256"/>
    </row>
    <row r="353" spans="12:28" ht="15.75" customHeight="1"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  <c r="AB353" s="256"/>
    </row>
    <row r="354" spans="12:28" ht="15.75" customHeight="1"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  <c r="AB354" s="256"/>
    </row>
    <row r="355" spans="12:28" ht="15.75" customHeight="1"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  <c r="AB355" s="256"/>
    </row>
    <row r="356" spans="12:28" ht="15.75" customHeight="1"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  <c r="AB356" s="256"/>
    </row>
    <row r="357" spans="12:28" ht="15.75" customHeight="1"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  <c r="AB357" s="256"/>
    </row>
    <row r="358" spans="12:28" ht="15.75" customHeight="1"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  <c r="AB358" s="256"/>
    </row>
    <row r="359" spans="12:28" ht="15.75" customHeight="1"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  <c r="AB359" s="256"/>
    </row>
    <row r="360" spans="12:28" ht="15.75" customHeight="1"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  <c r="AB360" s="256"/>
    </row>
    <row r="361" spans="12:28" ht="15.75" customHeight="1"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  <c r="AB361" s="256"/>
    </row>
    <row r="362" spans="12:28" ht="15.75" customHeight="1"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  <c r="AB362" s="256"/>
    </row>
    <row r="363" spans="12:28" ht="15.75" customHeight="1"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  <c r="AB363" s="256"/>
    </row>
    <row r="364" spans="12:28" ht="15.75" customHeight="1"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  <c r="AB364" s="256"/>
    </row>
    <row r="365" spans="12:28" ht="15.75" customHeight="1"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</row>
    <row r="366" spans="12:28" ht="15.75" customHeight="1"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  <c r="AB366" s="256"/>
    </row>
    <row r="367" spans="12:28" ht="15.75" customHeight="1"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  <c r="AB367" s="256"/>
    </row>
    <row r="368" spans="12:28" ht="15.75" customHeight="1"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  <c r="AB368" s="256"/>
    </row>
    <row r="369" spans="12:28" ht="15.75" customHeight="1"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  <c r="AB369" s="256"/>
    </row>
    <row r="370" spans="12:28" ht="15.75" customHeight="1"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  <c r="AB370" s="256"/>
    </row>
    <row r="371" spans="12:28" ht="15.75" customHeight="1"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  <c r="AB371" s="256"/>
    </row>
    <row r="372" spans="12:28" ht="15.75" customHeight="1"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  <c r="AB372" s="256"/>
    </row>
    <row r="373" spans="12:28" ht="15.75" customHeight="1"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  <c r="AB373" s="256"/>
    </row>
    <row r="374" spans="12:28" ht="15.75" customHeight="1"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  <c r="AB374" s="256"/>
    </row>
    <row r="375" spans="12:28" ht="15.75" customHeight="1"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  <c r="AB375" s="256"/>
    </row>
    <row r="376" spans="12:28" ht="15.75" customHeight="1"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</row>
    <row r="377" spans="12:28" ht="15.75" customHeight="1"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  <c r="AB377" s="256"/>
    </row>
    <row r="378" spans="12:28" ht="15.75" customHeight="1"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  <c r="AB378" s="256"/>
    </row>
    <row r="379" spans="12:28" ht="15.75" customHeight="1"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  <c r="AB379" s="256"/>
    </row>
    <row r="380" spans="12:28" ht="15.75" customHeight="1"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  <c r="AB380" s="256"/>
    </row>
    <row r="381" spans="12:28" ht="15.75" customHeight="1"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  <c r="AB381" s="256"/>
    </row>
    <row r="382" spans="12:28" ht="15.75" customHeight="1"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  <c r="AB382" s="256"/>
    </row>
    <row r="383" spans="12:28" ht="15.75" customHeight="1"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  <c r="AB383" s="256"/>
    </row>
    <row r="384" spans="12:28" ht="15.75" customHeight="1"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  <c r="AB384" s="256"/>
    </row>
    <row r="385" spans="12:28" ht="15.75" customHeight="1"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  <c r="AB385" s="256"/>
    </row>
    <row r="386" spans="12:28" ht="15.75" customHeight="1"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  <c r="AB386" s="256"/>
    </row>
    <row r="387" spans="12:28" ht="15.75" customHeight="1"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  <c r="AB387" s="256"/>
    </row>
    <row r="388" spans="12:28" ht="15.75" customHeight="1"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  <c r="AB388" s="256"/>
    </row>
    <row r="389" spans="12:28" ht="15.75" customHeight="1"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  <c r="AB389" s="256"/>
    </row>
    <row r="390" spans="12:28" ht="15.75" customHeight="1"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  <c r="AB390" s="256"/>
    </row>
    <row r="391" spans="12:28" ht="15.75" customHeight="1"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</row>
    <row r="392" spans="12:28" ht="15.75" customHeight="1"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  <c r="AB392" s="256"/>
    </row>
    <row r="393" spans="12:28" ht="15.75" customHeight="1"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</row>
    <row r="394" spans="12:28" ht="15.75" customHeight="1"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  <c r="AB394" s="256"/>
    </row>
    <row r="395" spans="12:28" ht="15.75" customHeight="1"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</row>
    <row r="396" spans="12:28" ht="15.75" customHeight="1"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  <c r="AB396" s="256"/>
    </row>
    <row r="397" spans="12:28" ht="15.75" customHeight="1"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  <c r="AB397" s="256"/>
    </row>
    <row r="398" spans="12:28" ht="15.75" customHeight="1"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  <c r="AB398" s="256"/>
    </row>
    <row r="399" spans="12:28" ht="15.75" customHeight="1"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</row>
    <row r="400" spans="12:28" ht="15.75" customHeight="1"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  <c r="AB400" s="256"/>
    </row>
    <row r="401" spans="12:28" ht="15.75" customHeight="1"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  <c r="AB401" s="256"/>
    </row>
    <row r="402" spans="12:28" ht="15.75" customHeight="1"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  <c r="AB402" s="256"/>
    </row>
    <row r="403" spans="12:28" ht="15.75" customHeight="1"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  <c r="AB403" s="256"/>
    </row>
    <row r="404" spans="12:28" ht="15.75" customHeight="1"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  <c r="AB404" s="256"/>
    </row>
    <row r="405" spans="12:28" ht="15.75" customHeight="1"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  <c r="AB405" s="256"/>
    </row>
    <row r="406" spans="12:28" ht="15.75" customHeight="1"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  <c r="AB406" s="256"/>
    </row>
    <row r="407" spans="12:28" ht="15.75" customHeight="1"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  <c r="AB407" s="256"/>
    </row>
    <row r="408" spans="12:28" ht="15.75" customHeight="1"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  <c r="AB408" s="256"/>
    </row>
    <row r="409" spans="12:28" ht="15.75" customHeight="1"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  <c r="AB409" s="256"/>
    </row>
    <row r="410" spans="12:28" ht="15.75" customHeight="1"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</row>
    <row r="411" spans="12:28" ht="15.75" customHeight="1"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  <c r="AB411" s="256"/>
    </row>
    <row r="412" spans="12:28" ht="15.75" customHeight="1"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</row>
    <row r="413" spans="12:28" ht="15.75" customHeight="1"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  <c r="AB413" s="256"/>
    </row>
    <row r="414" spans="12:28" ht="15.75" customHeight="1"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  <c r="AB414" s="256"/>
    </row>
    <row r="415" spans="12:28" ht="15.75" customHeight="1"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  <c r="AB415" s="256"/>
    </row>
    <row r="416" spans="12:28" ht="15.75" customHeight="1"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  <c r="AB416" s="256"/>
    </row>
    <row r="417" spans="12:28" ht="15.75" customHeight="1"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  <c r="AB417" s="256"/>
    </row>
    <row r="418" spans="12:28" ht="15.75" customHeight="1"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  <c r="AB418" s="256"/>
    </row>
    <row r="419" spans="12:28" ht="15.75" customHeight="1"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  <c r="AB419" s="256"/>
    </row>
    <row r="420" spans="12:28" ht="15.75" customHeight="1"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  <c r="AB420" s="256"/>
    </row>
    <row r="421" spans="12:28" ht="15.75" customHeight="1"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  <c r="AB421" s="256"/>
    </row>
    <row r="422" spans="12:28" ht="15.75" customHeight="1"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  <c r="AB422" s="256"/>
    </row>
    <row r="423" spans="12:28" ht="15.75" customHeight="1"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  <c r="AB423" s="256"/>
    </row>
    <row r="424" spans="12:28" ht="15.75" customHeight="1"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  <c r="AB424" s="256"/>
    </row>
    <row r="425" spans="12:28" ht="15.75" customHeight="1"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  <c r="AB425" s="256"/>
    </row>
    <row r="426" spans="12:28" ht="15.75" customHeight="1"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  <c r="AB426" s="256"/>
    </row>
    <row r="427" spans="12:28" ht="15.75" customHeight="1"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  <c r="AB427" s="256"/>
    </row>
    <row r="428" spans="12:28" ht="15.75" customHeight="1"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  <c r="AB428" s="256"/>
    </row>
    <row r="429" spans="12:28" ht="15.75" customHeight="1"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  <c r="AB429" s="256"/>
    </row>
    <row r="430" spans="12:28" ht="15.75" customHeight="1"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  <c r="AB430" s="256"/>
    </row>
    <row r="431" spans="12:28" ht="15.75" customHeight="1"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6"/>
    </row>
    <row r="432" spans="12:28" ht="15.75" customHeight="1"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  <c r="AB432" s="256"/>
    </row>
    <row r="433" spans="12:28" ht="15.75" customHeight="1"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  <c r="AB433" s="256"/>
    </row>
    <row r="434" spans="12:28" ht="15.75" customHeight="1"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6"/>
    </row>
    <row r="435" spans="12:28" ht="15.75" customHeight="1"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6"/>
    </row>
    <row r="436" spans="12:28" ht="15.75" customHeight="1"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  <c r="AB436" s="256"/>
    </row>
    <row r="437" spans="12:28" ht="15.75" customHeight="1"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  <c r="AB437" s="256"/>
    </row>
    <row r="438" spans="12:28" ht="15.75" customHeight="1"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</row>
    <row r="439" spans="12:28" ht="15.75" customHeight="1"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  <c r="AB439" s="256"/>
    </row>
    <row r="440" spans="12:28" ht="15.75" customHeight="1"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</row>
    <row r="441" spans="12:28" ht="15.75" customHeight="1"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  <c r="AB441" s="256"/>
    </row>
    <row r="442" spans="12:28" ht="15.75" customHeight="1"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6"/>
    </row>
    <row r="443" spans="12:28" ht="15.75" customHeight="1"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  <c r="AB443" s="256"/>
    </row>
    <row r="444" spans="12:28" ht="15.75" customHeight="1"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  <c r="AB444" s="256"/>
    </row>
    <row r="445" spans="12:28" ht="15.75" customHeight="1"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  <c r="AB445" s="256"/>
    </row>
    <row r="446" spans="12:28" ht="15.75" customHeight="1"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  <c r="AB446" s="256"/>
    </row>
    <row r="447" spans="12:28" ht="15.75" customHeight="1"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  <c r="AB447" s="256"/>
    </row>
    <row r="448" spans="12:28" ht="15.75" customHeight="1"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  <c r="AB448" s="256"/>
    </row>
    <row r="449" spans="12:28" ht="15.75" customHeight="1"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  <c r="AB449" s="256"/>
    </row>
    <row r="450" spans="12:28" ht="15.75" customHeight="1"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  <c r="AB450" s="256"/>
    </row>
    <row r="451" spans="12:28" ht="15.75" customHeight="1"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  <c r="AB451" s="256"/>
    </row>
    <row r="452" spans="12:28" ht="15.75" customHeight="1"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  <c r="AB452" s="256"/>
    </row>
    <row r="453" spans="12:28" ht="15.75" customHeight="1"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  <c r="AB453" s="256"/>
    </row>
    <row r="454" spans="12:28" ht="15.75" customHeight="1"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  <c r="AB454" s="256"/>
    </row>
    <row r="455" spans="12:28" ht="15.75" customHeight="1"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  <c r="AB455" s="256"/>
    </row>
    <row r="456" spans="12:28" ht="15.75" customHeight="1"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  <c r="AB456" s="256"/>
    </row>
    <row r="457" spans="12:28" ht="15.75" customHeight="1"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  <c r="AB457" s="256"/>
    </row>
    <row r="458" spans="12:28" ht="15.75" customHeight="1"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  <c r="AB458" s="256"/>
    </row>
    <row r="459" spans="12:28" ht="15.75" customHeight="1"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  <c r="AB459" s="256"/>
    </row>
    <row r="460" spans="12:28" ht="15.75" customHeight="1"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  <c r="AB460" s="256"/>
    </row>
    <row r="461" spans="12:28" ht="15.75" customHeight="1"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  <c r="AB461" s="256"/>
    </row>
    <row r="462" spans="12:28" ht="15.75" customHeight="1"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  <c r="AB462" s="256"/>
    </row>
    <row r="463" spans="12:28" ht="15.75" customHeight="1"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  <c r="AB463" s="256"/>
    </row>
    <row r="464" spans="12:28" ht="15.75" customHeight="1"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  <c r="AB464" s="256"/>
    </row>
    <row r="465" spans="12:28" ht="15.75" customHeight="1"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  <c r="AB465" s="256"/>
    </row>
    <row r="466" spans="12:28" ht="15.75" customHeight="1"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  <c r="AB466" s="256"/>
    </row>
    <row r="467" spans="12:28" ht="15.75" customHeight="1"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  <c r="AB467" s="256"/>
    </row>
    <row r="468" spans="12:28" ht="15.75" customHeight="1"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  <c r="AB468" s="256"/>
    </row>
    <row r="469" spans="12:28" ht="15.75" customHeight="1"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  <c r="AB469" s="256"/>
    </row>
    <row r="470" spans="12:28" ht="15.75" customHeight="1"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  <c r="AB470" s="256"/>
    </row>
    <row r="471" spans="12:28" ht="15.75" customHeight="1"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  <c r="AB471" s="256"/>
    </row>
    <row r="472" spans="12:28" ht="15.75" customHeight="1"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  <c r="AB472" s="256"/>
    </row>
    <row r="473" spans="12:28" ht="15.75" customHeight="1"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  <c r="AB473" s="256"/>
    </row>
    <row r="474" spans="12:28" ht="15.75" customHeight="1"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  <c r="AB474" s="256"/>
    </row>
    <row r="475" spans="12:28" ht="15.75" customHeight="1"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  <c r="AB475" s="256"/>
    </row>
    <row r="476" spans="12:28" ht="15.75" customHeight="1"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  <c r="AB476" s="256"/>
    </row>
    <row r="477" spans="12:28" ht="15.75" customHeight="1"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  <c r="AB477" s="256"/>
    </row>
    <row r="478" spans="12:28" ht="15.75" customHeight="1"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  <c r="AB478" s="256"/>
    </row>
    <row r="479" spans="12:28" ht="15.75" customHeight="1"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  <c r="AB479" s="256"/>
    </row>
    <row r="480" spans="12:28" ht="15.75" customHeight="1"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  <c r="AB480" s="256"/>
    </row>
    <row r="481" spans="12:28" ht="15.75" customHeight="1"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  <c r="AB481" s="256"/>
    </row>
    <row r="482" spans="12:28" ht="15.75" customHeight="1"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</row>
    <row r="483" spans="12:28" ht="15.75" customHeight="1"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  <c r="AB483" s="256"/>
    </row>
    <row r="484" spans="12:28" ht="15.75" customHeight="1"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</row>
    <row r="485" spans="12:28" ht="15.75" customHeight="1"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  <c r="AB485" s="256"/>
    </row>
    <row r="486" spans="12:28" ht="15.75" customHeight="1"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  <c r="AB486" s="256"/>
    </row>
    <row r="487" spans="12:28" ht="15.75" customHeight="1"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  <c r="AB487" s="256"/>
    </row>
    <row r="488" spans="12:28" ht="15.75" customHeight="1"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  <c r="AB488" s="256"/>
    </row>
    <row r="489" spans="12:28" ht="15.75" customHeight="1">
      <c r="Y489" s="256"/>
      <c r="Z489" s="256"/>
      <c r="AA489" s="256"/>
      <c r="AB489" s="256"/>
    </row>
    <row r="490" spans="12:28" ht="15.75" customHeight="1">
      <c r="Y490" s="256"/>
      <c r="Z490" s="256"/>
      <c r="AA490" s="256"/>
      <c r="AB490" s="256"/>
    </row>
    <row r="491" spans="12:28" ht="15.75" customHeight="1">
      <c r="Y491" s="256"/>
      <c r="Z491" s="256"/>
      <c r="AA491" s="256"/>
      <c r="AB491" s="256"/>
    </row>
    <row r="492" spans="12:28" ht="15.75" customHeight="1">
      <c r="Y492" s="256"/>
      <c r="Z492" s="256"/>
      <c r="AA492" s="256"/>
      <c r="AB492" s="256"/>
    </row>
    <row r="493" spans="12:28" ht="15.75" customHeight="1">
      <c r="Y493" s="256"/>
      <c r="Z493" s="256"/>
      <c r="AA493" s="256"/>
      <c r="AB493" s="256"/>
    </row>
    <row r="494" spans="12:28" ht="15.75" customHeight="1">
      <c r="Y494" s="256"/>
      <c r="Z494" s="256"/>
      <c r="AA494" s="256"/>
      <c r="AB494" s="256"/>
    </row>
    <row r="495" spans="12:28" ht="15.75" customHeight="1">
      <c r="Y495" s="256"/>
      <c r="Z495" s="256"/>
      <c r="AA495" s="256"/>
      <c r="AB495" s="256"/>
    </row>
    <row r="496" spans="12:28" ht="15.75" customHeight="1">
      <c r="Y496" s="256"/>
      <c r="Z496" s="256"/>
      <c r="AA496" s="256"/>
      <c r="AB496" s="256"/>
    </row>
    <row r="497" spans="25:28" ht="15.75" customHeight="1">
      <c r="Y497" s="256"/>
      <c r="Z497" s="256"/>
      <c r="AA497" s="256"/>
      <c r="AB497" s="256"/>
    </row>
    <row r="498" spans="25:28" ht="15.75" customHeight="1">
      <c r="Y498" s="256"/>
      <c r="Z498" s="256"/>
      <c r="AA498" s="256"/>
      <c r="AB498" s="256"/>
    </row>
    <row r="499" spans="25:28" ht="15.75" customHeight="1">
      <c r="Y499" s="256"/>
      <c r="Z499" s="256"/>
      <c r="AA499" s="256"/>
      <c r="AB499" s="256"/>
    </row>
    <row r="500" spans="25:28" ht="15.75" customHeight="1">
      <c r="Y500" s="256"/>
      <c r="Z500" s="256"/>
      <c r="AA500" s="256"/>
      <c r="AB500" s="256"/>
    </row>
    <row r="501" spans="25:28" ht="15.75" customHeight="1">
      <c r="Y501" s="256"/>
      <c r="Z501" s="256"/>
      <c r="AA501" s="256"/>
      <c r="AB501" s="256"/>
    </row>
    <row r="502" spans="25:28" ht="15.75" customHeight="1">
      <c r="Y502" s="256"/>
      <c r="Z502" s="256"/>
      <c r="AA502" s="256"/>
      <c r="AB502" s="256"/>
    </row>
    <row r="503" spans="25:28" ht="15.75" customHeight="1">
      <c r="Y503" s="256"/>
      <c r="Z503" s="256"/>
      <c r="AA503" s="256"/>
      <c r="AB503" s="256"/>
    </row>
    <row r="504" spans="25:28" ht="15.75" customHeight="1">
      <c r="Y504" s="256"/>
      <c r="Z504" s="256"/>
      <c r="AA504" s="256"/>
      <c r="AB504" s="256"/>
    </row>
    <row r="505" spans="25:28" ht="15.75" customHeight="1">
      <c r="Y505" s="256"/>
      <c r="Z505" s="256"/>
      <c r="AA505" s="256"/>
      <c r="AB505" s="256"/>
    </row>
    <row r="506" spans="25:28" ht="15.75" customHeight="1">
      <c r="Y506" s="256"/>
      <c r="Z506" s="256"/>
      <c r="AA506" s="256"/>
      <c r="AB506" s="256"/>
    </row>
    <row r="507" spans="25:28" ht="15.75" customHeight="1">
      <c r="Y507" s="256"/>
      <c r="Z507" s="256"/>
      <c r="AA507" s="256"/>
      <c r="AB507" s="256"/>
    </row>
    <row r="508" spans="25:28" ht="15.75" customHeight="1">
      <c r="Y508" s="256"/>
      <c r="Z508" s="256"/>
      <c r="AA508" s="256"/>
      <c r="AB508" s="256"/>
    </row>
    <row r="509" spans="25:28" ht="15.75" customHeight="1">
      <c r="Y509" s="256"/>
      <c r="Z509" s="256"/>
      <c r="AA509" s="256"/>
      <c r="AB509" s="256"/>
    </row>
    <row r="510" spans="25:28" ht="15.75" customHeight="1">
      <c r="Y510" s="256"/>
      <c r="Z510" s="256"/>
      <c r="AA510" s="256"/>
      <c r="AB510" s="256"/>
    </row>
    <row r="511" spans="25:28" ht="15.75" customHeight="1">
      <c r="Y511" s="256"/>
      <c r="Z511" s="256"/>
      <c r="AA511" s="256"/>
      <c r="AB511" s="256"/>
    </row>
    <row r="512" spans="25:28" ht="15.75" customHeight="1">
      <c r="Y512" s="256"/>
      <c r="Z512" s="256"/>
      <c r="AA512" s="256"/>
      <c r="AB512" s="256"/>
    </row>
    <row r="513" spans="25:28" ht="15.75" customHeight="1">
      <c r="Y513" s="256"/>
      <c r="Z513" s="256"/>
      <c r="AA513" s="256"/>
      <c r="AB513" s="256"/>
    </row>
    <row r="514" spans="25:28" ht="15.75" customHeight="1">
      <c r="Y514" s="256"/>
      <c r="Z514" s="256"/>
      <c r="AA514" s="256"/>
      <c r="AB514" s="256"/>
    </row>
    <row r="515" spans="25:28" ht="15.75" customHeight="1">
      <c r="Y515" s="256"/>
      <c r="Z515" s="256"/>
      <c r="AA515" s="256"/>
      <c r="AB515" s="256"/>
    </row>
    <row r="516" spans="25:28" ht="15.75" customHeight="1">
      <c r="Y516" s="256"/>
      <c r="Z516" s="256"/>
      <c r="AA516" s="256"/>
      <c r="AB516" s="256"/>
    </row>
    <row r="517" spans="25:28" ht="15.75" customHeight="1">
      <c r="Y517" s="256"/>
      <c r="Z517" s="256"/>
      <c r="AA517" s="256"/>
      <c r="AB517" s="256"/>
    </row>
    <row r="518" spans="25:28" ht="15.75" customHeight="1">
      <c r="Y518" s="256"/>
      <c r="Z518" s="256"/>
      <c r="AA518" s="256"/>
      <c r="AB518" s="256"/>
    </row>
    <row r="519" spans="25:28" ht="15.75" customHeight="1">
      <c r="Y519" s="256"/>
      <c r="Z519" s="256"/>
      <c r="AA519" s="256"/>
      <c r="AB519" s="256"/>
    </row>
    <row r="520" spans="25:28" ht="15.75" customHeight="1">
      <c r="Y520" s="256"/>
      <c r="Z520" s="256"/>
      <c r="AA520" s="256"/>
      <c r="AB520" s="256"/>
    </row>
    <row r="521" spans="25:28" ht="15.75" customHeight="1">
      <c r="Y521" s="256"/>
      <c r="Z521" s="256"/>
      <c r="AA521" s="256"/>
      <c r="AB521" s="256"/>
    </row>
    <row r="522" spans="25:28" ht="15.75" customHeight="1">
      <c r="Y522" s="256"/>
      <c r="Z522" s="256"/>
      <c r="AA522" s="256"/>
      <c r="AB522" s="256"/>
    </row>
    <row r="523" spans="25:28" ht="15.75" customHeight="1">
      <c r="Y523" s="256"/>
      <c r="Z523" s="256"/>
      <c r="AA523" s="256"/>
      <c r="AB523" s="256"/>
    </row>
    <row r="524" spans="25:28" ht="15.75" customHeight="1">
      <c r="Y524" s="256"/>
      <c r="Z524" s="256"/>
      <c r="AA524" s="256"/>
      <c r="AB524" s="256"/>
    </row>
    <row r="525" spans="25:28" ht="15.75" customHeight="1">
      <c r="Y525" s="256"/>
      <c r="Z525" s="256"/>
      <c r="AA525" s="256"/>
      <c r="AB525" s="256"/>
    </row>
    <row r="526" spans="25:28" ht="15.75" customHeight="1">
      <c r="Y526" s="256"/>
      <c r="Z526" s="256"/>
      <c r="AA526" s="256"/>
      <c r="AB526" s="256"/>
    </row>
    <row r="527" spans="25:28" ht="15.75" customHeight="1">
      <c r="Y527" s="256"/>
      <c r="Z527" s="256"/>
      <c r="AA527" s="256"/>
      <c r="AB527" s="256"/>
    </row>
    <row r="528" spans="25:28" ht="15.75" customHeight="1">
      <c r="Y528" s="256"/>
      <c r="Z528" s="256"/>
      <c r="AA528" s="256"/>
      <c r="AB528" s="256"/>
    </row>
    <row r="529" spans="25:28" ht="15.75" customHeight="1">
      <c r="Y529" s="256"/>
      <c r="Z529" s="256"/>
      <c r="AA529" s="256"/>
      <c r="AB529" s="256"/>
    </row>
    <row r="530" spans="25:28" ht="15.75" customHeight="1">
      <c r="Y530" s="256"/>
      <c r="Z530" s="256"/>
      <c r="AA530" s="256"/>
      <c r="AB530" s="256"/>
    </row>
    <row r="531" spans="25:28" ht="15.75" customHeight="1">
      <c r="Y531" s="256"/>
      <c r="Z531" s="256"/>
      <c r="AA531" s="256"/>
      <c r="AB531" s="256"/>
    </row>
    <row r="532" spans="25:28" ht="15.75" customHeight="1">
      <c r="Y532" s="256"/>
      <c r="Z532" s="256"/>
      <c r="AA532" s="256"/>
      <c r="AB532" s="256"/>
    </row>
    <row r="533" spans="25:28" ht="15.75" customHeight="1">
      <c r="Y533" s="256"/>
      <c r="Z533" s="256"/>
      <c r="AA533" s="256"/>
      <c r="AB533" s="256"/>
    </row>
    <row r="534" spans="25:28" ht="15.75" customHeight="1">
      <c r="Y534" s="256"/>
      <c r="Z534" s="256"/>
      <c r="AA534" s="256"/>
      <c r="AB534" s="256"/>
    </row>
    <row r="535" spans="25:28" ht="15.75" customHeight="1">
      <c r="Y535" s="256"/>
      <c r="Z535" s="256"/>
      <c r="AA535" s="256"/>
      <c r="AB535" s="256"/>
    </row>
    <row r="536" spans="25:28" ht="15.75" customHeight="1">
      <c r="Y536" s="256"/>
      <c r="Z536" s="256"/>
      <c r="AA536" s="256"/>
      <c r="AB536" s="256"/>
    </row>
    <row r="537" spans="25:28" ht="15.75" customHeight="1">
      <c r="Y537" s="256"/>
      <c r="Z537" s="256"/>
      <c r="AA537" s="256"/>
      <c r="AB537" s="256"/>
    </row>
    <row r="538" spans="25:28" ht="15.75" customHeight="1">
      <c r="Y538" s="256"/>
      <c r="Z538" s="256"/>
      <c r="AA538" s="256"/>
      <c r="AB538" s="256"/>
    </row>
    <row r="539" spans="25:28" ht="15.75" customHeight="1">
      <c r="Y539" s="256"/>
      <c r="Z539" s="256"/>
      <c r="AA539" s="256"/>
      <c r="AB539" s="256"/>
    </row>
    <row r="540" spans="25:28" ht="15.75" customHeight="1">
      <c r="Y540" s="256"/>
      <c r="Z540" s="256"/>
      <c r="AA540" s="256"/>
      <c r="AB540" s="256"/>
    </row>
    <row r="541" spans="25:28" ht="15.75" customHeight="1">
      <c r="Y541" s="256"/>
      <c r="Z541" s="256"/>
      <c r="AA541" s="256"/>
      <c r="AB541" s="256"/>
    </row>
    <row r="542" spans="25:28" ht="15.75" customHeight="1">
      <c r="Y542" s="256"/>
      <c r="Z542" s="256"/>
      <c r="AA542" s="256"/>
      <c r="AB542" s="256"/>
    </row>
    <row r="543" spans="25:28" ht="15.75" customHeight="1">
      <c r="Y543" s="256"/>
      <c r="Z543" s="256"/>
      <c r="AA543" s="256"/>
      <c r="AB543" s="256"/>
    </row>
    <row r="544" spans="25:28" ht="15.75" customHeight="1">
      <c r="Y544" s="256"/>
      <c r="Z544" s="256"/>
      <c r="AA544" s="256"/>
      <c r="AB544" s="256"/>
    </row>
    <row r="545" spans="25:28" ht="15.75" customHeight="1">
      <c r="Y545" s="256"/>
      <c r="Z545" s="256"/>
      <c r="AA545" s="256"/>
      <c r="AB545" s="256"/>
    </row>
    <row r="546" spans="25:28" ht="15.75" customHeight="1">
      <c r="Y546" s="256"/>
      <c r="Z546" s="256"/>
      <c r="AA546" s="256"/>
      <c r="AB546" s="256"/>
    </row>
    <row r="547" spans="25:28" ht="15.75" customHeight="1">
      <c r="Y547" s="256"/>
      <c r="Z547" s="256"/>
      <c r="AA547" s="256"/>
      <c r="AB547" s="256"/>
    </row>
    <row r="548" spans="25:28" ht="15.75" customHeight="1">
      <c r="Y548" s="256"/>
      <c r="Z548" s="256"/>
      <c r="AA548" s="256"/>
      <c r="AB548" s="256"/>
    </row>
    <row r="549" spans="25:28" ht="15.75" customHeight="1">
      <c r="Y549" s="256"/>
      <c r="Z549" s="256"/>
      <c r="AA549" s="256"/>
      <c r="AB549" s="256"/>
    </row>
    <row r="550" spans="25:28" ht="15.75" customHeight="1">
      <c r="Y550" s="256"/>
      <c r="Z550" s="256"/>
      <c r="AA550" s="256"/>
      <c r="AB550" s="256"/>
    </row>
    <row r="551" spans="25:28" ht="15.75" customHeight="1">
      <c r="Y551" s="256"/>
      <c r="Z551" s="256"/>
      <c r="AA551" s="256"/>
      <c r="AB551" s="256"/>
    </row>
    <row r="552" spans="25:28" ht="15.75" customHeight="1">
      <c r="Y552" s="256"/>
      <c r="Z552" s="256"/>
      <c r="AA552" s="256"/>
      <c r="AB552" s="256"/>
    </row>
    <row r="553" spans="25:28" ht="15.75" customHeight="1">
      <c r="Y553" s="256"/>
      <c r="Z553" s="256"/>
      <c r="AA553" s="256"/>
      <c r="AB553" s="256"/>
    </row>
    <row r="554" spans="25:28" ht="15.75" customHeight="1">
      <c r="Y554" s="256"/>
      <c r="Z554" s="256"/>
      <c r="AA554" s="256"/>
      <c r="AB554" s="256"/>
    </row>
    <row r="555" spans="25:28" ht="15.75" customHeight="1">
      <c r="Y555" s="256"/>
      <c r="Z555" s="256"/>
      <c r="AA555" s="256"/>
      <c r="AB555" s="256"/>
    </row>
    <row r="556" spans="25:28" ht="15.75" customHeight="1">
      <c r="Y556" s="256"/>
      <c r="Z556" s="256"/>
      <c r="AA556" s="256"/>
      <c r="AB556" s="256"/>
    </row>
    <row r="557" spans="25:28" ht="15.75" customHeight="1">
      <c r="Y557" s="256"/>
      <c r="Z557" s="256"/>
      <c r="AA557" s="256"/>
      <c r="AB557" s="256"/>
    </row>
    <row r="558" spans="25:28" ht="15.75" customHeight="1">
      <c r="Y558" s="256"/>
      <c r="Z558" s="256"/>
      <c r="AA558" s="256"/>
      <c r="AB558" s="256"/>
    </row>
    <row r="559" spans="25:28" ht="15.75" customHeight="1">
      <c r="Y559" s="256"/>
      <c r="Z559" s="256"/>
      <c r="AA559" s="256"/>
      <c r="AB559" s="256"/>
    </row>
    <row r="560" spans="25:28" ht="15.75" customHeight="1">
      <c r="Y560" s="256"/>
      <c r="Z560" s="256"/>
      <c r="AA560" s="256"/>
      <c r="AB560" s="256"/>
    </row>
    <row r="561" spans="25:28" ht="15.75" customHeight="1">
      <c r="Y561" s="256"/>
      <c r="Z561" s="256"/>
      <c r="AA561" s="256"/>
      <c r="AB561" s="256"/>
    </row>
    <row r="562" spans="25:28" ht="15.75" customHeight="1">
      <c r="Y562" s="256"/>
      <c r="Z562" s="256"/>
      <c r="AA562" s="256"/>
      <c r="AB562" s="256"/>
    </row>
    <row r="563" spans="25:28" ht="15.75" customHeight="1">
      <c r="Y563" s="256"/>
      <c r="Z563" s="256"/>
      <c r="AA563" s="256"/>
      <c r="AB563" s="256"/>
    </row>
    <row r="564" spans="25:28" ht="15.75" customHeight="1">
      <c r="Y564" s="256"/>
      <c r="Z564" s="256"/>
      <c r="AA564" s="256"/>
      <c r="AB564" s="256"/>
    </row>
  </sheetData>
  <mergeCells count="46">
    <mergeCell ref="A1:K1"/>
    <mergeCell ref="B5:B6"/>
    <mergeCell ref="F48:G48"/>
    <mergeCell ref="A35:F35"/>
    <mergeCell ref="F25:G25"/>
    <mergeCell ref="F46:G46"/>
    <mergeCell ref="A27:A28"/>
    <mergeCell ref="B27:B28"/>
    <mergeCell ref="F34:G34"/>
    <mergeCell ref="F44:G44"/>
    <mergeCell ref="A3:K3"/>
    <mergeCell ref="D5:D6"/>
    <mergeCell ref="J5:J6"/>
    <mergeCell ref="K5:K6"/>
    <mergeCell ref="A26:F26"/>
    <mergeCell ref="F36:F37"/>
    <mergeCell ref="I36:I37"/>
    <mergeCell ref="J27:J28"/>
    <mergeCell ref="J36:J37"/>
    <mergeCell ref="K27:K28"/>
    <mergeCell ref="K36:K37"/>
    <mergeCell ref="A2:K2"/>
    <mergeCell ref="C5:C6"/>
    <mergeCell ref="A5:A6"/>
    <mergeCell ref="A4:K4"/>
    <mergeCell ref="I5:I6"/>
    <mergeCell ref="H5:H6"/>
    <mergeCell ref="E5:E6"/>
    <mergeCell ref="F5:F6"/>
    <mergeCell ref="G5:G6"/>
    <mergeCell ref="F45:G45"/>
    <mergeCell ref="C27:C28"/>
    <mergeCell ref="A36:A37"/>
    <mergeCell ref="I27:I28"/>
    <mergeCell ref="D36:D37"/>
    <mergeCell ref="H36:H37"/>
    <mergeCell ref="F27:F28"/>
    <mergeCell ref="G36:G37"/>
    <mergeCell ref="C36:C37"/>
    <mergeCell ref="H27:H28"/>
    <mergeCell ref="E36:E37"/>
    <mergeCell ref="E27:E28"/>
    <mergeCell ref="F42:G42"/>
    <mergeCell ref="D27:D28"/>
    <mergeCell ref="B36:B37"/>
    <mergeCell ref="G27:G28"/>
  </mergeCells>
  <printOptions horizontalCentered="1" verticalCentered="1"/>
  <pageMargins left="0.69930555555555596" right="0.69930555555555596" top="0.75" bottom="0.75" header="0" footer="0"/>
  <pageSetup paperSize="9" scale="56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B525"/>
  <sheetViews>
    <sheetView topLeftCell="D17" zoomScale="70" workbookViewId="0">
      <selection activeCell="D48" sqref="D48"/>
    </sheetView>
  </sheetViews>
  <sheetFormatPr defaultColWidth="9.83203125" defaultRowHeight="15" customHeight="1"/>
  <cols>
    <col min="1" max="1" width="3.83203125" style="352" customWidth="1"/>
    <col min="2" max="2" width="18.33203125" style="352" customWidth="1"/>
    <col min="3" max="3" width="21.33203125" style="352" customWidth="1"/>
    <col min="4" max="4" width="31.08203125" style="352" customWidth="1"/>
    <col min="5" max="5" width="25.58203125" style="352" customWidth="1"/>
    <col min="6" max="6" width="25" style="352" customWidth="1"/>
    <col min="7" max="7" width="15.75" style="352" customWidth="1"/>
    <col min="8" max="8" width="17" style="352" customWidth="1"/>
    <col min="9" max="10" width="11.75" style="353" customWidth="1"/>
    <col min="11" max="11" width="17.25" style="353" customWidth="1"/>
    <col min="12" max="12" width="2.08203125" style="1" customWidth="1"/>
    <col min="13" max="18" width="14.25" style="1" customWidth="1"/>
    <col min="19" max="19" width="8.75" style="1" customWidth="1"/>
    <col min="20" max="22" width="13.08203125" style="1" customWidth="1"/>
    <col min="23" max="23" width="10.25" style="1" customWidth="1"/>
    <col min="24" max="28" width="8.75" style="1" customWidth="1"/>
    <col min="29" max="16384" width="9.83203125" style="1"/>
  </cols>
  <sheetData>
    <row r="1" spans="1:28" ht="26.25" customHeight="1">
      <c r="A1" s="1051" t="s">
        <v>3331</v>
      </c>
      <c r="B1" s="1052"/>
      <c r="C1" s="1052"/>
      <c r="D1" s="1052"/>
      <c r="E1" s="1052"/>
      <c r="F1" s="1052"/>
      <c r="G1" s="1052"/>
      <c r="H1" s="1052"/>
      <c r="I1" s="1052"/>
      <c r="J1" s="1052"/>
      <c r="K1" s="1052"/>
      <c r="L1" s="308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</row>
    <row r="2" spans="1:28" ht="32.25" customHeight="1">
      <c r="A2" s="1058" t="s">
        <v>3268</v>
      </c>
      <c r="B2" s="1052"/>
      <c r="C2" s="1052"/>
      <c r="D2" s="1052"/>
      <c r="E2" s="1052"/>
      <c r="F2" s="1052"/>
      <c r="G2" s="1052"/>
      <c r="H2" s="1052"/>
      <c r="I2" s="1052"/>
      <c r="J2" s="1052"/>
      <c r="K2" s="1052"/>
      <c r="L2" s="308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</row>
    <row r="3" spans="1:28" ht="18" customHeight="1">
      <c r="A3" s="1058" t="s">
        <v>3332</v>
      </c>
      <c r="B3" s="1052"/>
      <c r="C3" s="1052"/>
      <c r="D3" s="1052"/>
      <c r="E3" s="1052"/>
      <c r="F3" s="1052"/>
      <c r="G3" s="1052"/>
      <c r="H3" s="1052"/>
      <c r="I3" s="1052"/>
      <c r="J3" s="1052"/>
      <c r="K3" s="1052"/>
      <c r="L3" s="308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15" customHeight="1">
      <c r="A4" s="1045" t="s">
        <v>25</v>
      </c>
      <c r="B4" s="1046"/>
      <c r="C4" s="1046"/>
      <c r="D4" s="1046"/>
      <c r="E4" s="1046"/>
      <c r="F4" s="1046"/>
      <c r="G4" s="1046"/>
      <c r="H4" s="1046"/>
      <c r="I4" s="1046"/>
      <c r="J4" s="1046"/>
      <c r="K4" s="1046"/>
      <c r="L4" s="308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</row>
    <row r="5" spans="1:28" ht="17.25" customHeight="1">
      <c r="A5" s="1043" t="s">
        <v>3270</v>
      </c>
      <c r="B5" s="1043" t="s">
        <v>3271</v>
      </c>
      <c r="C5" s="1043" t="s">
        <v>3272</v>
      </c>
      <c r="D5" s="1043" t="s">
        <v>3273</v>
      </c>
      <c r="E5" s="1043" t="s">
        <v>3274</v>
      </c>
      <c r="F5" s="1059" t="s">
        <v>3275</v>
      </c>
      <c r="G5" s="1043" t="s">
        <v>13</v>
      </c>
      <c r="H5" s="1047" t="s">
        <v>3278</v>
      </c>
      <c r="I5" s="1047" t="s">
        <v>3276</v>
      </c>
      <c r="J5" s="1047" t="s">
        <v>3277</v>
      </c>
      <c r="K5" s="1047" t="s">
        <v>21</v>
      </c>
      <c r="L5" s="308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</row>
    <row r="6" spans="1:28" ht="15" customHeight="1">
      <c r="A6" s="1044"/>
      <c r="B6" s="1044"/>
      <c r="C6" s="1044"/>
      <c r="D6" s="1044"/>
      <c r="E6" s="1044"/>
      <c r="F6" s="1044"/>
      <c r="G6" s="1044"/>
      <c r="H6" s="1048"/>
      <c r="I6" s="1048"/>
      <c r="J6" s="1048"/>
      <c r="K6" s="1048"/>
      <c r="L6" s="308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21.75" customHeight="1">
      <c r="A7" s="354">
        <v>1</v>
      </c>
      <c r="B7" s="9" t="s">
        <v>2138</v>
      </c>
      <c r="C7" s="9" t="s">
        <v>2135</v>
      </c>
      <c r="D7" s="9" t="s">
        <v>2134</v>
      </c>
      <c r="E7" s="9">
        <v>33044547</v>
      </c>
      <c r="F7" s="9" t="s">
        <v>2139</v>
      </c>
      <c r="G7" s="12">
        <v>45080</v>
      </c>
      <c r="H7" s="12">
        <v>45083</v>
      </c>
      <c r="I7" s="358">
        <v>4131087</v>
      </c>
      <c r="J7" s="358">
        <v>8587462</v>
      </c>
      <c r="K7" s="358">
        <f t="shared" ref="K7:K19" si="0">J7-I7</f>
        <v>4456375</v>
      </c>
      <c r="L7" s="308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 spans="1:28" ht="21.75" customHeight="1">
      <c r="A8" s="356">
        <v>2</v>
      </c>
      <c r="B8" s="16" t="s">
        <v>2143</v>
      </c>
      <c r="C8" s="13" t="s">
        <v>1588</v>
      </c>
      <c r="D8" s="13" t="s">
        <v>1977</v>
      </c>
      <c r="E8" s="13" t="s">
        <v>2141</v>
      </c>
      <c r="F8" s="13" t="s">
        <v>215</v>
      </c>
      <c r="G8" s="17">
        <v>45078</v>
      </c>
      <c r="H8" s="17">
        <v>45162</v>
      </c>
      <c r="I8" s="359">
        <v>3250000</v>
      </c>
      <c r="J8" s="359">
        <v>4150000</v>
      </c>
      <c r="K8" s="358">
        <f t="shared" si="0"/>
        <v>900000</v>
      </c>
      <c r="L8" s="308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</row>
    <row r="9" spans="1:28" ht="21.75" customHeight="1">
      <c r="A9" s="361">
        <v>3</v>
      </c>
      <c r="B9" s="10" t="s">
        <v>2149</v>
      </c>
      <c r="C9" s="9" t="s">
        <v>1588</v>
      </c>
      <c r="D9" s="9" t="s">
        <v>1656</v>
      </c>
      <c r="E9" s="9">
        <v>52302489</v>
      </c>
      <c r="F9" s="9" t="s">
        <v>1208</v>
      </c>
      <c r="G9" s="12">
        <v>45080</v>
      </c>
      <c r="H9" s="12">
        <v>45103</v>
      </c>
      <c r="I9" s="363">
        <v>2500000</v>
      </c>
      <c r="J9" s="363">
        <v>4675000</v>
      </c>
      <c r="K9" s="358">
        <f t="shared" si="0"/>
        <v>2175000</v>
      </c>
      <c r="L9" s="308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</row>
    <row r="10" spans="1:28" ht="21.75" customHeight="1">
      <c r="A10" s="361">
        <v>4</v>
      </c>
      <c r="B10" s="16" t="s">
        <v>2155</v>
      </c>
      <c r="C10" s="13" t="s">
        <v>1588</v>
      </c>
      <c r="D10" s="13" t="s">
        <v>1977</v>
      </c>
      <c r="E10" s="13">
        <v>292084067</v>
      </c>
      <c r="F10" s="13" t="s">
        <v>317</v>
      </c>
      <c r="G10" s="17">
        <v>45084</v>
      </c>
      <c r="H10" s="17">
        <v>45162</v>
      </c>
      <c r="I10" s="363">
        <v>1700000</v>
      </c>
      <c r="J10" s="363">
        <v>2275000</v>
      </c>
      <c r="K10" s="358">
        <f t="shared" si="0"/>
        <v>575000</v>
      </c>
      <c r="L10" s="308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8" ht="21.75" customHeight="1">
      <c r="A11" s="361">
        <v>5</v>
      </c>
      <c r="B11" s="104" t="s">
        <v>2164</v>
      </c>
      <c r="C11" s="96" t="s">
        <v>2160</v>
      </c>
      <c r="D11" s="96" t="s">
        <v>1375</v>
      </c>
      <c r="E11" s="96" t="s">
        <v>2159</v>
      </c>
      <c r="F11" s="96" t="s">
        <v>66</v>
      </c>
      <c r="G11" s="94">
        <v>45088</v>
      </c>
      <c r="H11" s="94">
        <v>45021</v>
      </c>
      <c r="I11" s="363">
        <v>85900000</v>
      </c>
      <c r="J11" s="363">
        <v>89814000</v>
      </c>
      <c r="K11" s="358">
        <f t="shared" si="0"/>
        <v>3914000</v>
      </c>
      <c r="L11" s="308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8" ht="21.75" customHeight="1">
      <c r="A12" s="361">
        <v>6</v>
      </c>
      <c r="B12" s="16" t="s">
        <v>2172</v>
      </c>
      <c r="C12" s="13" t="s">
        <v>1829</v>
      </c>
      <c r="D12" s="13" t="s">
        <v>1485</v>
      </c>
      <c r="E12" s="13" t="s">
        <v>2169</v>
      </c>
      <c r="F12" s="13" t="s">
        <v>1491</v>
      </c>
      <c r="G12" s="17">
        <v>45089</v>
      </c>
      <c r="H12" s="397"/>
      <c r="I12" s="363">
        <v>2050000</v>
      </c>
      <c r="J12" s="363">
        <v>2900000</v>
      </c>
      <c r="K12" s="358">
        <f t="shared" si="0"/>
        <v>850000</v>
      </c>
      <c r="L12" s="308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8" ht="21.75" customHeight="1">
      <c r="A13" s="361">
        <v>7</v>
      </c>
      <c r="B13" s="96" t="s">
        <v>2179</v>
      </c>
      <c r="C13" s="96" t="s">
        <v>1588</v>
      </c>
      <c r="D13" s="96" t="s">
        <v>2081</v>
      </c>
      <c r="E13" s="96" t="s">
        <v>2176</v>
      </c>
      <c r="F13" s="96" t="s">
        <v>66</v>
      </c>
      <c r="G13" s="94">
        <v>45090</v>
      </c>
      <c r="H13" s="398"/>
      <c r="I13" s="363">
        <v>9307129</v>
      </c>
      <c r="J13" s="363">
        <v>11598129</v>
      </c>
      <c r="K13" s="358">
        <f t="shared" si="0"/>
        <v>2291000</v>
      </c>
      <c r="L13" s="308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8" ht="21.75" customHeight="1">
      <c r="A14" s="361">
        <v>8</v>
      </c>
      <c r="B14" s="73" t="s">
        <v>2187</v>
      </c>
      <c r="C14" s="47" t="s">
        <v>1588</v>
      </c>
      <c r="D14" s="47" t="s">
        <v>1977</v>
      </c>
      <c r="E14" s="47" t="s">
        <v>2185</v>
      </c>
      <c r="F14" s="47" t="s">
        <v>215</v>
      </c>
      <c r="G14" s="56">
        <v>45092</v>
      </c>
      <c r="H14" s="399"/>
      <c r="I14" s="363">
        <v>5150000</v>
      </c>
      <c r="J14" s="363">
        <v>6225000</v>
      </c>
      <c r="K14" s="358">
        <f t="shared" si="0"/>
        <v>1075000</v>
      </c>
      <c r="L14" s="308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8" ht="21.75" customHeight="1">
      <c r="A15" s="361">
        <v>9</v>
      </c>
      <c r="B15" s="16" t="s">
        <v>2197</v>
      </c>
      <c r="C15" s="13" t="s">
        <v>1588</v>
      </c>
      <c r="D15" s="13" t="s">
        <v>1375</v>
      </c>
      <c r="E15" s="13" t="s">
        <v>2195</v>
      </c>
      <c r="F15" s="13" t="s">
        <v>365</v>
      </c>
      <c r="G15" s="17">
        <v>45093</v>
      </c>
      <c r="H15" s="17" t="s">
        <v>3333</v>
      </c>
      <c r="I15" s="363">
        <v>41800000</v>
      </c>
      <c r="J15" s="363">
        <v>47863200</v>
      </c>
      <c r="K15" s="358">
        <f t="shared" si="0"/>
        <v>6063200</v>
      </c>
      <c r="L15" s="308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8" ht="21.75" customHeight="1">
      <c r="A16" s="361">
        <v>10</v>
      </c>
      <c r="B16" s="104" t="s">
        <v>2149</v>
      </c>
      <c r="C16" s="96" t="s">
        <v>1588</v>
      </c>
      <c r="D16" s="96" t="s">
        <v>2081</v>
      </c>
      <c r="E16" s="96">
        <v>228113399</v>
      </c>
      <c r="F16" s="96" t="s">
        <v>2209</v>
      </c>
      <c r="G16" s="94">
        <v>45097</v>
      </c>
      <c r="H16" s="398"/>
      <c r="I16" s="363">
        <v>2050000</v>
      </c>
      <c r="J16" s="363">
        <v>5300000</v>
      </c>
      <c r="K16" s="358">
        <f t="shared" si="0"/>
        <v>3250000</v>
      </c>
      <c r="L16" s="308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8" ht="21.75" customHeight="1">
      <c r="A17" s="361">
        <v>11</v>
      </c>
      <c r="B17" s="104" t="s">
        <v>2215</v>
      </c>
      <c r="C17" s="96" t="s">
        <v>1588</v>
      </c>
      <c r="D17" s="96" t="s">
        <v>2081</v>
      </c>
      <c r="E17" s="96">
        <v>227916291</v>
      </c>
      <c r="F17" s="96" t="s">
        <v>66</v>
      </c>
      <c r="G17" s="94">
        <v>45097</v>
      </c>
      <c r="H17" s="398"/>
      <c r="I17" s="363">
        <v>845000</v>
      </c>
      <c r="J17" s="363">
        <v>4095000</v>
      </c>
      <c r="K17" s="358">
        <f t="shared" si="0"/>
        <v>3250000</v>
      </c>
      <c r="L17" s="308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8" ht="21.75" customHeight="1">
      <c r="A18" s="361">
        <v>12</v>
      </c>
      <c r="B18" s="104" t="s">
        <v>2221</v>
      </c>
      <c r="C18" s="96" t="s">
        <v>1588</v>
      </c>
      <c r="D18" s="96" t="s">
        <v>1375</v>
      </c>
      <c r="E18" s="96">
        <v>227760389</v>
      </c>
      <c r="F18" s="96" t="s">
        <v>66</v>
      </c>
      <c r="G18" s="94">
        <v>45099</v>
      </c>
      <c r="H18" s="94" t="s">
        <v>2223</v>
      </c>
      <c r="I18" s="363">
        <v>30900000</v>
      </c>
      <c r="J18" s="363">
        <v>36089000</v>
      </c>
      <c r="K18" s="358">
        <f t="shared" si="0"/>
        <v>5189000</v>
      </c>
      <c r="L18" s="308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8" ht="21.75" customHeight="1">
      <c r="A19" s="361">
        <v>13</v>
      </c>
      <c r="B19" s="10" t="s">
        <v>2228</v>
      </c>
      <c r="C19" s="9" t="s">
        <v>1599</v>
      </c>
      <c r="D19" s="9" t="s">
        <v>749</v>
      </c>
      <c r="E19" s="9" t="s">
        <v>2226</v>
      </c>
      <c r="F19" s="9" t="s">
        <v>2229</v>
      </c>
      <c r="G19" s="12">
        <v>45105</v>
      </c>
      <c r="H19" s="12">
        <v>45148</v>
      </c>
      <c r="I19" s="363">
        <v>1900000</v>
      </c>
      <c r="J19" s="363">
        <v>4515000</v>
      </c>
      <c r="K19" s="358">
        <f t="shared" si="0"/>
        <v>2615000</v>
      </c>
      <c r="L19" s="308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8" ht="21.75" customHeight="1">
      <c r="A20" s="368"/>
      <c r="B20" s="369"/>
      <c r="C20" s="369"/>
      <c r="D20" s="368" t="s">
        <v>3290</v>
      </c>
      <c r="E20" s="368"/>
      <c r="F20" s="1053" t="s">
        <v>3291</v>
      </c>
      <c r="G20" s="1054"/>
      <c r="H20" s="371"/>
      <c r="I20" s="372"/>
      <c r="J20" s="372"/>
      <c r="K20" s="373">
        <f>SUM(K7:K19)</f>
        <v>36603575</v>
      </c>
      <c r="L20" s="320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8" ht="21.75" customHeight="1">
      <c r="A21" s="1049" t="s">
        <v>128</v>
      </c>
      <c r="B21" s="1050"/>
      <c r="C21" s="1050"/>
      <c r="D21" s="1050"/>
      <c r="E21" s="1050"/>
      <c r="F21" s="1050"/>
      <c r="K21" s="374"/>
      <c r="L21" s="320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</row>
    <row r="22" spans="1:28" ht="21.75" customHeight="1">
      <c r="A22" s="1043" t="s">
        <v>3270</v>
      </c>
      <c r="B22" s="1043" t="s">
        <v>3271</v>
      </c>
      <c r="C22" s="1043" t="s">
        <v>3272</v>
      </c>
      <c r="D22" s="1043" t="s">
        <v>3273</v>
      </c>
      <c r="E22" s="1043" t="s">
        <v>3274</v>
      </c>
      <c r="F22" s="1059" t="s">
        <v>3292</v>
      </c>
      <c r="G22" s="1043" t="s">
        <v>12</v>
      </c>
      <c r="H22" s="1047" t="s">
        <v>3278</v>
      </c>
      <c r="I22" s="1047" t="s">
        <v>3276</v>
      </c>
      <c r="J22" s="1047" t="s">
        <v>3277</v>
      </c>
      <c r="K22" s="1047" t="s">
        <v>21</v>
      </c>
      <c r="L22" s="308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</row>
    <row r="23" spans="1:28" ht="21.75" customHeight="1">
      <c r="A23" s="1044"/>
      <c r="B23" s="1044"/>
      <c r="C23" s="1044"/>
      <c r="D23" s="1044"/>
      <c r="E23" s="1044"/>
      <c r="F23" s="1044"/>
      <c r="G23" s="1044"/>
      <c r="H23" s="1048"/>
      <c r="I23" s="1048"/>
      <c r="J23" s="1048"/>
      <c r="K23" s="1048"/>
      <c r="L23" s="308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</row>
    <row r="24" spans="1:28" s="270" customFormat="1" ht="21.75" customHeight="1">
      <c r="A24" s="361">
        <v>14</v>
      </c>
      <c r="B24" s="16" t="s">
        <v>2237</v>
      </c>
      <c r="C24" s="13" t="s">
        <v>2234</v>
      </c>
      <c r="D24" s="13" t="s">
        <v>1559</v>
      </c>
      <c r="E24" s="9" t="s">
        <v>2233</v>
      </c>
      <c r="F24" s="13" t="s">
        <v>2239</v>
      </c>
      <c r="G24" s="17">
        <v>45089</v>
      </c>
      <c r="H24" s="17">
        <v>45175</v>
      </c>
      <c r="I24" s="363">
        <v>3400000</v>
      </c>
      <c r="J24" s="363">
        <v>4650000</v>
      </c>
      <c r="K24" s="358">
        <f t="shared" ref="K24:K26" si="1">J24-I24</f>
        <v>1250000</v>
      </c>
      <c r="L24" s="308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</row>
    <row r="25" spans="1:28" s="270" customFormat="1" ht="21.75" customHeight="1">
      <c r="A25" s="361">
        <v>15</v>
      </c>
      <c r="B25" s="16" t="s">
        <v>2245</v>
      </c>
      <c r="C25" s="13" t="s">
        <v>2083</v>
      </c>
      <c r="D25" s="13" t="s">
        <v>2081</v>
      </c>
      <c r="E25" s="13" t="s">
        <v>2243</v>
      </c>
      <c r="F25" s="13" t="s">
        <v>365</v>
      </c>
      <c r="G25" s="17">
        <v>45091</v>
      </c>
      <c r="H25" s="63">
        <v>45163</v>
      </c>
      <c r="I25" s="400">
        <v>1500000</v>
      </c>
      <c r="J25" s="363">
        <v>3100000</v>
      </c>
      <c r="K25" s="358">
        <f t="shared" si="1"/>
        <v>1600000</v>
      </c>
      <c r="L25" s="308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</row>
    <row r="26" spans="1:28" s="270" customFormat="1" ht="21.75" customHeight="1">
      <c r="A26" s="401">
        <v>16</v>
      </c>
      <c r="B26" s="104" t="s">
        <v>2250</v>
      </c>
      <c r="C26" s="96" t="s">
        <v>2083</v>
      </c>
      <c r="D26" s="96" t="s">
        <v>2081</v>
      </c>
      <c r="E26" s="96" t="s">
        <v>2248</v>
      </c>
      <c r="F26" s="96" t="s">
        <v>365</v>
      </c>
      <c r="G26" s="94">
        <v>45091</v>
      </c>
      <c r="H26" s="125">
        <v>45163</v>
      </c>
      <c r="I26" s="363">
        <v>1500000</v>
      </c>
      <c r="J26" s="391">
        <v>3100000</v>
      </c>
      <c r="K26" s="358">
        <f t="shared" si="1"/>
        <v>1600000</v>
      </c>
      <c r="L26" s="308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</row>
    <row r="27" spans="1:28" s="270" customFormat="1" ht="21.75" customHeight="1">
      <c r="A27" s="368"/>
      <c r="B27" s="368"/>
      <c r="C27" s="368"/>
      <c r="D27" s="368"/>
      <c r="E27" s="368"/>
      <c r="F27" s="1053" t="s">
        <v>3295</v>
      </c>
      <c r="G27" s="1054"/>
      <c r="H27" s="371"/>
      <c r="I27" s="372"/>
      <c r="J27" s="372"/>
      <c r="K27" s="373">
        <f>SUM(K24:K26)</f>
        <v>4450000</v>
      </c>
      <c r="L27" s="308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</row>
    <row r="28" spans="1:28" s="270" customFormat="1" ht="21.75" customHeight="1">
      <c r="A28" s="1049" t="s">
        <v>1905</v>
      </c>
      <c r="B28" s="1050"/>
      <c r="C28" s="1050"/>
      <c r="D28" s="1050"/>
      <c r="E28" s="1050"/>
      <c r="F28" s="1050"/>
      <c r="G28" s="352"/>
      <c r="H28" s="352"/>
      <c r="I28" s="353"/>
      <c r="J28" s="353"/>
      <c r="K28" s="374"/>
      <c r="L28" s="308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</row>
    <row r="29" spans="1:28" s="270" customFormat="1" ht="21.75" customHeight="1">
      <c r="A29" s="1043" t="s">
        <v>3270</v>
      </c>
      <c r="B29" s="1043" t="s">
        <v>3271</v>
      </c>
      <c r="C29" s="1043" t="s">
        <v>3272</v>
      </c>
      <c r="D29" s="1043" t="s">
        <v>3273</v>
      </c>
      <c r="E29" s="1043" t="s">
        <v>3274</v>
      </c>
      <c r="F29" s="1059" t="s">
        <v>3292</v>
      </c>
      <c r="G29" s="1043" t="s">
        <v>12</v>
      </c>
      <c r="H29" s="1047" t="s">
        <v>3278</v>
      </c>
      <c r="I29" s="1047" t="s">
        <v>3276</v>
      </c>
      <c r="J29" s="1047" t="s">
        <v>3277</v>
      </c>
      <c r="K29" s="1047" t="s">
        <v>21</v>
      </c>
      <c r="L29" s="308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</row>
    <row r="30" spans="1:28" s="270" customFormat="1" ht="21.75" customHeight="1">
      <c r="A30" s="1044"/>
      <c r="B30" s="1044"/>
      <c r="C30" s="1044"/>
      <c r="D30" s="1044"/>
      <c r="E30" s="1044"/>
      <c r="F30" s="1044"/>
      <c r="G30" s="1044"/>
      <c r="H30" s="1048"/>
      <c r="I30" s="1048"/>
      <c r="J30" s="1048"/>
      <c r="K30" s="1048"/>
      <c r="L30" s="308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</row>
    <row r="31" spans="1:28" s="270" customFormat="1" ht="21.75" customHeight="1">
      <c r="A31" s="361">
        <v>17</v>
      </c>
      <c r="B31" s="66" t="s">
        <v>2257</v>
      </c>
      <c r="C31" s="66" t="s">
        <v>1919</v>
      </c>
      <c r="D31" s="9" t="s">
        <v>2252</v>
      </c>
      <c r="E31" s="9" t="s">
        <v>2253</v>
      </c>
      <c r="F31" s="66" t="s">
        <v>2258</v>
      </c>
      <c r="G31" s="68" t="s">
        <v>2260</v>
      </c>
      <c r="H31" s="362">
        <v>45135</v>
      </c>
      <c r="I31" s="363">
        <v>20000000</v>
      </c>
      <c r="J31" s="363">
        <v>22500000</v>
      </c>
      <c r="K31" s="358">
        <f>J31-I31</f>
        <v>2500000</v>
      </c>
      <c r="L31" s="308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</row>
    <row r="32" spans="1:28" s="270" customFormat="1" ht="21.75" customHeight="1">
      <c r="A32" s="361">
        <v>18</v>
      </c>
      <c r="B32" s="67" t="s">
        <v>2266</v>
      </c>
      <c r="C32" s="66" t="s">
        <v>1919</v>
      </c>
      <c r="D32" s="66" t="s">
        <v>2081</v>
      </c>
      <c r="E32" s="66" t="s">
        <v>2264</v>
      </c>
      <c r="F32" s="66" t="s">
        <v>2124</v>
      </c>
      <c r="G32" s="68">
        <v>45079</v>
      </c>
      <c r="H32" s="402"/>
      <c r="I32" s="363">
        <v>4200000</v>
      </c>
      <c r="J32" s="363">
        <v>7350000</v>
      </c>
      <c r="K32" s="358">
        <f>J32-I32</f>
        <v>3150000</v>
      </c>
      <c r="L32" s="308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</row>
    <row r="33" spans="1:28" s="270" customFormat="1" ht="21.75" customHeight="1">
      <c r="A33" s="368"/>
      <c r="B33" s="368"/>
      <c r="C33" s="368"/>
      <c r="D33" s="368"/>
      <c r="E33" s="368"/>
      <c r="F33" s="1055" t="s">
        <v>3322</v>
      </c>
      <c r="G33" s="1056"/>
      <c r="H33" s="371"/>
      <c r="I33" s="372"/>
      <c r="J33" s="372"/>
      <c r="K33" s="373">
        <f>SUM(K31:K32)</f>
        <v>5650000</v>
      </c>
      <c r="L33" s="308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</row>
    <row r="34" spans="1:28" ht="7.5" customHeight="1">
      <c r="A34" s="368"/>
      <c r="B34" s="368"/>
      <c r="C34" s="368"/>
      <c r="D34" s="368"/>
      <c r="E34" s="368"/>
      <c r="F34" s="370"/>
      <c r="G34" s="370"/>
      <c r="H34" s="370"/>
      <c r="I34" s="380"/>
      <c r="J34" s="380"/>
      <c r="K34" s="381"/>
      <c r="L34" s="308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</row>
    <row r="35" spans="1:28" ht="15" customHeight="1">
      <c r="A35" s="368"/>
      <c r="B35" s="368"/>
      <c r="C35" s="368"/>
      <c r="D35" s="368"/>
      <c r="E35" s="368"/>
      <c r="F35" s="1057" t="s">
        <v>3323</v>
      </c>
      <c r="G35" s="1054"/>
      <c r="H35" s="371"/>
      <c r="I35" s="372"/>
      <c r="J35" s="372"/>
      <c r="K35" s="383">
        <f>K20+K27+K33</f>
        <v>46703575</v>
      </c>
      <c r="L35" s="308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</row>
    <row r="36" spans="1:28" ht="15" customHeight="1">
      <c r="A36" s="368"/>
      <c r="B36" s="368"/>
      <c r="C36" s="368"/>
      <c r="D36" s="368"/>
      <c r="E36" s="368"/>
      <c r="F36" s="1053" t="s">
        <v>3297</v>
      </c>
      <c r="G36" s="1053"/>
      <c r="H36" s="370"/>
      <c r="I36" s="380"/>
      <c r="J36" s="380"/>
      <c r="K36" s="384">
        <v>36000000</v>
      </c>
      <c r="L36" s="308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</row>
    <row r="37" spans="1:28" ht="5.25" customHeight="1">
      <c r="A37" s="368"/>
      <c r="B37" s="368"/>
      <c r="C37" s="368"/>
      <c r="D37" s="368"/>
      <c r="E37" s="368"/>
      <c r="F37" s="370"/>
      <c r="G37" s="370"/>
      <c r="H37" s="370"/>
      <c r="I37" s="380"/>
      <c r="J37" s="380"/>
      <c r="K37" s="381"/>
      <c r="L37" s="308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</row>
    <row r="38" spans="1:28" ht="15" customHeight="1">
      <c r="A38" s="368"/>
      <c r="B38" s="368"/>
      <c r="C38" s="368"/>
      <c r="D38" s="368"/>
      <c r="E38" s="368"/>
      <c r="F38" s="1053" t="s">
        <v>3298</v>
      </c>
      <c r="G38" s="1053"/>
      <c r="H38" s="370"/>
      <c r="I38" s="380"/>
      <c r="J38" s="380"/>
      <c r="K38" s="381">
        <f>K35*12.5/100</f>
        <v>5837946.875</v>
      </c>
      <c r="L38" s="308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</row>
    <row r="39" spans="1:28" ht="15.75" customHeight="1"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</row>
    <row r="40" spans="1:28" ht="15.75" customHeight="1"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</row>
    <row r="41" spans="1:28" ht="15.75" customHeight="1">
      <c r="B41" s="17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</row>
    <row r="42" spans="1:28" ht="15.75" customHeight="1"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</row>
    <row r="43" spans="1:28" ht="15.75" customHeight="1">
      <c r="B43" s="1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</row>
    <row r="44" spans="1:28" ht="15.75" customHeight="1">
      <c r="B44" s="1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</row>
    <row r="45" spans="1:28" ht="15.75" customHeight="1">
      <c r="B45" s="1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</row>
    <row r="46" spans="1:28" ht="15.75" customHeight="1">
      <c r="B46" s="1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</row>
    <row r="47" spans="1:28" ht="15.75" customHeight="1"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</row>
    <row r="48" spans="1:28" ht="15.75" customHeight="1"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</row>
    <row r="49" spans="12:28" ht="15.75" customHeight="1"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</row>
    <row r="50" spans="12:28" ht="15.75" customHeight="1"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</row>
    <row r="51" spans="12:28" ht="15.75" customHeight="1"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</row>
    <row r="52" spans="12:28" ht="15.75" customHeight="1"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</row>
    <row r="53" spans="12:28" ht="15.75" customHeight="1"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</row>
    <row r="54" spans="12:28" ht="15.75" customHeight="1"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</row>
    <row r="55" spans="12:28" ht="15.75" customHeight="1"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</row>
    <row r="56" spans="12:28" ht="15.75" customHeight="1"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</row>
    <row r="57" spans="12:28" ht="15.75" customHeight="1"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</row>
    <row r="58" spans="12:28" ht="15.75" customHeight="1"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</row>
    <row r="59" spans="12:28" ht="15.75" customHeight="1"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</row>
    <row r="60" spans="12:28" ht="15.75" customHeight="1"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</row>
    <row r="61" spans="12:28" ht="15.75" customHeight="1"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</row>
    <row r="62" spans="12:28" ht="15.75" customHeight="1"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</row>
    <row r="63" spans="12:28" ht="15.75" customHeight="1"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</row>
    <row r="64" spans="12:28" ht="15.75" customHeight="1"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</row>
    <row r="65" spans="12:28" ht="15.75" customHeight="1"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</row>
    <row r="66" spans="12:28" ht="15.75" customHeight="1"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</row>
    <row r="67" spans="12:28" ht="15.75" customHeight="1"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</row>
    <row r="68" spans="12:28" ht="15.75" customHeight="1"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</row>
    <row r="69" spans="12:28" ht="15.75" customHeight="1"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</row>
    <row r="70" spans="12:28" ht="15.75" customHeight="1"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</row>
    <row r="71" spans="12:28" ht="15.75" customHeight="1"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</row>
    <row r="72" spans="12:28" ht="15.75" customHeight="1"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</row>
    <row r="73" spans="12:28" ht="15.75" customHeight="1"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</row>
    <row r="74" spans="12:28" ht="15.75" customHeight="1"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</row>
    <row r="75" spans="12:28" ht="15.75" customHeight="1"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</row>
    <row r="76" spans="12:28" ht="15.75" customHeight="1"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</row>
    <row r="77" spans="12:28" ht="15.75" customHeight="1"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</row>
    <row r="78" spans="12:28" ht="15.75" customHeight="1"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</row>
    <row r="79" spans="12:28" ht="15.75" customHeight="1"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</row>
    <row r="80" spans="12:28" ht="15.75" customHeight="1"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</row>
    <row r="81" spans="12:28" ht="15.75" customHeight="1"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</row>
    <row r="82" spans="12:28" ht="15.75" customHeight="1"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</row>
    <row r="83" spans="12:28" ht="15.75" customHeight="1"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</row>
    <row r="84" spans="12:28" ht="15.75" customHeight="1"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</row>
    <row r="85" spans="12:28" ht="15.75" customHeight="1"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</row>
    <row r="86" spans="12:28" ht="15.75" customHeight="1"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</row>
    <row r="87" spans="12:28" ht="15.75" customHeight="1"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</row>
    <row r="88" spans="12:28" ht="15.75" customHeight="1"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</row>
    <row r="89" spans="12:28" ht="15.75" customHeight="1"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</row>
    <row r="90" spans="12:28" ht="15.75" customHeight="1"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</row>
    <row r="91" spans="12:28" ht="15.75" customHeight="1"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</row>
    <row r="92" spans="12:28" ht="15.75" customHeight="1"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</row>
    <row r="93" spans="12:28" ht="15.75" customHeight="1"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</row>
    <row r="94" spans="12:28" ht="15.75" customHeight="1"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</row>
    <row r="95" spans="12:28" ht="15.75" customHeight="1"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</row>
    <row r="96" spans="12:28" ht="15.75" customHeight="1"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</row>
    <row r="97" spans="12:28" ht="15.75" customHeight="1"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</row>
    <row r="98" spans="12:28" ht="15.75" customHeight="1"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</row>
    <row r="99" spans="12:28" ht="15.75" customHeight="1"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</row>
    <row r="100" spans="12:28" ht="15.75" customHeight="1"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</row>
    <row r="101" spans="12:28" ht="15.75" customHeight="1"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</row>
    <row r="102" spans="12:28" ht="15.75" customHeight="1"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</row>
    <row r="103" spans="12:28" ht="15.75" customHeight="1"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</row>
    <row r="104" spans="12:28" ht="15.75" customHeight="1"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</row>
    <row r="105" spans="12:28" ht="15.75" customHeight="1"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</row>
    <row r="106" spans="12:28" ht="15.75" customHeight="1"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</row>
    <row r="107" spans="12:28" ht="15.75" customHeight="1"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</row>
    <row r="108" spans="12:28" ht="15.75" customHeight="1"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</row>
    <row r="109" spans="12:28" ht="15.75" customHeight="1"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</row>
    <row r="110" spans="12:28" ht="15.75" customHeight="1"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</row>
    <row r="111" spans="12:28" ht="15.75" customHeight="1"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</row>
    <row r="112" spans="12:28" ht="15.75" customHeight="1"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</row>
    <row r="113" spans="12:28" ht="15.75" customHeight="1"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</row>
    <row r="114" spans="12:28" ht="15.75" customHeight="1"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</row>
    <row r="115" spans="12:28" ht="15.75" customHeight="1"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</row>
    <row r="116" spans="12:28" ht="15.75" customHeight="1"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</row>
    <row r="117" spans="12:28" ht="15.75" customHeight="1"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</row>
    <row r="118" spans="12:28" ht="15.75" customHeight="1"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</row>
    <row r="119" spans="12:28" ht="15.75" customHeight="1"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</row>
    <row r="120" spans="12:28" ht="15.75" customHeight="1"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</row>
    <row r="121" spans="12:28" ht="15.75" customHeight="1"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</row>
    <row r="122" spans="12:28" ht="15.75" customHeight="1"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</row>
    <row r="123" spans="12:28" ht="15.75" customHeight="1"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</row>
    <row r="124" spans="12:28" ht="15.75" customHeight="1"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</row>
    <row r="125" spans="12:28" ht="15.75" customHeight="1"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</row>
    <row r="126" spans="12:28" ht="15.75" customHeight="1"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</row>
    <row r="127" spans="12:28" ht="15.75" customHeight="1"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</row>
    <row r="128" spans="12:28" ht="15.75" customHeight="1"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</row>
    <row r="129" spans="12:28" ht="15.75" customHeight="1"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</row>
    <row r="130" spans="12:28" ht="15.75" customHeight="1"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</row>
    <row r="131" spans="12:28" ht="15.75" customHeight="1"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</row>
    <row r="132" spans="12:28" ht="15.75" customHeight="1"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</row>
    <row r="133" spans="12:28" ht="15.75" customHeight="1"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</row>
    <row r="134" spans="12:28" ht="15.75" customHeight="1"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</row>
    <row r="135" spans="12:28" ht="15.75" customHeight="1"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</row>
    <row r="136" spans="12:28" ht="15.75" customHeight="1"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</row>
    <row r="137" spans="12:28" ht="15.75" customHeight="1"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  <c r="AB137" s="256"/>
    </row>
    <row r="138" spans="12:28" ht="15.75" customHeight="1"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</row>
    <row r="139" spans="12:28" ht="15.75" customHeight="1"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</row>
    <row r="140" spans="12:28" ht="15.75" customHeight="1"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  <c r="AB140" s="256"/>
    </row>
    <row r="141" spans="12:28" ht="15.75" customHeight="1"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  <c r="AB141" s="256"/>
    </row>
    <row r="142" spans="12:28" ht="15.75" customHeight="1"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  <c r="AB142" s="256"/>
    </row>
    <row r="143" spans="12:28" ht="15.75" customHeight="1"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</row>
    <row r="144" spans="12:28" ht="15.75" customHeight="1"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</row>
    <row r="145" spans="12:28" ht="15.75" customHeight="1"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  <c r="AB145" s="256"/>
    </row>
    <row r="146" spans="12:28" ht="15.75" customHeight="1"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  <c r="AB146" s="256"/>
    </row>
    <row r="147" spans="12:28" ht="15.75" customHeight="1"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</row>
    <row r="148" spans="12:28" ht="15.75" customHeight="1"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</row>
    <row r="149" spans="12:28" ht="15.75" customHeight="1"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</row>
    <row r="150" spans="12:28" ht="15.75" customHeight="1"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  <c r="AB150" s="256"/>
    </row>
    <row r="151" spans="12:28" ht="15.75" customHeight="1"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  <c r="AA151" s="256"/>
      <c r="AB151" s="256"/>
    </row>
    <row r="152" spans="12:28" ht="15.75" customHeight="1"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  <c r="AB152" s="256"/>
    </row>
    <row r="153" spans="12:28" ht="15.75" customHeight="1"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</row>
    <row r="154" spans="12:28" ht="15.75" customHeight="1"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</row>
    <row r="155" spans="12:28" ht="15.75" customHeight="1"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</row>
    <row r="156" spans="12:28" ht="15.75" customHeight="1"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  <c r="AA156" s="256"/>
      <c r="AB156" s="256"/>
    </row>
    <row r="157" spans="12:28" ht="15.75" customHeight="1"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  <c r="AA157" s="256"/>
      <c r="AB157" s="256"/>
    </row>
    <row r="158" spans="12:28" ht="15.75" customHeight="1"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  <c r="AB158" s="256"/>
    </row>
    <row r="159" spans="12:28" ht="15.75" customHeight="1"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  <c r="AB159" s="256"/>
    </row>
    <row r="160" spans="12:28" ht="15.75" customHeight="1"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  <c r="AB160" s="256"/>
    </row>
    <row r="161" spans="12:28" ht="15.75" customHeight="1"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  <c r="AB161" s="256"/>
    </row>
    <row r="162" spans="12:28" ht="15.75" customHeight="1"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  <c r="AA162" s="256"/>
      <c r="AB162" s="256"/>
    </row>
    <row r="163" spans="12:28" ht="15.75" customHeight="1"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  <c r="AB163" s="256"/>
    </row>
    <row r="164" spans="12:28" ht="15.75" customHeight="1"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  <c r="AB164" s="256"/>
    </row>
    <row r="165" spans="12:28" ht="15.75" customHeight="1"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  <c r="AB165" s="256"/>
    </row>
    <row r="166" spans="12:28" ht="15.75" customHeight="1"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  <c r="AA166" s="256"/>
      <c r="AB166" s="256"/>
    </row>
    <row r="167" spans="12:28" ht="15.75" customHeight="1"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  <c r="AA167" s="256"/>
      <c r="AB167" s="256"/>
    </row>
    <row r="168" spans="12:28" ht="15.75" customHeight="1"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  <c r="AA168" s="256"/>
      <c r="AB168" s="256"/>
    </row>
    <row r="169" spans="12:28" ht="15.75" customHeight="1"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  <c r="AA169" s="256"/>
      <c r="AB169" s="256"/>
    </row>
    <row r="170" spans="12:28" ht="15.75" customHeight="1"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  <c r="AB170" s="256"/>
    </row>
    <row r="171" spans="12:28" ht="15.75" customHeight="1"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</row>
    <row r="172" spans="12:28" ht="15.75" customHeight="1"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  <c r="AB172" s="256"/>
    </row>
    <row r="173" spans="12:28" ht="15.75" customHeight="1"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  <c r="AB173" s="256"/>
    </row>
    <row r="174" spans="12:28" ht="15.75" customHeight="1"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</row>
    <row r="175" spans="12:28" ht="15.75" customHeight="1"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</row>
    <row r="176" spans="12:28" ht="15.75" customHeight="1"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  <c r="AB176" s="256"/>
    </row>
    <row r="177" spans="12:28" ht="15.75" customHeight="1"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  <c r="AB177" s="256"/>
    </row>
    <row r="178" spans="12:28" ht="15.75" customHeight="1"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  <c r="AA178" s="256"/>
      <c r="AB178" s="256"/>
    </row>
    <row r="179" spans="12:28" ht="15.75" customHeight="1"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  <c r="AA179" s="256"/>
      <c r="AB179" s="256"/>
    </row>
    <row r="180" spans="12:28" ht="15.75" customHeight="1"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  <c r="AB180" s="256"/>
    </row>
    <row r="181" spans="12:28" ht="15.75" customHeight="1"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  <c r="AA181" s="256"/>
      <c r="AB181" s="256"/>
    </row>
    <row r="182" spans="12:28" ht="15.75" customHeight="1"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  <c r="AA182" s="256"/>
      <c r="AB182" s="256"/>
    </row>
    <row r="183" spans="12:28" ht="15.75" customHeight="1"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  <c r="AB183" s="256"/>
    </row>
    <row r="184" spans="12:28" ht="15.75" customHeight="1"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  <c r="AA184" s="256"/>
      <c r="AB184" s="256"/>
    </row>
    <row r="185" spans="12:28" ht="15.75" customHeight="1"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  <c r="AB185" s="256"/>
    </row>
    <row r="186" spans="12:28" ht="15.75" customHeight="1"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  <c r="AB186" s="256"/>
    </row>
    <row r="187" spans="12:28" ht="15.75" customHeight="1"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  <c r="AB187" s="256"/>
    </row>
    <row r="188" spans="12:28" ht="15.75" customHeight="1"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  <c r="AB188" s="256"/>
    </row>
    <row r="189" spans="12:28" ht="15.75" customHeight="1"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  <c r="AA189" s="256"/>
      <c r="AB189" s="256"/>
    </row>
    <row r="190" spans="12:28" ht="15.75" customHeight="1"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  <c r="AA190" s="256"/>
      <c r="AB190" s="256"/>
    </row>
    <row r="191" spans="12:28" ht="15.75" customHeight="1"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  <c r="AA191" s="256"/>
      <c r="AB191" s="256"/>
    </row>
    <row r="192" spans="12:28" ht="15.75" customHeight="1"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  <c r="AA192" s="256"/>
      <c r="AB192" s="256"/>
    </row>
    <row r="193" spans="12:28" ht="15.75" customHeight="1"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  <c r="AA193" s="256"/>
      <c r="AB193" s="256"/>
    </row>
    <row r="194" spans="12:28" ht="15.75" customHeight="1"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  <c r="AA194" s="256"/>
      <c r="AB194" s="256"/>
    </row>
    <row r="195" spans="12:28" ht="15.75" customHeight="1"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  <c r="AA195" s="256"/>
      <c r="AB195" s="256"/>
    </row>
    <row r="196" spans="12:28" ht="15.75" customHeight="1"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  <c r="AA196" s="256"/>
      <c r="AB196" s="256"/>
    </row>
    <row r="197" spans="12:28" ht="15.75" customHeight="1"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  <c r="AA197" s="256"/>
      <c r="AB197" s="256"/>
    </row>
    <row r="198" spans="12:28" ht="15.75" customHeight="1"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  <c r="AA198" s="256"/>
      <c r="AB198" s="256"/>
    </row>
    <row r="199" spans="12:28" ht="15.75" customHeight="1"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  <c r="AA199" s="256"/>
      <c r="AB199" s="256"/>
    </row>
    <row r="200" spans="12:28" ht="15.75" customHeight="1"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  <c r="AB200" s="256"/>
    </row>
    <row r="201" spans="12:28" ht="15.75" customHeight="1"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  <c r="AA201" s="256"/>
      <c r="AB201" s="256"/>
    </row>
    <row r="202" spans="12:28" ht="15.75" customHeight="1"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  <c r="AA202" s="256"/>
      <c r="AB202" s="256"/>
    </row>
    <row r="203" spans="12:28" ht="15.75" customHeight="1"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  <c r="AA203" s="256"/>
      <c r="AB203" s="256"/>
    </row>
    <row r="204" spans="12:28" ht="15.75" customHeight="1"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  <c r="AA204" s="256"/>
      <c r="AB204" s="256"/>
    </row>
    <row r="205" spans="12:28" ht="15.75" customHeight="1"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  <c r="AB205" s="256"/>
    </row>
    <row r="206" spans="12:28" ht="15.75" customHeight="1"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  <c r="AA206" s="256"/>
      <c r="AB206" s="256"/>
    </row>
    <row r="207" spans="12:28" ht="15.75" customHeight="1"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  <c r="AA207" s="256"/>
      <c r="AB207" s="256"/>
    </row>
    <row r="208" spans="12:28" ht="15.75" customHeight="1"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  <c r="AA208" s="256"/>
      <c r="AB208" s="256"/>
    </row>
    <row r="209" spans="12:28" ht="15.75" customHeight="1"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  <c r="AA209" s="256"/>
      <c r="AB209" s="256"/>
    </row>
    <row r="210" spans="12:28" ht="15.75" customHeight="1"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  <c r="AA210" s="256"/>
      <c r="AB210" s="256"/>
    </row>
    <row r="211" spans="12:28" ht="15.75" customHeight="1"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  <c r="AA211" s="256"/>
      <c r="AB211" s="256"/>
    </row>
    <row r="212" spans="12:28" ht="15.75" customHeight="1"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  <c r="AA212" s="256"/>
      <c r="AB212" s="256"/>
    </row>
    <row r="213" spans="12:28" ht="15.75" customHeight="1"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  <c r="AA213" s="256"/>
      <c r="AB213" s="256"/>
    </row>
    <row r="214" spans="12:28" ht="15.75" customHeight="1"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  <c r="AA214" s="256"/>
      <c r="AB214" s="256"/>
    </row>
    <row r="215" spans="12:28" ht="15.75" customHeight="1"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  <c r="AA215" s="256"/>
      <c r="AB215" s="256"/>
    </row>
    <row r="216" spans="12:28" ht="15.75" customHeight="1"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  <c r="AA216" s="256"/>
      <c r="AB216" s="256"/>
    </row>
    <row r="217" spans="12:28" ht="15.75" customHeight="1"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  <c r="AA217" s="256"/>
      <c r="AB217" s="256"/>
    </row>
    <row r="218" spans="12:28" ht="15.75" customHeight="1"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  <c r="AA218" s="256"/>
      <c r="AB218" s="256"/>
    </row>
    <row r="219" spans="12:28" ht="15.75" customHeight="1"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  <c r="AB219" s="256"/>
    </row>
    <row r="220" spans="12:28" ht="15.75" customHeight="1"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  <c r="AB220" s="256"/>
    </row>
    <row r="221" spans="12:28" ht="15.75" customHeight="1"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  <c r="AA221" s="256"/>
      <c r="AB221" s="256"/>
    </row>
    <row r="222" spans="12:28" ht="15.75" customHeight="1"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  <c r="AA222" s="256"/>
      <c r="AB222" s="256"/>
    </row>
    <row r="223" spans="12:28" ht="15.75" customHeight="1"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  <c r="AB223" s="256"/>
    </row>
    <row r="224" spans="12:28" ht="15.75" customHeight="1"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  <c r="AB224" s="256"/>
    </row>
    <row r="225" spans="12:28" ht="15.75" customHeight="1"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  <c r="AB225" s="256"/>
    </row>
    <row r="226" spans="12:28" ht="15.75" customHeight="1"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  <c r="AA226" s="256"/>
      <c r="AB226" s="256"/>
    </row>
    <row r="227" spans="12:28" ht="15.75" customHeight="1"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  <c r="AB227" s="256"/>
    </row>
    <row r="228" spans="12:28" ht="15.75" customHeight="1"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  <c r="AB228" s="256"/>
    </row>
    <row r="229" spans="12:28" ht="15.75" customHeight="1"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  <c r="AB229" s="256"/>
    </row>
    <row r="230" spans="12:28" ht="15.75" customHeight="1"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  <c r="AB230" s="256"/>
    </row>
    <row r="231" spans="12:28" ht="15.75" customHeight="1"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  <c r="AB231" s="256"/>
    </row>
    <row r="232" spans="12:28" ht="15.75" customHeight="1"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  <c r="AA232" s="256"/>
      <c r="AB232" s="256"/>
    </row>
    <row r="233" spans="12:28" ht="15.75" customHeight="1"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  <c r="AA233" s="256"/>
      <c r="AB233" s="256"/>
    </row>
    <row r="234" spans="12:28" ht="15.75" customHeight="1"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  <c r="AA234" s="256"/>
      <c r="AB234" s="256"/>
    </row>
    <row r="235" spans="12:28" ht="15.75" customHeight="1"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  <c r="AB235" s="256"/>
    </row>
    <row r="236" spans="12:28" ht="15.75" customHeight="1"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  <c r="AA236" s="256"/>
      <c r="AB236" s="256"/>
    </row>
    <row r="237" spans="12:28" ht="15.75" customHeight="1"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  <c r="AB237" s="256"/>
    </row>
    <row r="238" spans="12:28" ht="15.75" customHeight="1"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  <c r="AB238" s="256"/>
    </row>
    <row r="239" spans="12:28" ht="15.75" customHeight="1"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  <c r="AB239" s="256"/>
    </row>
    <row r="240" spans="12:28" ht="15.75" customHeight="1"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  <c r="AB240" s="256"/>
    </row>
    <row r="241" spans="12:28" ht="15.75" customHeight="1"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  <c r="AA241" s="256"/>
      <c r="AB241" s="256"/>
    </row>
    <row r="242" spans="12:28" ht="15.75" customHeight="1"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  <c r="AB242" s="256"/>
    </row>
    <row r="243" spans="12:28" ht="15.75" customHeight="1"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  <c r="AB243" s="256"/>
    </row>
    <row r="244" spans="12:28" ht="15.75" customHeight="1"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  <c r="AA244" s="256"/>
      <c r="AB244" s="256"/>
    </row>
    <row r="245" spans="12:28" ht="15.75" customHeight="1"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  <c r="AA245" s="256"/>
      <c r="AB245" s="256"/>
    </row>
    <row r="246" spans="12:28" ht="15.75" customHeight="1"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  <c r="AA246" s="256"/>
      <c r="AB246" s="256"/>
    </row>
    <row r="247" spans="12:28" ht="15.75" customHeight="1"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  <c r="AB247" s="256"/>
    </row>
    <row r="248" spans="12:28" ht="15.75" customHeight="1"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  <c r="AA248" s="256"/>
      <c r="AB248" s="256"/>
    </row>
    <row r="249" spans="12:28" ht="15.75" customHeight="1"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  <c r="AB249" s="256"/>
    </row>
    <row r="250" spans="12:28" ht="15.75" customHeight="1"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  <c r="AA250" s="256"/>
      <c r="AB250" s="256"/>
    </row>
    <row r="251" spans="12:28" ht="15.75" customHeight="1"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  <c r="AB251" s="256"/>
    </row>
    <row r="252" spans="12:28" ht="15.75" customHeight="1"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  <c r="AA252" s="256"/>
      <c r="AB252" s="256"/>
    </row>
    <row r="253" spans="12:28" ht="15.75" customHeight="1"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  <c r="AA253" s="256"/>
      <c r="AB253" s="256"/>
    </row>
    <row r="254" spans="12:28" ht="15.75" customHeight="1"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  <c r="AA254" s="256"/>
      <c r="AB254" s="256"/>
    </row>
    <row r="255" spans="12:28" ht="15.75" customHeight="1"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  <c r="AA255" s="256"/>
      <c r="AB255" s="256"/>
    </row>
    <row r="256" spans="12:28" ht="15.75" customHeight="1"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  <c r="AA256" s="256"/>
      <c r="AB256" s="256"/>
    </row>
    <row r="257" spans="12:28" ht="15.75" customHeight="1"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  <c r="AB257" s="256"/>
    </row>
    <row r="258" spans="12:28" ht="15.75" customHeight="1"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  <c r="AA258" s="256"/>
      <c r="AB258" s="256"/>
    </row>
    <row r="259" spans="12:28" ht="15.75" customHeight="1"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  <c r="AB259" s="256"/>
    </row>
    <row r="260" spans="12:28" ht="15.75" customHeight="1"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  <c r="AB260" s="256"/>
    </row>
    <row r="261" spans="12:28" ht="15.75" customHeight="1"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  <c r="AB261" s="256"/>
    </row>
    <row r="262" spans="12:28" ht="15.75" customHeight="1"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  <c r="AB262" s="256"/>
    </row>
    <row r="263" spans="12:28" ht="15.75" customHeight="1"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  <c r="AB263" s="256"/>
    </row>
    <row r="264" spans="12:28" ht="15.75" customHeight="1"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  <c r="AB264" s="256"/>
    </row>
    <row r="265" spans="12:28" ht="15.75" customHeight="1"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  <c r="AB265" s="256"/>
    </row>
    <row r="266" spans="12:28" ht="15.75" customHeight="1"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  <c r="AA266" s="256"/>
      <c r="AB266" s="256"/>
    </row>
    <row r="267" spans="12:28" ht="15.75" customHeight="1"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  <c r="AA267" s="256"/>
      <c r="AB267" s="256"/>
    </row>
    <row r="268" spans="12:28" ht="15.75" customHeight="1"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  <c r="AA268" s="256"/>
      <c r="AB268" s="256"/>
    </row>
    <row r="269" spans="12:28" ht="15.75" customHeight="1"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  <c r="AB269" s="256"/>
    </row>
    <row r="270" spans="12:28" ht="15.75" customHeight="1"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  <c r="AB270" s="256"/>
    </row>
    <row r="271" spans="12:28" ht="15.75" customHeight="1"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  <c r="AA271" s="256"/>
      <c r="AB271" s="256"/>
    </row>
    <row r="272" spans="12:28" ht="15.75" customHeight="1"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  <c r="AB272" s="256"/>
    </row>
    <row r="273" spans="12:28" ht="15.75" customHeight="1"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  <c r="AA273" s="256"/>
      <c r="AB273" s="256"/>
    </row>
    <row r="274" spans="12:28" ht="15.75" customHeight="1"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  <c r="AB274" s="256"/>
    </row>
    <row r="275" spans="12:28" ht="15.75" customHeight="1"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  <c r="AA275" s="256"/>
      <c r="AB275" s="256"/>
    </row>
    <row r="276" spans="12:28" ht="15.75" customHeight="1"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  <c r="AB276" s="256"/>
    </row>
    <row r="277" spans="12:28" ht="15.75" customHeight="1"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  <c r="AA277" s="256"/>
      <c r="AB277" s="256"/>
    </row>
    <row r="278" spans="12:28" ht="15.75" customHeight="1"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  <c r="AA278" s="256"/>
      <c r="AB278" s="256"/>
    </row>
    <row r="279" spans="12:28" ht="15.75" customHeight="1"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  <c r="AA279" s="256"/>
      <c r="AB279" s="256"/>
    </row>
    <row r="280" spans="12:28" ht="15.75" customHeight="1"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  <c r="AA280" s="256"/>
      <c r="AB280" s="256"/>
    </row>
    <row r="281" spans="12:28" ht="15.75" customHeight="1"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  <c r="AA281" s="256"/>
      <c r="AB281" s="256"/>
    </row>
    <row r="282" spans="12:28" ht="15.75" customHeight="1"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  <c r="AA282" s="256"/>
      <c r="AB282" s="256"/>
    </row>
    <row r="283" spans="12:28" ht="15.75" customHeight="1"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  <c r="AA283" s="256"/>
      <c r="AB283" s="256"/>
    </row>
    <row r="284" spans="12:28" ht="15.75" customHeight="1"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  <c r="AA284" s="256"/>
      <c r="AB284" s="256"/>
    </row>
    <row r="285" spans="12:28" ht="15.75" customHeight="1"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  <c r="AB285" s="256"/>
    </row>
    <row r="286" spans="12:28" ht="15.75" customHeight="1"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  <c r="AB286" s="256"/>
    </row>
    <row r="287" spans="12:28" ht="15.75" customHeight="1"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  <c r="AB287" s="256"/>
    </row>
    <row r="288" spans="12:28" ht="15.75" customHeight="1"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  <c r="AA288" s="256"/>
      <c r="AB288" s="256"/>
    </row>
    <row r="289" spans="12:28" ht="15.75" customHeight="1"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  <c r="AB289" s="256"/>
    </row>
    <row r="290" spans="12:28" ht="15.75" customHeight="1"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  <c r="AA290" s="256"/>
      <c r="AB290" s="256"/>
    </row>
    <row r="291" spans="12:28" ht="15.75" customHeight="1"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  <c r="AB291" s="256"/>
    </row>
    <row r="292" spans="12:28" ht="15.75" customHeight="1"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  <c r="AA292" s="256"/>
      <c r="AB292" s="256"/>
    </row>
    <row r="293" spans="12:28" ht="15.75" customHeight="1"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  <c r="AB293" s="256"/>
    </row>
    <row r="294" spans="12:28" ht="15.75" customHeight="1"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  <c r="AB294" s="256"/>
    </row>
    <row r="295" spans="12:28" ht="15.75" customHeight="1"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  <c r="AB295" s="256"/>
    </row>
    <row r="296" spans="12:28" ht="15.75" customHeight="1"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  <c r="AA296" s="256"/>
      <c r="AB296" s="256"/>
    </row>
    <row r="297" spans="12:28" ht="15.75" customHeight="1"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  <c r="AB297" s="256"/>
    </row>
    <row r="298" spans="12:28" ht="15.75" customHeight="1"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  <c r="AA298" s="256"/>
      <c r="AB298" s="256"/>
    </row>
    <row r="299" spans="12:28" ht="15.75" customHeight="1"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  <c r="AA299" s="256"/>
      <c r="AB299" s="256"/>
    </row>
    <row r="300" spans="12:28" ht="15.75" customHeight="1"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  <c r="AA300" s="256"/>
      <c r="AB300" s="256"/>
    </row>
    <row r="301" spans="12:28" ht="15.75" customHeight="1"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  <c r="AA301" s="256"/>
      <c r="AB301" s="256"/>
    </row>
    <row r="302" spans="12:28" ht="15.75" customHeight="1"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  <c r="AA302" s="256"/>
      <c r="AB302" s="256"/>
    </row>
    <row r="303" spans="12:28" ht="15.75" customHeight="1"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  <c r="AB303" s="256"/>
    </row>
    <row r="304" spans="12:28" ht="15.75" customHeight="1"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  <c r="AA304" s="256"/>
      <c r="AB304" s="256"/>
    </row>
    <row r="305" spans="12:28" ht="15.75" customHeight="1"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  <c r="AA305" s="256"/>
      <c r="AB305" s="256"/>
    </row>
    <row r="306" spans="12:28" ht="15.75" customHeight="1"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  <c r="AB306" s="256"/>
    </row>
    <row r="307" spans="12:28" ht="15.75" customHeight="1"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  <c r="AB307" s="256"/>
    </row>
    <row r="308" spans="12:28" ht="15.75" customHeight="1"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  <c r="AB308" s="256"/>
    </row>
    <row r="309" spans="12:28" ht="15.75" customHeight="1"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  <c r="AB309" s="256"/>
    </row>
    <row r="310" spans="12:28" ht="15.75" customHeight="1"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  <c r="AA310" s="256"/>
      <c r="AB310" s="256"/>
    </row>
    <row r="311" spans="12:28" ht="15.75" customHeight="1"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  <c r="AA311" s="256"/>
      <c r="AB311" s="256"/>
    </row>
    <row r="312" spans="12:28" ht="15.75" customHeight="1"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  <c r="AA312" s="256"/>
      <c r="AB312" s="256"/>
    </row>
    <row r="313" spans="12:28" ht="15.75" customHeight="1"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  <c r="AA313" s="256"/>
      <c r="AB313" s="256"/>
    </row>
    <row r="314" spans="12:28" ht="15.75" customHeight="1"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  <c r="AA314" s="256"/>
      <c r="AB314" s="256"/>
    </row>
    <row r="315" spans="12:28" ht="15.75" customHeight="1"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  <c r="AA315" s="256"/>
      <c r="AB315" s="256"/>
    </row>
    <row r="316" spans="12:28" ht="15.75" customHeight="1"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  <c r="AB316" s="256"/>
    </row>
    <row r="317" spans="12:28" ht="15.75" customHeight="1"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  <c r="AB317" s="256"/>
    </row>
    <row r="318" spans="12:28" ht="15.75" customHeight="1"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  <c r="AB318" s="256"/>
    </row>
    <row r="319" spans="12:28" ht="15.75" customHeight="1"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  <c r="AB319" s="256"/>
    </row>
    <row r="320" spans="12:28" ht="15.75" customHeight="1"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  <c r="AB320" s="256"/>
    </row>
    <row r="321" spans="12:28" ht="15.75" customHeight="1"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  <c r="AB321" s="256"/>
    </row>
    <row r="322" spans="12:28" ht="15.75" customHeight="1"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  <c r="AB322" s="256"/>
    </row>
    <row r="323" spans="12:28" ht="15.75" customHeight="1"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  <c r="AB323" s="256"/>
    </row>
    <row r="324" spans="12:28" ht="15.75" customHeight="1"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  <c r="AB324" s="256"/>
    </row>
    <row r="325" spans="12:28" ht="15.75" customHeight="1"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  <c r="AB325" s="256"/>
    </row>
    <row r="326" spans="12:28" ht="15.75" customHeight="1"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  <c r="AB326" s="256"/>
    </row>
    <row r="327" spans="12:28" ht="15.75" customHeight="1"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  <c r="AB327" s="256"/>
    </row>
    <row r="328" spans="12:28" ht="15.75" customHeight="1"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  <c r="AB328" s="256"/>
    </row>
    <row r="329" spans="12:28" ht="15.75" customHeight="1"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  <c r="AB329" s="256"/>
    </row>
    <row r="330" spans="12:28" ht="15.75" customHeight="1"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  <c r="AB330" s="256"/>
    </row>
    <row r="331" spans="12:28" ht="15.75" customHeight="1"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  <c r="AB331" s="256"/>
    </row>
    <row r="332" spans="12:28" ht="15.75" customHeight="1"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  <c r="AB332" s="256"/>
    </row>
    <row r="333" spans="12:28" ht="15.75" customHeight="1"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  <c r="AB333" s="256"/>
    </row>
    <row r="334" spans="12:28" ht="15.75" customHeight="1"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  <c r="AB334" s="256"/>
    </row>
    <row r="335" spans="12:28" ht="15.75" customHeight="1"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  <c r="AB335" s="256"/>
    </row>
    <row r="336" spans="12:28" ht="15.75" customHeight="1"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  <c r="AB336" s="256"/>
    </row>
    <row r="337" spans="12:28" ht="15.75" customHeight="1"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</row>
    <row r="338" spans="12:28" ht="15.75" customHeight="1"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  <c r="AB338" s="256"/>
    </row>
    <row r="339" spans="12:28" ht="15.75" customHeight="1"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</row>
    <row r="340" spans="12:28" ht="15.75" customHeight="1"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</row>
    <row r="341" spans="12:28" ht="15.75" customHeight="1"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</row>
    <row r="342" spans="12:28" ht="15.75" customHeight="1"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  <c r="AB342" s="256"/>
    </row>
    <row r="343" spans="12:28" ht="15.75" customHeight="1"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  <c r="AB343" s="256"/>
    </row>
    <row r="344" spans="12:28" ht="15.75" customHeight="1"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  <c r="AB344" s="256"/>
    </row>
    <row r="345" spans="12:28" ht="15.75" customHeight="1"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  <c r="AB345" s="256"/>
    </row>
    <row r="346" spans="12:28" ht="15.75" customHeight="1"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  <c r="AB346" s="256"/>
    </row>
    <row r="347" spans="12:28" ht="15.75" customHeight="1"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  <c r="AB347" s="256"/>
    </row>
    <row r="348" spans="12:28" ht="15.75" customHeight="1"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  <c r="AB348" s="256"/>
    </row>
    <row r="349" spans="12:28" ht="15.75" customHeight="1"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  <c r="AB349" s="256"/>
    </row>
    <row r="350" spans="12:28" ht="15.75" customHeight="1"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  <c r="AB350" s="256"/>
    </row>
    <row r="351" spans="12:28" ht="15.75" customHeight="1"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  <c r="AB351" s="256"/>
    </row>
    <row r="352" spans="12:28" ht="15.75" customHeight="1"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  <c r="AB352" s="256"/>
    </row>
    <row r="353" spans="12:28" ht="15.75" customHeight="1"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  <c r="AB353" s="256"/>
    </row>
    <row r="354" spans="12:28" ht="15.75" customHeight="1"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  <c r="AB354" s="256"/>
    </row>
    <row r="355" spans="12:28" ht="15.75" customHeight="1"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  <c r="AB355" s="256"/>
    </row>
    <row r="356" spans="12:28" ht="15.75" customHeight="1"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  <c r="AB356" s="256"/>
    </row>
    <row r="357" spans="12:28" ht="15.75" customHeight="1"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  <c r="AB357" s="256"/>
    </row>
    <row r="358" spans="12:28" ht="15.75" customHeight="1"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  <c r="AB358" s="256"/>
    </row>
    <row r="359" spans="12:28" ht="15.75" customHeight="1"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  <c r="AB359" s="256"/>
    </row>
    <row r="360" spans="12:28" ht="15.75" customHeight="1"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  <c r="AB360" s="256"/>
    </row>
    <row r="361" spans="12:28" ht="15.75" customHeight="1"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  <c r="AB361" s="256"/>
    </row>
    <row r="362" spans="12:28" ht="15.75" customHeight="1"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  <c r="AB362" s="256"/>
    </row>
    <row r="363" spans="12:28" ht="15.75" customHeight="1"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  <c r="AB363" s="256"/>
    </row>
    <row r="364" spans="12:28" ht="15.75" customHeight="1"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  <c r="AB364" s="256"/>
    </row>
    <row r="365" spans="12:28" ht="15.75" customHeight="1"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</row>
    <row r="366" spans="12:28" ht="15.75" customHeight="1"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  <c r="AB366" s="256"/>
    </row>
    <row r="367" spans="12:28" ht="15.75" customHeight="1"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  <c r="AB367" s="256"/>
    </row>
    <row r="368" spans="12:28" ht="15.75" customHeight="1"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  <c r="AB368" s="256"/>
    </row>
    <row r="369" spans="12:28" ht="15.75" customHeight="1"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  <c r="AB369" s="256"/>
    </row>
    <row r="370" spans="12:28" ht="15.75" customHeight="1"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  <c r="AB370" s="256"/>
    </row>
    <row r="371" spans="12:28" ht="15.75" customHeight="1"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  <c r="AB371" s="256"/>
    </row>
    <row r="372" spans="12:28" ht="15.75" customHeight="1"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  <c r="AB372" s="256"/>
    </row>
    <row r="373" spans="12:28" ht="15.75" customHeight="1"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  <c r="AB373" s="256"/>
    </row>
    <row r="374" spans="12:28" ht="15.75" customHeight="1"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  <c r="AB374" s="256"/>
    </row>
    <row r="375" spans="12:28" ht="15.75" customHeight="1"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  <c r="AB375" s="256"/>
    </row>
    <row r="376" spans="12:28" ht="15.75" customHeight="1"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</row>
    <row r="377" spans="12:28" ht="15.75" customHeight="1"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  <c r="AB377" s="256"/>
    </row>
    <row r="378" spans="12:28" ht="15.75" customHeight="1"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  <c r="AB378" s="256"/>
    </row>
    <row r="379" spans="12:28" ht="15.75" customHeight="1"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  <c r="AB379" s="256"/>
    </row>
    <row r="380" spans="12:28" ht="15.75" customHeight="1"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  <c r="AB380" s="256"/>
    </row>
    <row r="381" spans="12:28" ht="15.75" customHeight="1"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  <c r="AB381" s="256"/>
    </row>
    <row r="382" spans="12:28" ht="15.75" customHeight="1"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  <c r="AB382" s="256"/>
    </row>
    <row r="383" spans="12:28" ht="15.75" customHeight="1"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  <c r="AB383" s="256"/>
    </row>
    <row r="384" spans="12:28" ht="15.75" customHeight="1"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  <c r="AB384" s="256"/>
    </row>
    <row r="385" spans="12:28" ht="15.75" customHeight="1"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  <c r="AB385" s="256"/>
    </row>
    <row r="386" spans="12:28" ht="15.75" customHeight="1"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  <c r="AB386" s="256"/>
    </row>
    <row r="387" spans="12:28" ht="15.75" customHeight="1"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  <c r="AB387" s="256"/>
    </row>
    <row r="388" spans="12:28" ht="15.75" customHeight="1"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  <c r="AB388" s="256"/>
    </row>
    <row r="389" spans="12:28" ht="15.75" customHeight="1"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  <c r="AB389" s="256"/>
    </row>
    <row r="390" spans="12:28" ht="15.75" customHeight="1"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  <c r="AB390" s="256"/>
    </row>
    <row r="391" spans="12:28" ht="15.75" customHeight="1"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</row>
    <row r="392" spans="12:28" ht="15.75" customHeight="1"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  <c r="AB392" s="256"/>
    </row>
    <row r="393" spans="12:28" ht="15.75" customHeight="1"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</row>
    <row r="394" spans="12:28" ht="15.75" customHeight="1"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  <c r="AB394" s="256"/>
    </row>
    <row r="395" spans="12:28" ht="15.75" customHeight="1"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</row>
    <row r="396" spans="12:28" ht="15.75" customHeight="1"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  <c r="AB396" s="256"/>
    </row>
    <row r="397" spans="12:28" ht="15.75" customHeight="1"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  <c r="AB397" s="256"/>
    </row>
    <row r="398" spans="12:28" ht="15.75" customHeight="1"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  <c r="AB398" s="256"/>
    </row>
    <row r="399" spans="12:28" ht="15.75" customHeight="1"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</row>
    <row r="400" spans="12:28" ht="15.75" customHeight="1"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  <c r="AB400" s="256"/>
    </row>
    <row r="401" spans="12:28" ht="15.75" customHeight="1"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  <c r="AB401" s="256"/>
    </row>
    <row r="402" spans="12:28" ht="15.75" customHeight="1"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  <c r="AB402" s="256"/>
    </row>
    <row r="403" spans="12:28" ht="15.75" customHeight="1"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  <c r="AB403" s="256"/>
    </row>
    <row r="404" spans="12:28" ht="15.75" customHeight="1"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  <c r="AB404" s="256"/>
    </row>
    <row r="405" spans="12:28" ht="15.75" customHeight="1"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  <c r="AB405" s="256"/>
    </row>
    <row r="406" spans="12:28" ht="15.75" customHeight="1"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  <c r="AB406" s="256"/>
    </row>
    <row r="407" spans="12:28" ht="15.75" customHeight="1"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  <c r="AB407" s="256"/>
    </row>
    <row r="408" spans="12:28" ht="15.75" customHeight="1"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  <c r="AB408" s="256"/>
    </row>
    <row r="409" spans="12:28" ht="15.75" customHeight="1"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  <c r="AB409" s="256"/>
    </row>
    <row r="410" spans="12:28" ht="15.75" customHeight="1"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</row>
    <row r="411" spans="12:28" ht="15.75" customHeight="1"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  <c r="AB411" s="256"/>
    </row>
    <row r="412" spans="12:28" ht="15.75" customHeight="1"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</row>
    <row r="413" spans="12:28" ht="15.75" customHeight="1"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  <c r="AB413" s="256"/>
    </row>
    <row r="414" spans="12:28" ht="15.75" customHeight="1"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  <c r="AB414" s="256"/>
    </row>
    <row r="415" spans="12:28" ht="15.75" customHeight="1"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  <c r="AB415" s="256"/>
    </row>
    <row r="416" spans="12:28" ht="15.75" customHeight="1"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  <c r="AB416" s="256"/>
    </row>
    <row r="417" spans="12:28" ht="15.75" customHeight="1"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  <c r="AB417" s="256"/>
    </row>
    <row r="418" spans="12:28" ht="15.75" customHeight="1"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  <c r="AB418" s="256"/>
    </row>
    <row r="419" spans="12:28" ht="15.75" customHeight="1"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  <c r="AB419" s="256"/>
    </row>
    <row r="420" spans="12:28" ht="15.75" customHeight="1"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  <c r="AB420" s="256"/>
    </row>
    <row r="421" spans="12:28" ht="15.75" customHeight="1"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  <c r="AB421" s="256"/>
    </row>
    <row r="422" spans="12:28" ht="15.75" customHeight="1"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  <c r="AB422" s="256"/>
    </row>
    <row r="423" spans="12:28" ht="15.75" customHeight="1"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  <c r="AB423" s="256"/>
    </row>
    <row r="424" spans="12:28" ht="15.75" customHeight="1"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  <c r="AB424" s="256"/>
    </row>
    <row r="425" spans="12:28" ht="15.75" customHeight="1"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  <c r="AB425" s="256"/>
    </row>
    <row r="426" spans="12:28" ht="15.75" customHeight="1"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  <c r="AB426" s="256"/>
    </row>
    <row r="427" spans="12:28" ht="15.75" customHeight="1"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  <c r="AB427" s="256"/>
    </row>
    <row r="428" spans="12:28" ht="15.75" customHeight="1"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  <c r="AB428" s="256"/>
    </row>
    <row r="429" spans="12:28" ht="15.75" customHeight="1"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  <c r="AB429" s="256"/>
    </row>
    <row r="430" spans="12:28" ht="15.75" customHeight="1"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  <c r="AB430" s="256"/>
    </row>
    <row r="431" spans="12:28" ht="15.75" customHeight="1"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6"/>
    </row>
    <row r="432" spans="12:28" ht="15.75" customHeight="1"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  <c r="AB432" s="256"/>
    </row>
    <row r="433" spans="12:28" ht="15.75" customHeight="1"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  <c r="AB433" s="256"/>
    </row>
    <row r="434" spans="12:28" ht="15.75" customHeight="1"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6"/>
    </row>
    <row r="435" spans="12:28" ht="15.75" customHeight="1"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6"/>
    </row>
    <row r="436" spans="12:28" ht="15.75" customHeight="1"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  <c r="AB436" s="256"/>
    </row>
    <row r="437" spans="12:28" ht="15.75" customHeight="1"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  <c r="AB437" s="256"/>
    </row>
    <row r="438" spans="12:28" ht="15.75" customHeight="1"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</row>
    <row r="439" spans="12:28" ht="15.75" customHeight="1"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  <c r="AB439" s="256"/>
    </row>
    <row r="440" spans="12:28" ht="15.75" customHeight="1"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</row>
    <row r="441" spans="12:28" ht="15.75" customHeight="1"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  <c r="AB441" s="256"/>
    </row>
    <row r="442" spans="12:28" ht="15.75" customHeight="1"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6"/>
    </row>
    <row r="443" spans="12:28" ht="15.75" customHeight="1"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  <c r="AB443" s="256"/>
    </row>
    <row r="444" spans="12:28" ht="15.75" customHeight="1"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  <c r="AB444" s="256"/>
    </row>
    <row r="445" spans="12:28" ht="15.75" customHeight="1"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  <c r="AB445" s="256"/>
    </row>
    <row r="446" spans="12:28" ht="15.75" customHeight="1"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  <c r="AB446" s="256"/>
    </row>
    <row r="447" spans="12:28" ht="15.75" customHeight="1"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  <c r="AB447" s="256"/>
    </row>
    <row r="448" spans="12:28" ht="15.75" customHeight="1"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  <c r="AB448" s="256"/>
    </row>
    <row r="449" spans="12:28" ht="15.75" customHeight="1"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  <c r="AB449" s="256"/>
    </row>
    <row r="450" spans="12:28" ht="15.75" customHeight="1">
      <c r="Y450" s="256"/>
      <c r="Z450" s="256"/>
      <c r="AA450" s="256"/>
      <c r="AB450" s="256"/>
    </row>
    <row r="451" spans="12:28" ht="15.75" customHeight="1">
      <c r="Y451" s="256"/>
      <c r="Z451" s="256"/>
      <c r="AA451" s="256"/>
      <c r="AB451" s="256"/>
    </row>
    <row r="452" spans="12:28" ht="15.75" customHeight="1">
      <c r="Y452" s="256"/>
      <c r="Z452" s="256"/>
      <c r="AA452" s="256"/>
      <c r="AB452" s="256"/>
    </row>
    <row r="453" spans="12:28" ht="15.75" customHeight="1">
      <c r="Y453" s="256"/>
      <c r="Z453" s="256"/>
      <c r="AA453" s="256"/>
      <c r="AB453" s="256"/>
    </row>
    <row r="454" spans="12:28" ht="15.75" customHeight="1">
      <c r="Y454" s="256"/>
      <c r="Z454" s="256"/>
      <c r="AA454" s="256"/>
      <c r="AB454" s="256"/>
    </row>
    <row r="455" spans="12:28" ht="15.75" customHeight="1">
      <c r="Y455" s="256"/>
      <c r="Z455" s="256"/>
      <c r="AA455" s="256"/>
      <c r="AB455" s="256"/>
    </row>
    <row r="456" spans="12:28" ht="15.75" customHeight="1">
      <c r="Y456" s="256"/>
      <c r="Z456" s="256"/>
      <c r="AA456" s="256"/>
      <c r="AB456" s="256"/>
    </row>
    <row r="457" spans="12:28" ht="15.75" customHeight="1">
      <c r="Y457" s="256"/>
      <c r="Z457" s="256"/>
      <c r="AA457" s="256"/>
      <c r="AB457" s="256"/>
    </row>
    <row r="458" spans="12:28" ht="15.75" customHeight="1">
      <c r="Y458" s="256"/>
      <c r="Z458" s="256"/>
      <c r="AA458" s="256"/>
      <c r="AB458" s="256"/>
    </row>
    <row r="459" spans="12:28" ht="15.75" customHeight="1">
      <c r="Y459" s="256"/>
      <c r="Z459" s="256"/>
      <c r="AA459" s="256"/>
      <c r="AB459" s="256"/>
    </row>
    <row r="460" spans="12:28" ht="15.75" customHeight="1">
      <c r="Y460" s="256"/>
      <c r="Z460" s="256"/>
      <c r="AA460" s="256"/>
      <c r="AB460" s="256"/>
    </row>
    <row r="461" spans="12:28" ht="15.75" customHeight="1">
      <c r="Y461" s="256"/>
      <c r="Z461" s="256"/>
      <c r="AA461" s="256"/>
      <c r="AB461" s="256"/>
    </row>
    <row r="462" spans="12:28" ht="15.75" customHeight="1">
      <c r="Y462" s="256"/>
      <c r="Z462" s="256"/>
      <c r="AA462" s="256"/>
      <c r="AB462" s="256"/>
    </row>
    <row r="463" spans="12:28" ht="15.75" customHeight="1">
      <c r="Y463" s="256"/>
      <c r="Z463" s="256"/>
      <c r="AA463" s="256"/>
      <c r="AB463" s="256"/>
    </row>
    <row r="464" spans="12:28" ht="15.75" customHeight="1">
      <c r="Y464" s="256"/>
      <c r="Z464" s="256"/>
      <c r="AA464" s="256"/>
      <c r="AB464" s="256"/>
    </row>
    <row r="465" spans="25:28" ht="15.75" customHeight="1">
      <c r="Y465" s="256"/>
      <c r="Z465" s="256"/>
      <c r="AA465" s="256"/>
      <c r="AB465" s="256"/>
    </row>
    <row r="466" spans="25:28" ht="15.75" customHeight="1">
      <c r="Y466" s="256"/>
      <c r="Z466" s="256"/>
      <c r="AA466" s="256"/>
      <c r="AB466" s="256"/>
    </row>
    <row r="467" spans="25:28" ht="15.75" customHeight="1">
      <c r="Y467" s="256"/>
      <c r="Z467" s="256"/>
      <c r="AA467" s="256"/>
      <c r="AB467" s="256"/>
    </row>
    <row r="468" spans="25:28" ht="15.75" customHeight="1">
      <c r="Y468" s="256"/>
      <c r="Z468" s="256"/>
      <c r="AA468" s="256"/>
      <c r="AB468" s="256"/>
    </row>
    <row r="469" spans="25:28" ht="15.75" customHeight="1">
      <c r="Y469" s="256"/>
      <c r="Z469" s="256"/>
      <c r="AA469" s="256"/>
      <c r="AB469" s="256"/>
    </row>
    <row r="470" spans="25:28" ht="15.75" customHeight="1">
      <c r="Y470" s="256"/>
      <c r="Z470" s="256"/>
      <c r="AA470" s="256"/>
      <c r="AB470" s="256"/>
    </row>
    <row r="471" spans="25:28" ht="15.75" customHeight="1">
      <c r="Y471" s="256"/>
      <c r="Z471" s="256"/>
      <c r="AA471" s="256"/>
      <c r="AB471" s="256"/>
    </row>
    <row r="472" spans="25:28" ht="15.75" customHeight="1">
      <c r="Y472" s="256"/>
      <c r="Z472" s="256"/>
      <c r="AA472" s="256"/>
      <c r="AB472" s="256"/>
    </row>
    <row r="473" spans="25:28" ht="15.75" customHeight="1">
      <c r="Y473" s="256"/>
      <c r="Z473" s="256"/>
      <c r="AA473" s="256"/>
      <c r="AB473" s="256"/>
    </row>
    <row r="474" spans="25:28" ht="15.75" customHeight="1">
      <c r="Y474" s="256"/>
      <c r="Z474" s="256"/>
      <c r="AA474" s="256"/>
      <c r="AB474" s="256"/>
    </row>
    <row r="475" spans="25:28" ht="15.75" customHeight="1">
      <c r="Y475" s="256"/>
      <c r="Z475" s="256"/>
      <c r="AA475" s="256"/>
      <c r="AB475" s="256"/>
    </row>
    <row r="476" spans="25:28" ht="15.75" customHeight="1">
      <c r="Y476" s="256"/>
      <c r="Z476" s="256"/>
      <c r="AA476" s="256"/>
      <c r="AB476" s="256"/>
    </row>
    <row r="477" spans="25:28" ht="15.75" customHeight="1">
      <c r="Y477" s="256"/>
      <c r="Z477" s="256"/>
      <c r="AA477" s="256"/>
      <c r="AB477" s="256"/>
    </row>
    <row r="478" spans="25:28" ht="15.75" customHeight="1">
      <c r="Y478" s="256"/>
      <c r="Z478" s="256"/>
      <c r="AA478" s="256"/>
      <c r="AB478" s="256"/>
    </row>
    <row r="479" spans="25:28" ht="15.75" customHeight="1">
      <c r="Y479" s="256"/>
      <c r="Z479" s="256"/>
      <c r="AA479" s="256"/>
      <c r="AB479" s="256"/>
    </row>
    <row r="480" spans="25:28" ht="15.75" customHeight="1">
      <c r="Y480" s="256"/>
      <c r="Z480" s="256"/>
      <c r="AA480" s="256"/>
      <c r="AB480" s="256"/>
    </row>
    <row r="481" spans="25:28" ht="15.75" customHeight="1">
      <c r="Y481" s="256"/>
      <c r="Z481" s="256"/>
      <c r="AA481" s="256"/>
      <c r="AB481" s="256"/>
    </row>
    <row r="482" spans="25:28" ht="15.75" customHeight="1">
      <c r="Y482" s="256"/>
      <c r="Z482" s="256"/>
      <c r="AA482" s="256"/>
      <c r="AB482" s="256"/>
    </row>
    <row r="483" spans="25:28" ht="15.75" customHeight="1">
      <c r="Y483" s="256"/>
      <c r="Z483" s="256"/>
      <c r="AA483" s="256"/>
      <c r="AB483" s="256"/>
    </row>
    <row r="484" spans="25:28" ht="15.75" customHeight="1">
      <c r="Y484" s="256"/>
      <c r="Z484" s="256"/>
      <c r="AA484" s="256"/>
      <c r="AB484" s="256"/>
    </row>
    <row r="485" spans="25:28" ht="15.75" customHeight="1">
      <c r="Y485" s="256"/>
      <c r="Z485" s="256"/>
      <c r="AA485" s="256"/>
      <c r="AB485" s="256"/>
    </row>
    <row r="486" spans="25:28" ht="15.75" customHeight="1">
      <c r="Y486" s="256"/>
      <c r="Z486" s="256"/>
      <c r="AA486" s="256"/>
      <c r="AB486" s="256"/>
    </row>
    <row r="487" spans="25:28" ht="15.75" customHeight="1">
      <c r="Y487" s="256"/>
      <c r="Z487" s="256"/>
      <c r="AA487" s="256"/>
      <c r="AB487" s="256"/>
    </row>
    <row r="488" spans="25:28" ht="15.75" customHeight="1">
      <c r="Y488" s="256"/>
      <c r="Z488" s="256"/>
      <c r="AA488" s="256"/>
      <c r="AB488" s="256"/>
    </row>
    <row r="489" spans="25:28" ht="15.75" customHeight="1">
      <c r="Y489" s="256"/>
      <c r="Z489" s="256"/>
      <c r="AA489" s="256"/>
      <c r="AB489" s="256"/>
    </row>
    <row r="490" spans="25:28" ht="15.75" customHeight="1">
      <c r="Y490" s="256"/>
      <c r="Z490" s="256"/>
      <c r="AA490" s="256"/>
      <c r="AB490" s="256"/>
    </row>
    <row r="491" spans="25:28" ht="15.75" customHeight="1">
      <c r="Y491" s="256"/>
      <c r="Z491" s="256"/>
      <c r="AA491" s="256"/>
      <c r="AB491" s="256"/>
    </row>
    <row r="492" spans="25:28" ht="15.75" customHeight="1">
      <c r="Y492" s="256"/>
      <c r="Z492" s="256"/>
      <c r="AA492" s="256"/>
      <c r="AB492" s="256"/>
    </row>
    <row r="493" spans="25:28" ht="15.75" customHeight="1">
      <c r="Y493" s="256"/>
      <c r="Z493" s="256"/>
      <c r="AA493" s="256"/>
      <c r="AB493" s="256"/>
    </row>
    <row r="494" spans="25:28" ht="15.75" customHeight="1">
      <c r="Y494" s="256"/>
      <c r="Z494" s="256"/>
      <c r="AA494" s="256"/>
      <c r="AB494" s="256"/>
    </row>
    <row r="495" spans="25:28" ht="15.75" customHeight="1">
      <c r="Y495" s="256"/>
      <c r="Z495" s="256"/>
      <c r="AA495" s="256"/>
      <c r="AB495" s="256"/>
    </row>
    <row r="496" spans="25:28" ht="15.75" customHeight="1">
      <c r="Y496" s="256"/>
      <c r="Z496" s="256"/>
      <c r="AA496" s="256"/>
      <c r="AB496" s="256"/>
    </row>
    <row r="497" spans="25:28" ht="15.75" customHeight="1">
      <c r="Y497" s="256"/>
      <c r="Z497" s="256"/>
      <c r="AA497" s="256"/>
      <c r="AB497" s="256"/>
    </row>
    <row r="498" spans="25:28" ht="15.75" customHeight="1">
      <c r="Y498" s="256"/>
      <c r="Z498" s="256"/>
      <c r="AA498" s="256"/>
      <c r="AB498" s="256"/>
    </row>
    <row r="499" spans="25:28" ht="15.75" customHeight="1">
      <c r="Y499" s="256"/>
      <c r="Z499" s="256"/>
      <c r="AA499" s="256"/>
      <c r="AB499" s="256"/>
    </row>
    <row r="500" spans="25:28" ht="15.75" customHeight="1">
      <c r="Y500" s="256"/>
      <c r="Z500" s="256"/>
      <c r="AA500" s="256"/>
      <c r="AB500" s="256"/>
    </row>
    <row r="501" spans="25:28" ht="15.75" customHeight="1">
      <c r="Y501" s="256"/>
      <c r="Z501" s="256"/>
      <c r="AA501" s="256"/>
      <c r="AB501" s="256"/>
    </row>
    <row r="502" spans="25:28" ht="15.75" customHeight="1">
      <c r="Y502" s="256"/>
      <c r="Z502" s="256"/>
      <c r="AA502" s="256"/>
      <c r="AB502" s="256"/>
    </row>
    <row r="503" spans="25:28" ht="15.75" customHeight="1">
      <c r="Y503" s="256"/>
      <c r="Z503" s="256"/>
      <c r="AA503" s="256"/>
      <c r="AB503" s="256"/>
    </row>
    <row r="504" spans="25:28" ht="15.75" customHeight="1">
      <c r="Y504" s="256"/>
      <c r="Z504" s="256"/>
      <c r="AA504" s="256"/>
      <c r="AB504" s="256"/>
    </row>
    <row r="505" spans="25:28" ht="15.75" customHeight="1">
      <c r="Y505" s="256"/>
      <c r="Z505" s="256"/>
      <c r="AA505" s="256"/>
      <c r="AB505" s="256"/>
    </row>
    <row r="506" spans="25:28" ht="15.75" customHeight="1">
      <c r="Y506" s="256"/>
      <c r="Z506" s="256"/>
      <c r="AA506" s="256"/>
      <c r="AB506" s="256"/>
    </row>
    <row r="507" spans="25:28" ht="15.75" customHeight="1">
      <c r="Y507" s="256"/>
      <c r="Z507" s="256"/>
      <c r="AA507" s="256"/>
      <c r="AB507" s="256"/>
    </row>
    <row r="508" spans="25:28" ht="15.75" customHeight="1">
      <c r="Y508" s="256"/>
      <c r="Z508" s="256"/>
      <c r="AA508" s="256"/>
      <c r="AB508" s="256"/>
    </row>
    <row r="509" spans="25:28" ht="15.75" customHeight="1">
      <c r="Y509" s="256"/>
      <c r="Z509" s="256"/>
      <c r="AA509" s="256"/>
      <c r="AB509" s="256"/>
    </row>
    <row r="510" spans="25:28" ht="15.75" customHeight="1">
      <c r="Y510" s="256"/>
      <c r="Z510" s="256"/>
      <c r="AA510" s="256"/>
      <c r="AB510" s="256"/>
    </row>
    <row r="511" spans="25:28" ht="15.75" customHeight="1">
      <c r="Y511" s="256"/>
      <c r="Z511" s="256"/>
      <c r="AA511" s="256"/>
      <c r="AB511" s="256"/>
    </row>
    <row r="512" spans="25:28" ht="15.75" customHeight="1">
      <c r="Y512" s="256"/>
      <c r="Z512" s="256"/>
      <c r="AA512" s="256"/>
      <c r="AB512" s="256"/>
    </row>
    <row r="513" spans="25:28" ht="15.75" customHeight="1">
      <c r="Y513" s="256"/>
      <c r="Z513" s="256"/>
      <c r="AA513" s="256"/>
      <c r="AB513" s="256"/>
    </row>
    <row r="514" spans="25:28" ht="15.75" customHeight="1">
      <c r="Y514" s="256"/>
      <c r="Z514" s="256"/>
      <c r="AA514" s="256"/>
      <c r="AB514" s="256"/>
    </row>
    <row r="515" spans="25:28" ht="15.75" customHeight="1">
      <c r="Y515" s="256"/>
      <c r="Z515" s="256"/>
      <c r="AA515" s="256"/>
      <c r="AB515" s="256"/>
    </row>
    <row r="516" spans="25:28" ht="15.75" customHeight="1">
      <c r="Y516" s="256"/>
      <c r="Z516" s="256"/>
      <c r="AA516" s="256"/>
      <c r="AB516" s="256"/>
    </row>
    <row r="517" spans="25:28" ht="15.75" customHeight="1">
      <c r="Y517" s="256"/>
      <c r="Z517" s="256"/>
      <c r="AA517" s="256"/>
      <c r="AB517" s="256"/>
    </row>
    <row r="518" spans="25:28" ht="15.75" customHeight="1">
      <c r="Y518" s="256"/>
      <c r="Z518" s="256"/>
      <c r="AA518" s="256"/>
      <c r="AB518" s="256"/>
    </row>
    <row r="519" spans="25:28" ht="15.75" customHeight="1">
      <c r="Y519" s="256"/>
      <c r="Z519" s="256"/>
      <c r="AA519" s="256"/>
      <c r="AB519" s="256"/>
    </row>
    <row r="520" spans="25:28" ht="15.75" customHeight="1">
      <c r="Y520" s="256"/>
      <c r="Z520" s="256"/>
      <c r="AA520" s="256"/>
      <c r="AB520" s="256"/>
    </row>
    <row r="521" spans="25:28" ht="15.75" customHeight="1">
      <c r="Y521" s="256"/>
      <c r="Z521" s="256"/>
      <c r="AA521" s="256"/>
      <c r="AB521" s="256"/>
    </row>
    <row r="522" spans="25:28" ht="15.75" customHeight="1">
      <c r="Y522" s="256"/>
      <c r="Z522" s="256"/>
      <c r="AA522" s="256"/>
      <c r="AB522" s="256"/>
    </row>
    <row r="523" spans="25:28" ht="15.75" customHeight="1">
      <c r="Y523" s="256"/>
      <c r="Z523" s="256"/>
      <c r="AA523" s="256"/>
      <c r="AB523" s="256"/>
    </row>
    <row r="524" spans="25:28" ht="15.75" customHeight="1">
      <c r="Y524" s="256"/>
      <c r="Z524" s="256"/>
      <c r="AA524" s="256"/>
      <c r="AB524" s="256"/>
    </row>
    <row r="525" spans="25:28" ht="15.75" customHeight="1">
      <c r="Y525" s="256"/>
      <c r="Z525" s="256"/>
      <c r="AA525" s="256"/>
      <c r="AB525" s="256"/>
    </row>
  </sheetData>
  <mergeCells count="45">
    <mergeCell ref="A1:K1"/>
    <mergeCell ref="B5:B6"/>
    <mergeCell ref="F38:G38"/>
    <mergeCell ref="A22:A23"/>
    <mergeCell ref="F20:G20"/>
    <mergeCell ref="F36:G36"/>
    <mergeCell ref="B22:B23"/>
    <mergeCell ref="A29:A30"/>
    <mergeCell ref="F27:G27"/>
    <mergeCell ref="F33:G33"/>
    <mergeCell ref="A3:K3"/>
    <mergeCell ref="D5:D6"/>
    <mergeCell ref="J5:J6"/>
    <mergeCell ref="K5:K6"/>
    <mergeCell ref="A21:F21"/>
    <mergeCell ref="E29:E30"/>
    <mergeCell ref="B29:B30"/>
    <mergeCell ref="F22:F23"/>
    <mergeCell ref="G29:G30"/>
    <mergeCell ref="I29:I30"/>
    <mergeCell ref="J22:J23"/>
    <mergeCell ref="J29:J30"/>
    <mergeCell ref="K22:K23"/>
    <mergeCell ref="K29:K30"/>
    <mergeCell ref="A2:K2"/>
    <mergeCell ref="C5:C6"/>
    <mergeCell ref="F35:G35"/>
    <mergeCell ref="C22:C23"/>
    <mergeCell ref="A28:F28"/>
    <mergeCell ref="I22:I23"/>
    <mergeCell ref="D29:D30"/>
    <mergeCell ref="H29:H30"/>
    <mergeCell ref="D22:D23"/>
    <mergeCell ref="G22:G23"/>
    <mergeCell ref="A5:A6"/>
    <mergeCell ref="A4:K4"/>
    <mergeCell ref="I5:I6"/>
    <mergeCell ref="H5:H6"/>
    <mergeCell ref="E5:E6"/>
    <mergeCell ref="F5:F6"/>
    <mergeCell ref="G5:G6"/>
    <mergeCell ref="C29:C30"/>
    <mergeCell ref="H22:H23"/>
    <mergeCell ref="F29:F30"/>
    <mergeCell ref="E22:E23"/>
  </mergeCells>
  <printOptions horizontalCentered="1" verticalCentered="1"/>
  <pageMargins left="0.69930555555555596" right="0.69930555555555596" top="0.75" bottom="0.75" header="0" footer="0"/>
  <pageSetup paperSize="9" scale="6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B265"/>
  <sheetViews>
    <sheetView topLeftCell="C1" zoomScale="85" workbookViewId="0">
      <selection activeCell="H17" sqref="H17:H18"/>
    </sheetView>
  </sheetViews>
  <sheetFormatPr defaultColWidth="9.83203125" defaultRowHeight="15" customHeight="1"/>
  <cols>
    <col min="1" max="1" width="3.83203125" style="352" customWidth="1"/>
    <col min="2" max="2" width="17.25" style="352" customWidth="1"/>
    <col min="3" max="3" width="18.75" style="352" customWidth="1"/>
    <col min="4" max="4" width="27.58203125" style="352" customWidth="1"/>
    <col min="5" max="5" width="24.83203125" style="352" customWidth="1"/>
    <col min="6" max="6" width="17.5" style="352" customWidth="1"/>
    <col min="7" max="8" width="13.25" style="352" customWidth="1"/>
    <col min="9" max="10" width="11.75" style="353" customWidth="1"/>
    <col min="11" max="11" width="17.25" style="353" customWidth="1"/>
    <col min="12" max="12" width="11.08203125" style="1" customWidth="1"/>
    <col min="13" max="18" width="14.25" style="1" customWidth="1"/>
    <col min="19" max="19" width="8.75" style="1" customWidth="1"/>
    <col min="20" max="22" width="13.08203125" style="1" customWidth="1"/>
    <col min="23" max="23" width="10.25" style="1" customWidth="1"/>
    <col min="24" max="28" width="8.75" style="1" customWidth="1"/>
    <col min="29" max="16384" width="9.83203125" style="1"/>
  </cols>
  <sheetData>
    <row r="1" spans="1:28" ht="18" customHeight="1">
      <c r="A1" s="1051" t="s">
        <v>3334</v>
      </c>
      <c r="B1" s="1052"/>
      <c r="C1" s="1052"/>
      <c r="D1" s="1052"/>
      <c r="E1" s="1052"/>
      <c r="F1" s="1052"/>
      <c r="G1" s="1052"/>
      <c r="H1" s="1052"/>
      <c r="I1" s="1052"/>
      <c r="J1" s="1052"/>
      <c r="K1" s="1052"/>
      <c r="L1" s="308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</row>
    <row r="2" spans="1:28" ht="29.25" customHeight="1">
      <c r="A2" s="1058" t="s">
        <v>3268</v>
      </c>
      <c r="B2" s="1052"/>
      <c r="C2" s="1052"/>
      <c r="D2" s="1052"/>
      <c r="E2" s="1052"/>
      <c r="F2" s="1052"/>
      <c r="G2" s="1052"/>
      <c r="H2" s="1052"/>
      <c r="I2" s="1052"/>
      <c r="J2" s="1052"/>
      <c r="K2" s="1052"/>
      <c r="L2" s="308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</row>
    <row r="3" spans="1:28" ht="18" customHeight="1">
      <c r="A3" s="1058" t="s">
        <v>3335</v>
      </c>
      <c r="B3" s="1052"/>
      <c r="C3" s="1052"/>
      <c r="D3" s="1052"/>
      <c r="E3" s="1052"/>
      <c r="F3" s="1052"/>
      <c r="G3" s="1052"/>
      <c r="H3" s="1052"/>
      <c r="I3" s="1052"/>
      <c r="J3" s="1052"/>
      <c r="K3" s="1052"/>
      <c r="L3" s="308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15" customHeight="1">
      <c r="A4" s="1045" t="s">
        <v>25</v>
      </c>
      <c r="B4" s="1046"/>
      <c r="C4" s="1046"/>
      <c r="D4" s="1046"/>
      <c r="E4" s="1046"/>
      <c r="F4" s="1046"/>
      <c r="G4" s="1046"/>
      <c r="H4" s="1046"/>
      <c r="I4" s="1046"/>
      <c r="J4" s="1046"/>
      <c r="K4" s="1046"/>
      <c r="L4" s="308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</row>
    <row r="5" spans="1:28" ht="17.25" customHeight="1">
      <c r="A5" s="1043" t="s">
        <v>3270</v>
      </c>
      <c r="B5" s="1043" t="s">
        <v>3271</v>
      </c>
      <c r="C5" s="1043" t="s">
        <v>3272</v>
      </c>
      <c r="D5" s="1043" t="s">
        <v>3273</v>
      </c>
      <c r="E5" s="1043" t="s">
        <v>3274</v>
      </c>
      <c r="F5" s="1059" t="s">
        <v>3275</v>
      </c>
      <c r="G5" s="1043" t="s">
        <v>13</v>
      </c>
      <c r="H5" s="1047" t="s">
        <v>3278</v>
      </c>
      <c r="I5" s="1047" t="s">
        <v>3276</v>
      </c>
      <c r="J5" s="1047" t="s">
        <v>3277</v>
      </c>
      <c r="K5" s="1047" t="s">
        <v>21</v>
      </c>
      <c r="L5" s="308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</row>
    <row r="6" spans="1:28" ht="15" customHeight="1">
      <c r="A6" s="1044"/>
      <c r="B6" s="1044"/>
      <c r="C6" s="1044"/>
      <c r="D6" s="1044"/>
      <c r="E6" s="1044"/>
      <c r="F6" s="1044"/>
      <c r="G6" s="1044"/>
      <c r="H6" s="1048"/>
      <c r="I6" s="1048"/>
      <c r="J6" s="1048"/>
      <c r="K6" s="1048"/>
      <c r="L6" s="308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21.75" customHeight="1">
      <c r="A7" s="354">
        <v>1</v>
      </c>
      <c r="B7" s="10" t="s">
        <v>2271</v>
      </c>
      <c r="C7" s="9" t="s">
        <v>1588</v>
      </c>
      <c r="D7" s="9" t="s">
        <v>1977</v>
      </c>
      <c r="E7" s="9" t="s">
        <v>2269</v>
      </c>
      <c r="F7" s="9" t="s">
        <v>215</v>
      </c>
      <c r="G7" s="12">
        <v>45108</v>
      </c>
      <c r="H7" s="56" t="s">
        <v>3336</v>
      </c>
      <c r="I7" s="403">
        <v>5150000</v>
      </c>
      <c r="J7" s="358">
        <v>6025000</v>
      </c>
      <c r="K7" s="358">
        <f t="shared" ref="K7:K18" si="0">J7-I7</f>
        <v>875000</v>
      </c>
      <c r="L7" s="308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 spans="1:28" ht="21.75" customHeight="1">
      <c r="A8" s="354">
        <v>2</v>
      </c>
      <c r="B8" s="143" t="s">
        <v>2281</v>
      </c>
      <c r="C8" s="9" t="s">
        <v>1588</v>
      </c>
      <c r="D8" s="9" t="s">
        <v>1977</v>
      </c>
      <c r="E8" s="9" t="s">
        <v>2278</v>
      </c>
      <c r="F8" s="9" t="s">
        <v>172</v>
      </c>
      <c r="G8" s="12">
        <v>45109</v>
      </c>
      <c r="H8" s="56">
        <v>45162</v>
      </c>
      <c r="I8" s="404">
        <v>1650000</v>
      </c>
      <c r="J8" s="359">
        <v>2275000</v>
      </c>
      <c r="K8" s="358">
        <f t="shared" si="0"/>
        <v>625000</v>
      </c>
      <c r="L8" s="308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</row>
    <row r="9" spans="1:28" ht="21.75" customHeight="1">
      <c r="A9" s="354">
        <v>3</v>
      </c>
      <c r="B9" s="10" t="s">
        <v>2287</v>
      </c>
      <c r="C9" s="9" t="s">
        <v>2135</v>
      </c>
      <c r="D9" s="9" t="s">
        <v>1375</v>
      </c>
      <c r="E9" s="9" t="s">
        <v>2284</v>
      </c>
      <c r="F9" s="9" t="s">
        <v>66</v>
      </c>
      <c r="G9" s="12" t="s">
        <v>40</v>
      </c>
      <c r="H9" s="103" t="s">
        <v>2182</v>
      </c>
      <c r="I9" s="391">
        <v>187125000</v>
      </c>
      <c r="J9" s="363">
        <v>194224100</v>
      </c>
      <c r="K9" s="358">
        <f t="shared" si="0"/>
        <v>7099100</v>
      </c>
      <c r="L9" s="308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</row>
    <row r="10" spans="1:28" ht="21.75" customHeight="1">
      <c r="A10" s="354">
        <v>4</v>
      </c>
      <c r="B10" s="10" t="s">
        <v>2300</v>
      </c>
      <c r="C10" s="9" t="s">
        <v>2297</v>
      </c>
      <c r="D10" s="9" t="s">
        <v>1375</v>
      </c>
      <c r="E10" s="9" t="s">
        <v>2296</v>
      </c>
      <c r="F10" s="9" t="s">
        <v>66</v>
      </c>
      <c r="G10" s="12">
        <v>45111</v>
      </c>
      <c r="H10" s="94" t="s">
        <v>2304</v>
      </c>
      <c r="I10" s="391">
        <v>50750000</v>
      </c>
      <c r="J10" s="363">
        <v>58095600</v>
      </c>
      <c r="K10" s="358">
        <f t="shared" si="0"/>
        <v>7345600</v>
      </c>
      <c r="L10" s="308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8" ht="21.75" customHeight="1">
      <c r="A11" s="354">
        <v>5</v>
      </c>
      <c r="B11" s="9" t="s">
        <v>2308</v>
      </c>
      <c r="C11" s="405" t="s">
        <v>1733</v>
      </c>
      <c r="D11" s="405" t="s">
        <v>1375</v>
      </c>
      <c r="E11" s="9" t="s">
        <v>2305</v>
      </c>
      <c r="F11" s="9" t="s">
        <v>66</v>
      </c>
      <c r="G11" s="12">
        <v>45138</v>
      </c>
      <c r="H11" s="94" t="s">
        <v>3337</v>
      </c>
      <c r="I11" s="391">
        <v>71020000</v>
      </c>
      <c r="J11" s="363">
        <v>89015480</v>
      </c>
      <c r="K11" s="358">
        <f t="shared" si="0"/>
        <v>17995480</v>
      </c>
      <c r="L11" s="308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8" ht="21.75" customHeight="1">
      <c r="A12" s="354">
        <v>6</v>
      </c>
      <c r="B12" s="143" t="s">
        <v>2319</v>
      </c>
      <c r="C12" s="9" t="s">
        <v>2297</v>
      </c>
      <c r="D12" s="9" t="s">
        <v>1375</v>
      </c>
      <c r="E12" s="9" t="s">
        <v>2316</v>
      </c>
      <c r="F12" s="9" t="s">
        <v>172</v>
      </c>
      <c r="G12" s="406">
        <v>45137</v>
      </c>
      <c r="H12" s="94" t="s">
        <v>3338</v>
      </c>
      <c r="I12" s="391">
        <v>9450000</v>
      </c>
      <c r="J12" s="363">
        <v>12154560</v>
      </c>
      <c r="K12" s="358">
        <f t="shared" si="0"/>
        <v>2704560</v>
      </c>
      <c r="L12" s="308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8" ht="21.75" customHeight="1">
      <c r="A13" s="354">
        <v>7</v>
      </c>
      <c r="B13" s="9" t="s">
        <v>2326</v>
      </c>
      <c r="C13" s="9" t="s">
        <v>2297</v>
      </c>
      <c r="D13" s="9" t="s">
        <v>1375</v>
      </c>
      <c r="E13" s="9" t="s">
        <v>2323</v>
      </c>
      <c r="F13" s="9" t="s">
        <v>66</v>
      </c>
      <c r="G13" s="406">
        <v>45129</v>
      </c>
      <c r="H13" s="94" t="s">
        <v>3337</v>
      </c>
      <c r="I13" s="391">
        <v>59000000</v>
      </c>
      <c r="J13" s="363">
        <v>93404800</v>
      </c>
      <c r="K13" s="358">
        <f t="shared" si="0"/>
        <v>34404800</v>
      </c>
      <c r="L13" s="308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8" ht="21.75" customHeight="1">
      <c r="A14" s="354">
        <v>8</v>
      </c>
      <c r="B14" s="405" t="s">
        <v>2332</v>
      </c>
      <c r="C14" s="9" t="s">
        <v>1829</v>
      </c>
      <c r="D14" s="9" t="s">
        <v>1485</v>
      </c>
      <c r="E14" s="9" t="s">
        <v>2331</v>
      </c>
      <c r="F14" s="9" t="s">
        <v>1491</v>
      </c>
      <c r="G14" s="12">
        <v>45089</v>
      </c>
      <c r="H14" s="17">
        <v>45163</v>
      </c>
      <c r="I14" s="391">
        <v>1800000</v>
      </c>
      <c r="J14" s="363">
        <v>2900000</v>
      </c>
      <c r="K14" s="358">
        <f t="shared" si="0"/>
        <v>1100000</v>
      </c>
      <c r="L14" s="308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8" ht="21.75" customHeight="1">
      <c r="A15" s="354">
        <v>9</v>
      </c>
      <c r="B15" s="143" t="s">
        <v>2338</v>
      </c>
      <c r="C15" s="9" t="s">
        <v>2335</v>
      </c>
      <c r="D15" s="9" t="s">
        <v>1977</v>
      </c>
      <c r="E15" s="10" t="s">
        <v>2334</v>
      </c>
      <c r="F15" s="9" t="s">
        <v>317</v>
      </c>
      <c r="G15" s="12">
        <v>45117</v>
      </c>
      <c r="H15" s="17">
        <v>45198</v>
      </c>
      <c r="I15" s="391">
        <v>3630000</v>
      </c>
      <c r="J15" s="363">
        <v>4505000</v>
      </c>
      <c r="K15" s="358">
        <f t="shared" si="0"/>
        <v>875000</v>
      </c>
      <c r="L15" s="308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8" ht="21.75" customHeight="1">
      <c r="A16" s="354">
        <v>10</v>
      </c>
      <c r="B16" s="143" t="s">
        <v>2346</v>
      </c>
      <c r="C16" s="9" t="s">
        <v>2335</v>
      </c>
      <c r="D16" s="9" t="s">
        <v>1977</v>
      </c>
      <c r="E16" s="143" t="s">
        <v>2344</v>
      </c>
      <c r="F16" s="143" t="s">
        <v>208</v>
      </c>
      <c r="G16" s="12">
        <v>45124</v>
      </c>
      <c r="H16" s="94">
        <v>45196</v>
      </c>
      <c r="I16" s="391">
        <v>3150000</v>
      </c>
      <c r="J16" s="363">
        <v>4700000</v>
      </c>
      <c r="K16" s="358">
        <f t="shared" si="0"/>
        <v>1550000</v>
      </c>
      <c r="L16" s="308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8" ht="21.75" customHeight="1">
      <c r="A17" s="354">
        <v>11</v>
      </c>
      <c r="B17" s="143" t="s">
        <v>2319</v>
      </c>
      <c r="C17" s="9" t="s">
        <v>2335</v>
      </c>
      <c r="D17" s="9" t="s">
        <v>1977</v>
      </c>
      <c r="E17" s="143" t="s">
        <v>2351</v>
      </c>
      <c r="F17" s="143" t="s">
        <v>215</v>
      </c>
      <c r="G17" s="12">
        <v>45137</v>
      </c>
      <c r="H17" s="94">
        <v>45209</v>
      </c>
      <c r="I17" s="391">
        <v>3250000</v>
      </c>
      <c r="J17" s="363">
        <v>4150000</v>
      </c>
      <c r="K17" s="358">
        <f t="shared" si="0"/>
        <v>900000</v>
      </c>
      <c r="L17" s="308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8" ht="21.75" customHeight="1">
      <c r="A18" s="354">
        <v>12</v>
      </c>
      <c r="B18" s="143" t="s">
        <v>2358</v>
      </c>
      <c r="C18" s="9" t="s">
        <v>2335</v>
      </c>
      <c r="D18" s="9" t="s">
        <v>1977</v>
      </c>
      <c r="E18" s="143" t="s">
        <v>2356</v>
      </c>
      <c r="F18" s="143" t="s">
        <v>200</v>
      </c>
      <c r="G18" s="12">
        <v>45138</v>
      </c>
      <c r="H18" s="94">
        <v>45209</v>
      </c>
      <c r="I18" s="391">
        <v>3450000</v>
      </c>
      <c r="J18" s="363">
        <v>4700000</v>
      </c>
      <c r="K18" s="358">
        <f t="shared" si="0"/>
        <v>1250000</v>
      </c>
      <c r="L18" s="308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8" ht="21.75" customHeight="1">
      <c r="A19" s="368"/>
      <c r="B19" s="369"/>
      <c r="C19" s="369"/>
      <c r="D19" s="368" t="s">
        <v>3290</v>
      </c>
      <c r="E19" s="368"/>
      <c r="F19" s="1053" t="s">
        <v>3291</v>
      </c>
      <c r="G19" s="1054"/>
      <c r="H19" s="371"/>
      <c r="I19" s="372"/>
      <c r="J19" s="372"/>
      <c r="K19" s="373">
        <f>SUM(K7:K18)</f>
        <v>76724540</v>
      </c>
      <c r="L19" s="320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8" ht="21.75" customHeight="1">
      <c r="A20" s="1049" t="s">
        <v>128</v>
      </c>
      <c r="B20" s="1050"/>
      <c r="C20" s="1050"/>
      <c r="D20" s="1050"/>
      <c r="E20" s="1050"/>
      <c r="F20" s="1050"/>
      <c r="K20" s="374"/>
      <c r="L20" s="320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</row>
    <row r="21" spans="1:28" ht="21.75" customHeight="1">
      <c r="A21" s="1043" t="s">
        <v>3270</v>
      </c>
      <c r="B21" s="1043" t="s">
        <v>3271</v>
      </c>
      <c r="C21" s="1043" t="s">
        <v>3272</v>
      </c>
      <c r="D21" s="1043" t="s">
        <v>3273</v>
      </c>
      <c r="E21" s="1043" t="s">
        <v>3274</v>
      </c>
      <c r="F21" s="1059" t="s">
        <v>3292</v>
      </c>
      <c r="G21" s="1043" t="s">
        <v>12</v>
      </c>
      <c r="H21" s="1047" t="s">
        <v>3278</v>
      </c>
      <c r="I21" s="1047" t="s">
        <v>3276</v>
      </c>
      <c r="J21" s="1047" t="s">
        <v>3277</v>
      </c>
      <c r="K21" s="1047" t="s">
        <v>21</v>
      </c>
      <c r="L21" s="308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</row>
    <row r="22" spans="1:28" ht="21.75" customHeight="1">
      <c r="A22" s="1044"/>
      <c r="B22" s="1044"/>
      <c r="C22" s="1044"/>
      <c r="D22" s="1044"/>
      <c r="E22" s="1044"/>
      <c r="F22" s="1044"/>
      <c r="G22" s="1044"/>
      <c r="H22" s="1048"/>
      <c r="I22" s="1048"/>
      <c r="J22" s="1048"/>
      <c r="K22" s="1048"/>
      <c r="L22" s="308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</row>
    <row r="23" spans="1:28" s="270" customFormat="1" ht="21.75" customHeight="1">
      <c r="A23" s="361">
        <v>13</v>
      </c>
      <c r="B23" s="129" t="s">
        <v>2366</v>
      </c>
      <c r="C23" s="13" t="s">
        <v>2364</v>
      </c>
      <c r="D23" s="13" t="s">
        <v>2362</v>
      </c>
      <c r="E23" s="9" t="s">
        <v>2363</v>
      </c>
      <c r="F23" s="13" t="s">
        <v>2368</v>
      </c>
      <c r="G23" s="17">
        <v>45118</v>
      </c>
      <c r="H23" s="17">
        <v>45135</v>
      </c>
      <c r="I23" s="363">
        <v>2810500</v>
      </c>
      <c r="J23" s="363">
        <v>3700000</v>
      </c>
      <c r="K23" s="358">
        <f t="shared" ref="K23:K24" si="1">J23-I23</f>
        <v>889500</v>
      </c>
      <c r="L23" s="308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</row>
    <row r="24" spans="1:28" s="270" customFormat="1" ht="21.75" customHeight="1">
      <c r="A24" s="361">
        <v>14</v>
      </c>
      <c r="B24" s="67" t="s">
        <v>2375</v>
      </c>
      <c r="C24" s="66" t="s">
        <v>2234</v>
      </c>
      <c r="D24" s="66" t="s">
        <v>1559</v>
      </c>
      <c r="E24" s="66" t="s">
        <v>2372</v>
      </c>
      <c r="F24" s="66" t="s">
        <v>2377</v>
      </c>
      <c r="G24" s="65">
        <v>45135</v>
      </c>
      <c r="H24" s="94">
        <v>45177</v>
      </c>
      <c r="I24" s="363">
        <v>3200000</v>
      </c>
      <c r="J24" s="363">
        <v>4650000</v>
      </c>
      <c r="K24" s="392">
        <f t="shared" si="1"/>
        <v>1450000</v>
      </c>
      <c r="L24" s="308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</row>
    <row r="25" spans="1:28" s="270" customFormat="1" ht="21.75" customHeight="1">
      <c r="A25" s="368"/>
      <c r="B25" s="368"/>
      <c r="C25" s="368"/>
      <c r="D25" s="368"/>
      <c r="E25" s="368"/>
      <c r="F25" s="1053" t="s">
        <v>3295</v>
      </c>
      <c r="G25" s="1054"/>
      <c r="H25" s="371"/>
      <c r="I25" s="372"/>
      <c r="J25" s="372"/>
      <c r="K25" s="373">
        <f>SUM(K23:K24)</f>
        <v>2339500</v>
      </c>
      <c r="L25" s="308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</row>
    <row r="26" spans="1:28" s="270" customFormat="1" ht="21.75" customHeight="1">
      <c r="A26" s="1049" t="s">
        <v>1905</v>
      </c>
      <c r="B26" s="1050"/>
      <c r="C26" s="1050"/>
      <c r="D26" s="1050"/>
      <c r="E26" s="1050"/>
      <c r="F26" s="1050"/>
      <c r="G26" s="352"/>
      <c r="H26" s="352"/>
      <c r="I26" s="353"/>
      <c r="J26" s="353"/>
      <c r="K26" s="374"/>
      <c r="L26" s="308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</row>
    <row r="27" spans="1:28" s="270" customFormat="1" ht="21.75" customHeight="1">
      <c r="A27" s="1043" t="s">
        <v>3270</v>
      </c>
      <c r="B27" s="1043" t="s">
        <v>3271</v>
      </c>
      <c r="C27" s="1043" t="s">
        <v>3272</v>
      </c>
      <c r="D27" s="1043" t="s">
        <v>3273</v>
      </c>
      <c r="E27" s="1043" t="s">
        <v>3274</v>
      </c>
      <c r="F27" s="1059" t="s">
        <v>3292</v>
      </c>
      <c r="G27" s="1043" t="s">
        <v>12</v>
      </c>
      <c r="H27" s="1047" t="s">
        <v>3278</v>
      </c>
      <c r="I27" s="1047" t="s">
        <v>3276</v>
      </c>
      <c r="J27" s="1047" t="s">
        <v>3277</v>
      </c>
      <c r="K27" s="1047" t="s">
        <v>21</v>
      </c>
      <c r="L27" s="308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</row>
    <row r="28" spans="1:28" s="270" customFormat="1" ht="21.75" customHeight="1">
      <c r="A28" s="1044"/>
      <c r="B28" s="1044"/>
      <c r="C28" s="1044"/>
      <c r="D28" s="1044"/>
      <c r="E28" s="1044"/>
      <c r="F28" s="1044"/>
      <c r="G28" s="1044"/>
      <c r="H28" s="1048"/>
      <c r="I28" s="1048"/>
      <c r="J28" s="1048"/>
      <c r="K28" s="1048"/>
      <c r="L28" s="308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</row>
    <row r="29" spans="1:28" s="270" customFormat="1" ht="21.75" customHeight="1">
      <c r="A29" s="361">
        <v>15</v>
      </c>
      <c r="B29" s="66" t="s">
        <v>2387</v>
      </c>
      <c r="C29" s="66" t="s">
        <v>2383</v>
      </c>
      <c r="D29" s="9" t="s">
        <v>45</v>
      </c>
      <c r="E29" s="143" t="s">
        <v>2382</v>
      </c>
      <c r="F29" s="66" t="s">
        <v>2388</v>
      </c>
      <c r="G29" s="68">
        <v>45115</v>
      </c>
      <c r="H29" s="12">
        <v>45187</v>
      </c>
      <c r="I29" s="363">
        <v>3198000</v>
      </c>
      <c r="J29" s="363">
        <v>5502500</v>
      </c>
      <c r="K29" s="358">
        <f>J29-I29</f>
        <v>2304500</v>
      </c>
      <c r="L29" s="308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</row>
    <row r="30" spans="1:28" s="270" customFormat="1" ht="21.75" customHeight="1">
      <c r="A30" s="361">
        <v>16</v>
      </c>
      <c r="B30" s="66" t="s">
        <v>2394</v>
      </c>
      <c r="C30" s="66" t="s">
        <v>2383</v>
      </c>
      <c r="D30" s="9" t="s">
        <v>45</v>
      </c>
      <c r="E30" s="143" t="s">
        <v>2392</v>
      </c>
      <c r="F30" s="66" t="s">
        <v>2395</v>
      </c>
      <c r="G30" s="68">
        <v>45115</v>
      </c>
      <c r="H30" s="17">
        <v>45187</v>
      </c>
      <c r="I30" s="363">
        <v>4437000</v>
      </c>
      <c r="J30" s="363">
        <v>6815000</v>
      </c>
      <c r="K30" s="358">
        <f>J30-I30</f>
        <v>2378000</v>
      </c>
      <c r="L30" s="308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</row>
    <row r="31" spans="1:28" s="270" customFormat="1" ht="21.75" customHeight="1">
      <c r="A31" s="361">
        <v>17</v>
      </c>
      <c r="B31" s="67" t="s">
        <v>2399</v>
      </c>
      <c r="C31" s="66" t="s">
        <v>1919</v>
      </c>
      <c r="D31" s="9" t="s">
        <v>1375</v>
      </c>
      <c r="E31" s="9" t="s">
        <v>2397</v>
      </c>
      <c r="F31" s="66" t="s">
        <v>2400</v>
      </c>
      <c r="G31" s="65">
        <v>45048</v>
      </c>
      <c r="H31" s="68">
        <v>45180</v>
      </c>
      <c r="I31" s="363">
        <v>5500000</v>
      </c>
      <c r="J31" s="363">
        <v>6500000</v>
      </c>
      <c r="K31" s="358">
        <f t="shared" ref="K31" si="2">J31-I31</f>
        <v>1000000</v>
      </c>
      <c r="L31" s="308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</row>
    <row r="32" spans="1:28" s="270" customFormat="1" ht="21.75" customHeight="1">
      <c r="A32" s="368"/>
      <c r="B32" s="368"/>
      <c r="C32" s="368"/>
      <c r="D32" s="368"/>
      <c r="E32" s="368"/>
      <c r="F32" s="1055" t="s">
        <v>3322</v>
      </c>
      <c r="G32" s="1056"/>
      <c r="H32" s="371"/>
      <c r="I32" s="372"/>
      <c r="J32" s="372"/>
      <c r="K32" s="373">
        <f>SUM(K29:K31)</f>
        <v>5682500</v>
      </c>
      <c r="L32" s="308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</row>
    <row r="33" spans="1:28" ht="7.5" customHeight="1">
      <c r="A33" s="368"/>
      <c r="B33" s="368"/>
      <c r="C33" s="368"/>
      <c r="D33" s="368"/>
      <c r="E33" s="368"/>
      <c r="F33" s="370"/>
      <c r="G33" s="370"/>
      <c r="H33" s="370"/>
      <c r="I33" s="380"/>
      <c r="J33" s="380"/>
      <c r="K33" s="381"/>
      <c r="L33" s="308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</row>
    <row r="34" spans="1:28" ht="15" customHeight="1">
      <c r="A34" s="368"/>
      <c r="B34" s="368"/>
      <c r="C34" s="368"/>
      <c r="D34" s="368"/>
      <c r="E34" s="368"/>
      <c r="F34" s="1057" t="s">
        <v>3323</v>
      </c>
      <c r="G34" s="1054"/>
      <c r="H34" s="371"/>
      <c r="I34" s="372"/>
      <c r="J34" s="372"/>
      <c r="K34" s="383">
        <f>K19+K25+K32</f>
        <v>84746540</v>
      </c>
      <c r="L34" s="308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</row>
    <row r="35" spans="1:28" ht="15" customHeight="1">
      <c r="A35" s="368"/>
      <c r="B35" s="368"/>
      <c r="C35" s="368"/>
      <c r="D35" s="368"/>
      <c r="E35" s="368"/>
      <c r="F35" s="1053" t="s">
        <v>3297</v>
      </c>
      <c r="G35" s="1053"/>
      <c r="H35" s="370"/>
      <c r="I35" s="380"/>
      <c r="J35" s="380"/>
      <c r="K35" s="384">
        <v>36000000</v>
      </c>
      <c r="L35" s="308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</row>
    <row r="36" spans="1:28" ht="5.25" customHeight="1">
      <c r="A36" s="368"/>
      <c r="B36" s="368"/>
      <c r="C36" s="368"/>
      <c r="D36" s="368"/>
      <c r="E36" s="368"/>
      <c r="F36" s="370"/>
      <c r="G36" s="370"/>
      <c r="H36" s="370"/>
      <c r="I36" s="380"/>
      <c r="J36" s="380"/>
      <c r="K36" s="381"/>
      <c r="L36" s="308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</row>
    <row r="37" spans="1:28" ht="15" customHeight="1">
      <c r="A37" s="368"/>
      <c r="B37" s="368"/>
      <c r="C37" s="368"/>
      <c r="D37" s="368"/>
      <c r="E37" s="368"/>
      <c r="F37" s="1053" t="s">
        <v>3298</v>
      </c>
      <c r="G37" s="1053"/>
      <c r="H37" s="370"/>
      <c r="I37" s="380"/>
      <c r="J37" s="380"/>
      <c r="K37" s="381">
        <f>K34*12.5/100</f>
        <v>10593317.5</v>
      </c>
      <c r="L37" s="308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</row>
    <row r="38" spans="1:28" ht="15.75" customHeight="1"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</row>
    <row r="39" spans="1:28" ht="15.75" customHeight="1"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</row>
    <row r="40" spans="1:28" ht="15.75" customHeight="1"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</row>
    <row r="41" spans="1:28" ht="15.75" customHeight="1"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</row>
    <row r="42" spans="1:28" ht="15.75" customHeight="1"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</row>
    <row r="43" spans="1:28" ht="15.75" customHeight="1"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</row>
    <row r="44" spans="1:28" ht="15.75" customHeight="1"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</row>
    <row r="45" spans="1:28" ht="15.75" customHeight="1"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</row>
    <row r="46" spans="1:28" ht="27" customHeight="1"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</row>
    <row r="47" spans="1:28" ht="15.75" customHeight="1">
      <c r="B47" s="1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</row>
    <row r="48" spans="1:28" ht="15.75" customHeight="1">
      <c r="B48" s="1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</row>
    <row r="49" spans="2:28" ht="15.75" customHeight="1">
      <c r="B49" s="1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</row>
    <row r="50" spans="2:28" ht="15.75" customHeight="1">
      <c r="B50" s="1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</row>
    <row r="51" spans="2:28" ht="15.75" customHeight="1">
      <c r="B51" s="1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</row>
    <row r="52" spans="2:28" ht="15.75" customHeight="1">
      <c r="B52" s="1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</row>
    <row r="53" spans="2:28" ht="15.75" customHeight="1">
      <c r="B53" s="1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</row>
    <row r="54" spans="2:28" ht="15.75" customHeight="1">
      <c r="B54" s="1060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</row>
    <row r="55" spans="2:28" ht="15.75" customHeight="1">
      <c r="B55" s="1061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</row>
    <row r="56" spans="2:28" ht="15.75" customHeight="1">
      <c r="B56" s="1060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</row>
    <row r="57" spans="2:28" ht="15.75" customHeight="1">
      <c r="B57" s="1061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</row>
    <row r="58" spans="2:28" ht="15.75" customHeight="1">
      <c r="B58" s="1060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</row>
    <row r="59" spans="2:28" ht="15.75" customHeight="1">
      <c r="B59" s="1061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</row>
    <row r="60" spans="2:28" ht="15.75" customHeight="1">
      <c r="B60" s="1060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</row>
    <row r="61" spans="2:28" ht="15.75" customHeight="1">
      <c r="B61" s="1061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</row>
    <row r="62" spans="2:28" ht="15.75" customHeight="1"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</row>
    <row r="63" spans="2:28" ht="15.75" customHeight="1"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</row>
    <row r="64" spans="2:28" ht="15.75" customHeight="1"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</row>
    <row r="65" spans="12:28" ht="15.75" customHeight="1"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</row>
    <row r="66" spans="12:28" ht="15.75" customHeight="1"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</row>
    <row r="67" spans="12:28" ht="15.75" customHeight="1"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</row>
    <row r="68" spans="12:28" ht="15.75" customHeight="1"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</row>
    <row r="69" spans="12:28" ht="15.75" customHeight="1"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</row>
    <row r="70" spans="12:28" ht="15.75" customHeight="1"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</row>
    <row r="71" spans="12:28" ht="15.75" customHeight="1"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</row>
    <row r="72" spans="12:28" ht="15.75" customHeight="1"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</row>
    <row r="73" spans="12:28" ht="15.75" customHeight="1"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</row>
    <row r="74" spans="12:28" ht="15.75" customHeight="1"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</row>
    <row r="75" spans="12:28" ht="15.75" customHeight="1"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</row>
    <row r="76" spans="12:28" ht="15.75" customHeight="1"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</row>
    <row r="77" spans="12:28" ht="15.75" customHeight="1"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</row>
    <row r="78" spans="12:28" ht="15.75" customHeight="1"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</row>
    <row r="79" spans="12:28" ht="15.75" customHeight="1"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</row>
    <row r="80" spans="12:28" ht="15.75" customHeight="1"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</row>
    <row r="81" spans="12:28" ht="15.75" customHeight="1"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</row>
    <row r="82" spans="12:28" ht="15.75" customHeight="1"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</row>
    <row r="83" spans="12:28" ht="15.75" customHeight="1"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</row>
    <row r="84" spans="12:28" ht="15.75" customHeight="1"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</row>
    <row r="85" spans="12:28" ht="15.75" customHeight="1"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</row>
    <row r="86" spans="12:28" ht="15.75" customHeight="1"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</row>
    <row r="87" spans="12:28" ht="15.75" customHeight="1"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</row>
    <row r="88" spans="12:28" ht="15.75" customHeight="1"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</row>
    <row r="89" spans="12:28" ht="15.75" customHeight="1"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</row>
    <row r="90" spans="12:28" ht="15.75" customHeight="1"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</row>
    <row r="91" spans="12:28" ht="15.75" customHeight="1"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</row>
    <row r="92" spans="12:28" ht="15.75" customHeight="1"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</row>
    <row r="93" spans="12:28" ht="15.75" customHeight="1"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</row>
    <row r="94" spans="12:28" ht="15.75" customHeight="1"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</row>
    <row r="95" spans="12:28" ht="15.75" customHeight="1"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</row>
    <row r="96" spans="12:28" ht="15.75" customHeight="1"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</row>
    <row r="97" spans="12:28" ht="15.75" customHeight="1"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</row>
    <row r="98" spans="12:28" ht="15.75" customHeight="1"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</row>
    <row r="99" spans="12:28" ht="15.75" customHeight="1"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</row>
    <row r="100" spans="12:28" ht="15.75" customHeight="1"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</row>
    <row r="101" spans="12:28" ht="15.75" customHeight="1"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</row>
    <row r="102" spans="12:28" ht="15.75" customHeight="1"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</row>
    <row r="103" spans="12:28" ht="15.75" customHeight="1"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</row>
    <row r="104" spans="12:28" ht="15.75" customHeight="1"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</row>
    <row r="105" spans="12:28" ht="15.75" customHeight="1"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</row>
    <row r="106" spans="12:28" ht="15.75" customHeight="1"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</row>
    <row r="107" spans="12:28" ht="15.75" customHeight="1"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</row>
    <row r="108" spans="12:28" ht="15.75" customHeight="1"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</row>
    <row r="109" spans="12:28" ht="15.75" customHeight="1"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</row>
    <row r="110" spans="12:28" ht="15.75" customHeight="1"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</row>
    <row r="111" spans="12:28" ht="15.75" customHeight="1"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</row>
    <row r="112" spans="12:28" ht="15.75" customHeight="1"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</row>
    <row r="113" spans="12:28" ht="15.75" customHeight="1"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</row>
    <row r="114" spans="12:28" ht="15.75" customHeight="1"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</row>
    <row r="115" spans="12:28" ht="15.75" customHeight="1"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</row>
    <row r="116" spans="12:28" ht="15.75" customHeight="1"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</row>
    <row r="117" spans="12:28" ht="15.75" customHeight="1"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</row>
    <row r="118" spans="12:28" ht="15.75" customHeight="1"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</row>
    <row r="119" spans="12:28" ht="15.75" customHeight="1"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</row>
    <row r="120" spans="12:28" ht="15.75" customHeight="1"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</row>
    <row r="121" spans="12:28" ht="15.75" customHeight="1"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</row>
    <row r="122" spans="12:28" ht="15.75" customHeight="1"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</row>
    <row r="123" spans="12:28" ht="15.75" customHeight="1"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</row>
    <row r="124" spans="12:28" ht="15.75" customHeight="1"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</row>
    <row r="125" spans="12:28" ht="15.75" customHeight="1"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</row>
    <row r="126" spans="12:28" ht="15.75" customHeight="1"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</row>
    <row r="127" spans="12:28" ht="15.75" customHeight="1"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</row>
    <row r="128" spans="12:28" ht="15.75" customHeight="1"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</row>
    <row r="129" spans="12:28" ht="15.75" customHeight="1"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</row>
    <row r="130" spans="12:28" ht="15.75" customHeight="1"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</row>
    <row r="131" spans="12:28" ht="15.75" customHeight="1"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</row>
    <row r="132" spans="12:28" ht="15.75" customHeight="1"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</row>
    <row r="133" spans="12:28" ht="15.75" customHeight="1"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</row>
    <row r="134" spans="12:28" ht="15.75" customHeight="1"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</row>
    <row r="135" spans="12:28" ht="15.75" customHeight="1"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</row>
    <row r="136" spans="12:28" ht="15.75" customHeight="1"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</row>
    <row r="137" spans="12:28" ht="15.75" customHeight="1"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  <c r="AB137" s="256"/>
    </row>
    <row r="138" spans="12:28" ht="15.75" customHeight="1"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</row>
    <row r="139" spans="12:28" ht="15.75" customHeight="1"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</row>
    <row r="140" spans="12:28" ht="15.75" customHeight="1"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  <c r="AB140" s="256"/>
    </row>
    <row r="141" spans="12:28" ht="15.75" customHeight="1"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  <c r="AB141" s="256"/>
    </row>
    <row r="142" spans="12:28" ht="15.75" customHeight="1"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  <c r="AB142" s="256"/>
    </row>
    <row r="143" spans="12:28" ht="15.75" customHeight="1"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</row>
    <row r="144" spans="12:28" ht="15.75" customHeight="1"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</row>
    <row r="145" spans="12:28" ht="15.75" customHeight="1"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  <c r="AB145" s="256"/>
    </row>
    <row r="146" spans="12:28" ht="15.75" customHeight="1"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  <c r="AB146" s="256"/>
    </row>
    <row r="147" spans="12:28" ht="15.75" customHeight="1"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</row>
    <row r="148" spans="12:28" ht="15.75" customHeight="1"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</row>
    <row r="149" spans="12:28" ht="15.75" customHeight="1"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</row>
    <row r="150" spans="12:28" ht="15.75" customHeight="1"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  <c r="AB150" s="256"/>
    </row>
    <row r="151" spans="12:28" ht="15.75" customHeight="1"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  <c r="AA151" s="256"/>
      <c r="AB151" s="256"/>
    </row>
    <row r="152" spans="12:28" ht="15.75" customHeight="1"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  <c r="AB152" s="256"/>
    </row>
    <row r="153" spans="12:28" ht="15.75" customHeight="1"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</row>
    <row r="154" spans="12:28" ht="15.75" customHeight="1"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</row>
    <row r="155" spans="12:28" ht="15.75" customHeight="1"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</row>
    <row r="156" spans="12:28" ht="15.75" customHeight="1"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  <c r="AA156" s="256"/>
      <c r="AB156" s="256"/>
    </row>
    <row r="157" spans="12:28" ht="15.75" customHeight="1"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  <c r="AA157" s="256"/>
      <c r="AB157" s="256"/>
    </row>
    <row r="158" spans="12:28" ht="15.75" customHeight="1"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  <c r="AB158" s="256"/>
    </row>
    <row r="159" spans="12:28" ht="15.75" customHeight="1"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  <c r="AB159" s="256"/>
    </row>
    <row r="160" spans="12:28" ht="15.75" customHeight="1"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  <c r="AB160" s="256"/>
    </row>
    <row r="161" spans="12:28" ht="15.75" customHeight="1"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  <c r="AB161" s="256"/>
    </row>
    <row r="162" spans="12:28" ht="15.75" customHeight="1"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  <c r="AA162" s="256"/>
      <c r="AB162" s="256"/>
    </row>
    <row r="163" spans="12:28" ht="15.75" customHeight="1"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  <c r="AB163" s="256"/>
    </row>
    <row r="164" spans="12:28" ht="15.75" customHeight="1"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  <c r="AB164" s="256"/>
    </row>
    <row r="165" spans="12:28" ht="15.75" customHeight="1"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  <c r="AB165" s="256"/>
    </row>
    <row r="166" spans="12:28" ht="15.75" customHeight="1"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  <c r="AA166" s="256"/>
      <c r="AB166" s="256"/>
    </row>
    <row r="167" spans="12:28" ht="15.75" customHeight="1"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  <c r="AA167" s="256"/>
      <c r="AB167" s="256"/>
    </row>
    <row r="168" spans="12:28" ht="15.75" customHeight="1"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  <c r="AA168" s="256"/>
      <c r="AB168" s="256"/>
    </row>
    <row r="169" spans="12:28" ht="15.75" customHeight="1"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  <c r="AA169" s="256"/>
      <c r="AB169" s="256"/>
    </row>
    <row r="170" spans="12:28" ht="15.75" customHeight="1"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  <c r="AB170" s="256"/>
    </row>
    <row r="171" spans="12:28" ht="15.75" customHeight="1"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</row>
    <row r="172" spans="12:28" ht="15.75" customHeight="1"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  <c r="AB172" s="256"/>
    </row>
    <row r="173" spans="12:28" ht="15.75" customHeight="1"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  <c r="AB173" s="256"/>
    </row>
    <row r="174" spans="12:28" ht="15.75" customHeight="1"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</row>
    <row r="175" spans="12:28" ht="15.75" customHeight="1"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</row>
    <row r="176" spans="12:28" ht="15.75" customHeight="1"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  <c r="AB176" s="256"/>
    </row>
    <row r="177" spans="12:28" ht="15.75" customHeight="1"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  <c r="AB177" s="256"/>
    </row>
    <row r="178" spans="12:28" ht="15.75" customHeight="1"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  <c r="AA178" s="256"/>
      <c r="AB178" s="256"/>
    </row>
    <row r="179" spans="12:28" ht="15.75" customHeight="1"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  <c r="AA179" s="256"/>
      <c r="AB179" s="256"/>
    </row>
    <row r="180" spans="12:28" ht="15.75" customHeight="1"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  <c r="AB180" s="256"/>
    </row>
    <row r="181" spans="12:28" ht="15.75" customHeight="1"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  <c r="AA181" s="256"/>
      <c r="AB181" s="256"/>
    </row>
    <row r="182" spans="12:28" ht="15.75" customHeight="1"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  <c r="AA182" s="256"/>
      <c r="AB182" s="256"/>
    </row>
    <row r="183" spans="12:28" ht="15.75" customHeight="1"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  <c r="AB183" s="256"/>
    </row>
    <row r="184" spans="12:28" ht="15.75" customHeight="1"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  <c r="AA184" s="256"/>
      <c r="AB184" s="256"/>
    </row>
    <row r="185" spans="12:28" ht="15.75" customHeight="1"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  <c r="AB185" s="256"/>
    </row>
    <row r="186" spans="12:28" ht="15.75" customHeight="1"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  <c r="AB186" s="256"/>
    </row>
    <row r="187" spans="12:28" ht="15.75" customHeight="1"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  <c r="AB187" s="256"/>
    </row>
    <row r="188" spans="12:28" ht="15.75" customHeight="1"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  <c r="AB188" s="256"/>
    </row>
    <row r="189" spans="12:28" ht="15.75" customHeight="1"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  <c r="AA189" s="256"/>
      <c r="AB189" s="256"/>
    </row>
    <row r="190" spans="12:28" ht="15.75" customHeight="1">
      <c r="Y190" s="256"/>
      <c r="Z190" s="256"/>
      <c r="AA190" s="256"/>
      <c r="AB190" s="256"/>
    </row>
    <row r="191" spans="12:28" ht="15.75" customHeight="1">
      <c r="Y191" s="256"/>
      <c r="Z191" s="256"/>
      <c r="AA191" s="256"/>
      <c r="AB191" s="256"/>
    </row>
    <row r="192" spans="12:28" ht="15.75" customHeight="1">
      <c r="Y192" s="256"/>
      <c r="Z192" s="256"/>
      <c r="AA192" s="256"/>
      <c r="AB192" s="256"/>
    </row>
    <row r="193" spans="25:28" ht="15.75" customHeight="1">
      <c r="Y193" s="256"/>
      <c r="Z193" s="256"/>
      <c r="AA193" s="256"/>
      <c r="AB193" s="256"/>
    </row>
    <row r="194" spans="25:28" ht="15.75" customHeight="1">
      <c r="Y194" s="256"/>
      <c r="Z194" s="256"/>
      <c r="AA194" s="256"/>
      <c r="AB194" s="256"/>
    </row>
    <row r="195" spans="25:28" ht="15.75" customHeight="1">
      <c r="Y195" s="256"/>
      <c r="Z195" s="256"/>
      <c r="AA195" s="256"/>
      <c r="AB195" s="256"/>
    </row>
    <row r="196" spans="25:28" ht="15.75" customHeight="1">
      <c r="Y196" s="256"/>
      <c r="Z196" s="256"/>
      <c r="AA196" s="256"/>
      <c r="AB196" s="256"/>
    </row>
    <row r="197" spans="25:28" ht="15.75" customHeight="1">
      <c r="Y197" s="256"/>
      <c r="Z197" s="256"/>
      <c r="AA197" s="256"/>
      <c r="AB197" s="256"/>
    </row>
    <row r="198" spans="25:28" ht="15.75" customHeight="1">
      <c r="Y198" s="256"/>
      <c r="Z198" s="256"/>
      <c r="AA198" s="256"/>
      <c r="AB198" s="256"/>
    </row>
    <row r="199" spans="25:28" ht="15.75" customHeight="1">
      <c r="Y199" s="256"/>
      <c r="Z199" s="256"/>
      <c r="AA199" s="256"/>
      <c r="AB199" s="256"/>
    </row>
    <row r="200" spans="25:28" ht="15.75" customHeight="1">
      <c r="Y200" s="256"/>
      <c r="Z200" s="256"/>
      <c r="AA200" s="256"/>
      <c r="AB200" s="256"/>
    </row>
    <row r="201" spans="25:28" ht="15.75" customHeight="1">
      <c r="Y201" s="256"/>
      <c r="Z201" s="256"/>
      <c r="AA201" s="256"/>
      <c r="AB201" s="256"/>
    </row>
    <row r="202" spans="25:28" ht="15.75" customHeight="1">
      <c r="Y202" s="256"/>
      <c r="Z202" s="256"/>
      <c r="AA202" s="256"/>
      <c r="AB202" s="256"/>
    </row>
    <row r="203" spans="25:28" ht="15.75" customHeight="1">
      <c r="Y203" s="256"/>
      <c r="Z203" s="256"/>
      <c r="AA203" s="256"/>
      <c r="AB203" s="256"/>
    </row>
    <row r="204" spans="25:28" ht="15.75" customHeight="1">
      <c r="Y204" s="256"/>
      <c r="Z204" s="256"/>
      <c r="AA204" s="256"/>
      <c r="AB204" s="256"/>
    </row>
    <row r="205" spans="25:28" ht="15.75" customHeight="1">
      <c r="Y205" s="256"/>
      <c r="Z205" s="256"/>
      <c r="AA205" s="256"/>
      <c r="AB205" s="256"/>
    </row>
    <row r="206" spans="25:28" ht="15.75" customHeight="1">
      <c r="Y206" s="256"/>
      <c r="Z206" s="256"/>
      <c r="AA206" s="256"/>
      <c r="AB206" s="256"/>
    </row>
    <row r="207" spans="25:28" ht="15.75" customHeight="1">
      <c r="Y207" s="256"/>
      <c r="Z207" s="256"/>
      <c r="AA207" s="256"/>
      <c r="AB207" s="256"/>
    </row>
    <row r="208" spans="25:28" ht="15.75" customHeight="1">
      <c r="Y208" s="256"/>
      <c r="Z208" s="256"/>
      <c r="AA208" s="256"/>
      <c r="AB208" s="256"/>
    </row>
    <row r="209" spans="25:28" ht="15.75" customHeight="1">
      <c r="Y209" s="256"/>
      <c r="Z209" s="256"/>
      <c r="AA209" s="256"/>
      <c r="AB209" s="256"/>
    </row>
    <row r="210" spans="25:28" ht="15.75" customHeight="1">
      <c r="Y210" s="256"/>
      <c r="Z210" s="256"/>
      <c r="AA210" s="256"/>
      <c r="AB210" s="256"/>
    </row>
    <row r="211" spans="25:28" ht="15.75" customHeight="1">
      <c r="Y211" s="256"/>
      <c r="Z211" s="256"/>
      <c r="AA211" s="256"/>
      <c r="AB211" s="256"/>
    </row>
    <row r="212" spans="25:28" ht="15.75" customHeight="1">
      <c r="Y212" s="256"/>
      <c r="Z212" s="256"/>
      <c r="AA212" s="256"/>
      <c r="AB212" s="256"/>
    </row>
    <row r="213" spans="25:28" ht="15.75" customHeight="1">
      <c r="Y213" s="256"/>
      <c r="Z213" s="256"/>
      <c r="AA213" s="256"/>
      <c r="AB213" s="256"/>
    </row>
    <row r="214" spans="25:28" ht="15.75" customHeight="1">
      <c r="Y214" s="256"/>
      <c r="Z214" s="256"/>
      <c r="AA214" s="256"/>
      <c r="AB214" s="256"/>
    </row>
    <row r="215" spans="25:28" ht="15.75" customHeight="1">
      <c r="Y215" s="256"/>
      <c r="Z215" s="256"/>
      <c r="AA215" s="256"/>
      <c r="AB215" s="256"/>
    </row>
    <row r="216" spans="25:28" ht="15.75" customHeight="1">
      <c r="Y216" s="256"/>
      <c r="Z216" s="256"/>
      <c r="AA216" s="256"/>
      <c r="AB216" s="256"/>
    </row>
    <row r="217" spans="25:28" ht="15.75" customHeight="1">
      <c r="Y217" s="256"/>
      <c r="Z217" s="256"/>
      <c r="AA217" s="256"/>
      <c r="AB217" s="256"/>
    </row>
    <row r="218" spans="25:28" ht="15.75" customHeight="1">
      <c r="Y218" s="256"/>
      <c r="Z218" s="256"/>
      <c r="AA218" s="256"/>
      <c r="AB218" s="256"/>
    </row>
    <row r="219" spans="25:28" ht="15.75" customHeight="1">
      <c r="Y219" s="256"/>
      <c r="Z219" s="256"/>
      <c r="AA219" s="256"/>
      <c r="AB219" s="256"/>
    </row>
    <row r="220" spans="25:28" ht="15.75" customHeight="1">
      <c r="Y220" s="256"/>
      <c r="Z220" s="256"/>
      <c r="AA220" s="256"/>
      <c r="AB220" s="256"/>
    </row>
    <row r="221" spans="25:28" ht="15.75" customHeight="1">
      <c r="Y221" s="256"/>
      <c r="Z221" s="256"/>
      <c r="AA221" s="256"/>
      <c r="AB221" s="256"/>
    </row>
    <row r="222" spans="25:28" ht="15.75" customHeight="1">
      <c r="Y222" s="256"/>
      <c r="Z222" s="256"/>
      <c r="AA222" s="256"/>
      <c r="AB222" s="256"/>
    </row>
    <row r="223" spans="25:28" ht="15.75" customHeight="1">
      <c r="Y223" s="256"/>
      <c r="Z223" s="256"/>
      <c r="AA223" s="256"/>
      <c r="AB223" s="256"/>
    </row>
    <row r="224" spans="25:28" ht="15.75" customHeight="1">
      <c r="Y224" s="256"/>
      <c r="Z224" s="256"/>
      <c r="AA224" s="256"/>
      <c r="AB224" s="256"/>
    </row>
    <row r="225" spans="25:28" ht="15.75" customHeight="1">
      <c r="Y225" s="256"/>
      <c r="Z225" s="256"/>
      <c r="AA225" s="256"/>
      <c r="AB225" s="256"/>
    </row>
    <row r="226" spans="25:28" ht="15.75" customHeight="1">
      <c r="Y226" s="256"/>
      <c r="Z226" s="256"/>
      <c r="AA226" s="256"/>
      <c r="AB226" s="256"/>
    </row>
    <row r="227" spans="25:28" ht="15.75" customHeight="1">
      <c r="Y227" s="256"/>
      <c r="Z227" s="256"/>
      <c r="AA227" s="256"/>
      <c r="AB227" s="256"/>
    </row>
    <row r="228" spans="25:28" ht="15.75" customHeight="1">
      <c r="Y228" s="256"/>
      <c r="Z228" s="256"/>
      <c r="AA228" s="256"/>
      <c r="AB228" s="256"/>
    </row>
    <row r="229" spans="25:28" ht="15.75" customHeight="1">
      <c r="Y229" s="256"/>
      <c r="Z229" s="256"/>
      <c r="AA229" s="256"/>
      <c r="AB229" s="256"/>
    </row>
    <row r="230" spans="25:28" ht="15.75" customHeight="1">
      <c r="Y230" s="256"/>
      <c r="Z230" s="256"/>
      <c r="AA230" s="256"/>
      <c r="AB230" s="256"/>
    </row>
    <row r="231" spans="25:28" ht="15.75" customHeight="1">
      <c r="Y231" s="256"/>
      <c r="Z231" s="256"/>
      <c r="AA231" s="256"/>
      <c r="AB231" s="256"/>
    </row>
    <row r="232" spans="25:28" ht="15.75" customHeight="1">
      <c r="Y232" s="256"/>
      <c r="Z232" s="256"/>
      <c r="AA232" s="256"/>
      <c r="AB232" s="256"/>
    </row>
    <row r="233" spans="25:28" ht="15.75" customHeight="1">
      <c r="Y233" s="256"/>
      <c r="Z233" s="256"/>
      <c r="AA233" s="256"/>
      <c r="AB233" s="256"/>
    </row>
    <row r="234" spans="25:28" ht="15.75" customHeight="1">
      <c r="Y234" s="256"/>
      <c r="Z234" s="256"/>
      <c r="AA234" s="256"/>
      <c r="AB234" s="256"/>
    </row>
    <row r="235" spans="25:28" ht="15.75" customHeight="1">
      <c r="Y235" s="256"/>
      <c r="Z235" s="256"/>
      <c r="AA235" s="256"/>
      <c r="AB235" s="256"/>
    </row>
    <row r="236" spans="25:28" ht="15.75" customHeight="1">
      <c r="Y236" s="256"/>
      <c r="Z236" s="256"/>
      <c r="AA236" s="256"/>
      <c r="AB236" s="256"/>
    </row>
    <row r="237" spans="25:28" ht="15.75" customHeight="1">
      <c r="Y237" s="256"/>
      <c r="Z237" s="256"/>
      <c r="AA237" s="256"/>
      <c r="AB237" s="256"/>
    </row>
    <row r="238" spans="25:28" ht="15.75" customHeight="1">
      <c r="Y238" s="256"/>
      <c r="Z238" s="256"/>
      <c r="AA238" s="256"/>
      <c r="AB238" s="256"/>
    </row>
    <row r="239" spans="25:28" ht="15.75" customHeight="1">
      <c r="Y239" s="256"/>
      <c r="Z239" s="256"/>
      <c r="AA239" s="256"/>
      <c r="AB239" s="256"/>
    </row>
    <row r="240" spans="25:28" ht="15.75" customHeight="1">
      <c r="Y240" s="256"/>
      <c r="Z240" s="256"/>
      <c r="AA240" s="256"/>
      <c r="AB240" s="256"/>
    </row>
    <row r="241" spans="25:28" ht="15.75" customHeight="1">
      <c r="Y241" s="256"/>
      <c r="Z241" s="256"/>
      <c r="AA241" s="256"/>
      <c r="AB241" s="256"/>
    </row>
    <row r="242" spans="25:28" ht="15.75" customHeight="1">
      <c r="Y242" s="256"/>
      <c r="Z242" s="256"/>
      <c r="AA242" s="256"/>
      <c r="AB242" s="256"/>
    </row>
    <row r="243" spans="25:28" ht="15.75" customHeight="1">
      <c r="Y243" s="256"/>
      <c r="Z243" s="256"/>
      <c r="AA243" s="256"/>
      <c r="AB243" s="256"/>
    </row>
    <row r="244" spans="25:28" ht="15.75" customHeight="1">
      <c r="Y244" s="256"/>
      <c r="Z244" s="256"/>
      <c r="AA244" s="256"/>
      <c r="AB244" s="256"/>
    </row>
    <row r="245" spans="25:28" ht="15.75" customHeight="1">
      <c r="Y245" s="256"/>
      <c r="Z245" s="256"/>
      <c r="AA245" s="256"/>
      <c r="AB245" s="256"/>
    </row>
    <row r="246" spans="25:28" ht="15.75" customHeight="1">
      <c r="Y246" s="256"/>
      <c r="Z246" s="256"/>
      <c r="AA246" s="256"/>
      <c r="AB246" s="256"/>
    </row>
    <row r="247" spans="25:28" ht="15.75" customHeight="1">
      <c r="Y247" s="256"/>
      <c r="Z247" s="256"/>
      <c r="AA247" s="256"/>
      <c r="AB247" s="256"/>
    </row>
    <row r="248" spans="25:28" ht="15.75" customHeight="1">
      <c r="Y248" s="256"/>
      <c r="Z248" s="256"/>
      <c r="AA248" s="256"/>
      <c r="AB248" s="256"/>
    </row>
    <row r="249" spans="25:28" ht="15.75" customHeight="1">
      <c r="Y249" s="256"/>
      <c r="Z249" s="256"/>
      <c r="AA249" s="256"/>
      <c r="AB249" s="256"/>
    </row>
    <row r="250" spans="25:28" ht="15.75" customHeight="1">
      <c r="Y250" s="256"/>
      <c r="Z250" s="256"/>
      <c r="AA250" s="256"/>
      <c r="AB250" s="256"/>
    </row>
    <row r="251" spans="25:28" ht="15.75" customHeight="1">
      <c r="Y251" s="256"/>
      <c r="Z251" s="256"/>
      <c r="AA251" s="256"/>
      <c r="AB251" s="256"/>
    </row>
    <row r="252" spans="25:28" ht="15.75" customHeight="1">
      <c r="Y252" s="256"/>
      <c r="Z252" s="256"/>
      <c r="AA252" s="256"/>
      <c r="AB252" s="256"/>
    </row>
    <row r="253" spans="25:28" ht="15.75" customHeight="1">
      <c r="Y253" s="256"/>
      <c r="Z253" s="256"/>
      <c r="AA253" s="256"/>
      <c r="AB253" s="256"/>
    </row>
    <row r="254" spans="25:28" ht="15.75" customHeight="1">
      <c r="Y254" s="256"/>
      <c r="Z254" s="256"/>
      <c r="AA254" s="256"/>
      <c r="AB254" s="256"/>
    </row>
    <row r="255" spans="25:28" ht="15.75" customHeight="1">
      <c r="Y255" s="256"/>
      <c r="Z255" s="256"/>
      <c r="AA255" s="256"/>
      <c r="AB255" s="256"/>
    </row>
    <row r="256" spans="25:28" ht="15.75" customHeight="1">
      <c r="Y256" s="256"/>
      <c r="Z256" s="256"/>
      <c r="AA256" s="256"/>
      <c r="AB256" s="256"/>
    </row>
    <row r="257" spans="25:28" ht="15.75" customHeight="1">
      <c r="Y257" s="256"/>
      <c r="Z257" s="256"/>
      <c r="AA257" s="256"/>
      <c r="AB257" s="256"/>
    </row>
    <row r="258" spans="25:28" ht="15.75" customHeight="1">
      <c r="Y258" s="256"/>
      <c r="Z258" s="256"/>
      <c r="AA258" s="256"/>
      <c r="AB258" s="256"/>
    </row>
    <row r="259" spans="25:28" ht="15.75" customHeight="1">
      <c r="Y259" s="256"/>
      <c r="Z259" s="256"/>
      <c r="AA259" s="256"/>
      <c r="AB259" s="256"/>
    </row>
    <row r="260" spans="25:28" ht="15.75" customHeight="1">
      <c r="Y260" s="256"/>
      <c r="Z260" s="256"/>
      <c r="AA260" s="256"/>
      <c r="AB260" s="256"/>
    </row>
    <row r="261" spans="25:28" ht="15.75" customHeight="1">
      <c r="Y261" s="256"/>
      <c r="Z261" s="256"/>
      <c r="AA261" s="256"/>
      <c r="AB261" s="256"/>
    </row>
    <row r="262" spans="25:28" ht="15.75" customHeight="1">
      <c r="Y262" s="256"/>
      <c r="Z262" s="256"/>
      <c r="AA262" s="256"/>
      <c r="AB262" s="256"/>
    </row>
    <row r="263" spans="25:28" ht="15.75" customHeight="1">
      <c r="Y263" s="256"/>
      <c r="Z263" s="256"/>
      <c r="AA263" s="256"/>
      <c r="AB263" s="256"/>
    </row>
    <row r="264" spans="25:28" ht="15.75" customHeight="1">
      <c r="Y264" s="256"/>
      <c r="Z264" s="256"/>
      <c r="AA264" s="256"/>
      <c r="AB264" s="256"/>
    </row>
    <row r="265" spans="25:28" ht="15.75" customHeight="1">
      <c r="Y265" s="256"/>
      <c r="Z265" s="256"/>
      <c r="AA265" s="256"/>
      <c r="AB265" s="256"/>
    </row>
  </sheetData>
  <mergeCells count="49">
    <mergeCell ref="A27:A28"/>
    <mergeCell ref="F25:G25"/>
    <mergeCell ref="B58:B59"/>
    <mergeCell ref="B56:B57"/>
    <mergeCell ref="B54:B55"/>
    <mergeCell ref="F35:G35"/>
    <mergeCell ref="F37:G37"/>
    <mergeCell ref="F34:G34"/>
    <mergeCell ref="A26:F26"/>
    <mergeCell ref="B60:B61"/>
    <mergeCell ref="F32:G32"/>
    <mergeCell ref="B21:B22"/>
    <mergeCell ref="C21:C22"/>
    <mergeCell ref="E21:E22"/>
    <mergeCell ref="B27:B28"/>
    <mergeCell ref="G27:G28"/>
    <mergeCell ref="C27:C28"/>
    <mergeCell ref="E27:E28"/>
    <mergeCell ref="D21:D22"/>
    <mergeCell ref="G21:G22"/>
    <mergeCell ref="D27:D28"/>
    <mergeCell ref="F27:F28"/>
    <mergeCell ref="A21:A22"/>
    <mergeCell ref="A1:K1"/>
    <mergeCell ref="B5:B6"/>
    <mergeCell ref="A3:K3"/>
    <mergeCell ref="D5:D6"/>
    <mergeCell ref="A2:K2"/>
    <mergeCell ref="C5:C6"/>
    <mergeCell ref="A4:K4"/>
    <mergeCell ref="E5:E6"/>
    <mergeCell ref="A5:A6"/>
    <mergeCell ref="K5:K6"/>
    <mergeCell ref="J5:J6"/>
    <mergeCell ref="G5:G6"/>
    <mergeCell ref="I5:I6"/>
    <mergeCell ref="A20:F20"/>
    <mergeCell ref="F21:F22"/>
    <mergeCell ref="F5:F6"/>
    <mergeCell ref="H5:H6"/>
    <mergeCell ref="F19:G19"/>
    <mergeCell ref="K27:K28"/>
    <mergeCell ref="J27:J28"/>
    <mergeCell ref="I27:I28"/>
    <mergeCell ref="K21:K22"/>
    <mergeCell ref="J21:J22"/>
    <mergeCell ref="I21:I22"/>
    <mergeCell ref="H27:H28"/>
    <mergeCell ref="H21:H22"/>
  </mergeCells>
  <printOptions horizontalCentered="1" verticalCentered="1"/>
  <pageMargins left="0.69930555555555596" right="0.69930555555555596" top="0.75" bottom="0.75" header="0" footer="0"/>
  <pageSetup paperSize="9" scale="4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12"/>
  <sheetViews>
    <sheetView topLeftCell="A25" zoomScale="85" workbookViewId="0">
      <selection sqref="A1:L26"/>
    </sheetView>
  </sheetViews>
  <sheetFormatPr defaultColWidth="9.83203125" defaultRowHeight="15" customHeight="1"/>
  <cols>
    <col min="1" max="1" width="3.83203125" style="352" customWidth="1"/>
    <col min="2" max="2" width="24.83203125" style="352" customWidth="1"/>
    <col min="3" max="3" width="18.75" style="352" customWidth="1"/>
    <col min="4" max="4" width="27.58203125" style="352" customWidth="1"/>
    <col min="5" max="5" width="24.83203125" style="352" customWidth="1"/>
    <col min="6" max="6" width="17.5" style="352" customWidth="1"/>
    <col min="7" max="8" width="13.25" style="352" customWidth="1"/>
    <col min="9" max="10" width="11.75" style="353" customWidth="1"/>
    <col min="11" max="11" width="17.25" style="353" customWidth="1"/>
    <col min="12" max="12" width="1.75" style="1" customWidth="1"/>
    <col min="13" max="18" width="14.25" style="1" customWidth="1"/>
    <col min="19" max="19" width="8.75" style="1" customWidth="1"/>
    <col min="20" max="22" width="13.08203125" style="1" customWidth="1"/>
    <col min="23" max="23" width="10.25" style="1" customWidth="1"/>
    <col min="24" max="28" width="8.75" style="1" customWidth="1"/>
    <col min="29" max="16384" width="9.83203125" style="1"/>
  </cols>
  <sheetData>
    <row r="1" spans="1:28" ht="18" customHeight="1">
      <c r="A1" s="1051" t="s">
        <v>3339</v>
      </c>
      <c r="B1" s="1051"/>
      <c r="C1" s="1051"/>
      <c r="D1" s="1051"/>
      <c r="E1" s="1051"/>
      <c r="F1" s="1051"/>
      <c r="G1" s="1051"/>
      <c r="H1" s="1051"/>
      <c r="I1" s="1051"/>
      <c r="J1" s="1051"/>
      <c r="K1" s="1051"/>
      <c r="L1" s="308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</row>
    <row r="2" spans="1:28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1058"/>
      <c r="J2" s="1058"/>
      <c r="K2" s="1058"/>
      <c r="L2" s="308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</row>
    <row r="3" spans="1:28" ht="18" customHeight="1">
      <c r="A3" s="1058" t="s">
        <v>3340</v>
      </c>
      <c r="B3" s="1058"/>
      <c r="C3" s="1058"/>
      <c r="D3" s="1058"/>
      <c r="E3" s="1058"/>
      <c r="F3" s="1058"/>
      <c r="G3" s="1058"/>
      <c r="H3" s="1058"/>
      <c r="I3" s="1058"/>
      <c r="J3" s="1058"/>
      <c r="K3" s="1058"/>
      <c r="L3" s="308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15" customHeight="1">
      <c r="A4" s="1045" t="s">
        <v>25</v>
      </c>
      <c r="B4" s="1045"/>
      <c r="C4" s="1045"/>
      <c r="D4" s="1045"/>
      <c r="E4" s="1045"/>
      <c r="F4" s="1045"/>
      <c r="G4" s="1045"/>
      <c r="H4" s="1045"/>
      <c r="I4" s="1045"/>
      <c r="J4" s="1045"/>
      <c r="K4" s="1045"/>
      <c r="L4" s="308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</row>
    <row r="5" spans="1:28" ht="17.25" customHeight="1">
      <c r="A5" s="1043" t="s">
        <v>3270</v>
      </c>
      <c r="B5" s="1043" t="s">
        <v>3271</v>
      </c>
      <c r="C5" s="1043" t="s">
        <v>3272</v>
      </c>
      <c r="D5" s="1043" t="s">
        <v>3273</v>
      </c>
      <c r="E5" s="1043" t="s">
        <v>3274</v>
      </c>
      <c r="F5" s="1059" t="s">
        <v>3275</v>
      </c>
      <c r="G5" s="1043" t="s">
        <v>13</v>
      </c>
      <c r="H5" s="1043" t="s">
        <v>3278</v>
      </c>
      <c r="I5" s="1043" t="s">
        <v>3276</v>
      </c>
      <c r="J5" s="1043" t="s">
        <v>3277</v>
      </c>
      <c r="K5" s="1047" t="s">
        <v>21</v>
      </c>
      <c r="L5" s="308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</row>
    <row r="6" spans="1:28" ht="15" customHeight="1">
      <c r="A6" s="1062"/>
      <c r="B6" s="1062"/>
      <c r="C6" s="1062"/>
      <c r="D6" s="1062"/>
      <c r="E6" s="1062"/>
      <c r="F6" s="1063"/>
      <c r="G6" s="1062"/>
      <c r="H6" s="1062"/>
      <c r="I6" s="1062"/>
      <c r="J6" s="1062"/>
      <c r="K6" s="1064"/>
      <c r="L6" s="308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21.75" customHeight="1">
      <c r="A7" s="354">
        <v>1</v>
      </c>
      <c r="B7" s="16" t="s">
        <v>2409</v>
      </c>
      <c r="C7" s="13" t="s">
        <v>2406</v>
      </c>
      <c r="D7" s="13" t="s">
        <v>1375</v>
      </c>
      <c r="E7" s="13" t="s">
        <v>2405</v>
      </c>
      <c r="F7" s="13" t="s">
        <v>66</v>
      </c>
      <c r="G7" s="17">
        <v>45147</v>
      </c>
      <c r="H7" s="17">
        <v>45180</v>
      </c>
      <c r="I7" s="403">
        <v>33750000</v>
      </c>
      <c r="J7" s="358">
        <v>42020080</v>
      </c>
      <c r="K7" s="358">
        <f t="shared" ref="K7:K19" si="0">J7-I7</f>
        <v>8270080</v>
      </c>
      <c r="L7" s="308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 spans="1:28" ht="21.75" customHeight="1">
      <c r="A8" s="354">
        <v>2</v>
      </c>
      <c r="B8" s="105" t="s">
        <v>2419</v>
      </c>
      <c r="C8" s="105" t="s">
        <v>2415</v>
      </c>
      <c r="D8" s="105" t="s">
        <v>2413</v>
      </c>
      <c r="E8" s="105" t="s">
        <v>2414</v>
      </c>
      <c r="F8" s="105" t="s">
        <v>2420</v>
      </c>
      <c r="G8" s="107">
        <v>45151</v>
      </c>
      <c r="H8" s="107">
        <v>45152</v>
      </c>
      <c r="I8" s="404">
        <v>11565000</v>
      </c>
      <c r="J8" s="359">
        <v>21056020</v>
      </c>
      <c r="K8" s="358">
        <f t="shared" si="0"/>
        <v>9491020</v>
      </c>
      <c r="L8" s="308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</row>
    <row r="9" spans="1:28" ht="21.75" customHeight="1">
      <c r="A9" s="354">
        <v>3</v>
      </c>
      <c r="B9" s="73" t="s">
        <v>2425</v>
      </c>
      <c r="C9" s="47" t="s">
        <v>1588</v>
      </c>
      <c r="D9" s="47" t="s">
        <v>1977</v>
      </c>
      <c r="E9" s="47" t="s">
        <v>2423</v>
      </c>
      <c r="F9" s="47" t="s">
        <v>215</v>
      </c>
      <c r="G9" s="56">
        <v>45153</v>
      </c>
      <c r="H9" s="399"/>
      <c r="I9" s="391">
        <v>15820000</v>
      </c>
      <c r="J9" s="363">
        <v>18650000</v>
      </c>
      <c r="K9" s="358">
        <f t="shared" si="0"/>
        <v>2830000</v>
      </c>
      <c r="L9" s="308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</row>
    <row r="10" spans="1:28" ht="21.75" customHeight="1">
      <c r="A10" s="354">
        <v>4</v>
      </c>
      <c r="B10" s="105" t="s">
        <v>2441</v>
      </c>
      <c r="C10" s="105" t="s">
        <v>1588</v>
      </c>
      <c r="D10" s="105" t="s">
        <v>2436</v>
      </c>
      <c r="E10" s="105" t="s">
        <v>2437</v>
      </c>
      <c r="F10" s="105" t="s">
        <v>172</v>
      </c>
      <c r="G10" s="107">
        <v>45157</v>
      </c>
      <c r="H10" s="407"/>
      <c r="I10" s="391">
        <v>700000</v>
      </c>
      <c r="J10" s="363">
        <v>2300000</v>
      </c>
      <c r="K10" s="358">
        <f t="shared" si="0"/>
        <v>1600000</v>
      </c>
      <c r="L10" s="308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8" ht="21.75" customHeight="1">
      <c r="A11" s="354">
        <v>5</v>
      </c>
      <c r="B11" s="16" t="s">
        <v>2451</v>
      </c>
      <c r="C11" s="13" t="s">
        <v>2406</v>
      </c>
      <c r="D11" s="13" t="s">
        <v>1375</v>
      </c>
      <c r="E11" s="13" t="s">
        <v>2448</v>
      </c>
      <c r="F11" s="13" t="s">
        <v>2452</v>
      </c>
      <c r="G11" s="17">
        <v>45165</v>
      </c>
      <c r="H11" s="17">
        <v>45187</v>
      </c>
      <c r="I11" s="391">
        <v>16890000</v>
      </c>
      <c r="J11" s="363">
        <v>21306140</v>
      </c>
      <c r="K11" s="358">
        <f t="shared" si="0"/>
        <v>4416140</v>
      </c>
      <c r="L11" s="308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8" ht="21.75" customHeight="1">
      <c r="A12" s="354">
        <v>6</v>
      </c>
      <c r="B12" s="104" t="s">
        <v>2458</v>
      </c>
      <c r="C12" s="96" t="s">
        <v>2406</v>
      </c>
      <c r="D12" s="96" t="s">
        <v>1375</v>
      </c>
      <c r="E12" s="96" t="s">
        <v>2455</v>
      </c>
      <c r="F12" s="96" t="s">
        <v>2460</v>
      </c>
      <c r="G12" s="94">
        <v>45165</v>
      </c>
      <c r="H12" s="94">
        <v>45187</v>
      </c>
      <c r="I12" s="391">
        <v>29200000</v>
      </c>
      <c r="J12" s="363">
        <v>37573800</v>
      </c>
      <c r="K12" s="358">
        <f t="shared" si="0"/>
        <v>8373800</v>
      </c>
      <c r="L12" s="308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8" ht="21.75" customHeight="1">
      <c r="A13" s="354">
        <v>7</v>
      </c>
      <c r="B13" s="148" t="s">
        <v>2467</v>
      </c>
      <c r="C13" s="147" t="s">
        <v>2135</v>
      </c>
      <c r="D13" s="147" t="s">
        <v>1536</v>
      </c>
      <c r="E13" s="147" t="s">
        <v>2464</v>
      </c>
      <c r="F13" s="147" t="s">
        <v>2468</v>
      </c>
      <c r="G13" s="95">
        <v>45167</v>
      </c>
      <c r="H13" s="95">
        <v>45170</v>
      </c>
      <c r="I13" s="391">
        <v>9029800</v>
      </c>
      <c r="J13" s="363">
        <v>14500000</v>
      </c>
      <c r="K13" s="358">
        <f t="shared" si="0"/>
        <v>5470200</v>
      </c>
      <c r="L13" s="308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8" ht="21.75" customHeight="1">
      <c r="A14" s="354">
        <v>8</v>
      </c>
      <c r="B14" s="96" t="s">
        <v>2474</v>
      </c>
      <c r="C14" s="130" t="s">
        <v>2406</v>
      </c>
      <c r="D14" s="130" t="s">
        <v>1375</v>
      </c>
      <c r="E14" s="96" t="s">
        <v>2470</v>
      </c>
      <c r="F14" s="96" t="s">
        <v>2476</v>
      </c>
      <c r="G14" s="94">
        <v>45167</v>
      </c>
      <c r="H14" s="94">
        <v>45187</v>
      </c>
      <c r="I14" s="391">
        <v>214400000</v>
      </c>
      <c r="J14" s="363">
        <v>256426000</v>
      </c>
      <c r="K14" s="358">
        <f t="shared" si="0"/>
        <v>42026000</v>
      </c>
      <c r="L14" s="308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8" ht="21.75" customHeight="1">
      <c r="A15" s="354">
        <v>9</v>
      </c>
      <c r="B15" s="104" t="s">
        <v>2489</v>
      </c>
      <c r="C15" s="96" t="s">
        <v>2406</v>
      </c>
      <c r="D15" s="96" t="s">
        <v>1375</v>
      </c>
      <c r="E15" s="96" t="s">
        <v>2486</v>
      </c>
      <c r="F15" s="96" t="s">
        <v>2490</v>
      </c>
      <c r="G15" s="94">
        <v>45169</v>
      </c>
      <c r="H15" s="94">
        <v>45187</v>
      </c>
      <c r="I15" s="391">
        <v>5975000</v>
      </c>
      <c r="J15" s="363">
        <v>10744435</v>
      </c>
      <c r="K15" s="358">
        <f t="shared" si="0"/>
        <v>4769435</v>
      </c>
      <c r="L15" s="308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8" ht="21.75" customHeight="1">
      <c r="A16" s="354">
        <v>10</v>
      </c>
      <c r="B16" s="110" t="s">
        <v>2497</v>
      </c>
      <c r="C16" s="408" t="s">
        <v>1588</v>
      </c>
      <c r="D16" s="408" t="s">
        <v>1977</v>
      </c>
      <c r="E16" s="110" t="s">
        <v>2495</v>
      </c>
      <c r="F16" s="110" t="s">
        <v>2498</v>
      </c>
      <c r="G16" s="113">
        <v>45169</v>
      </c>
      <c r="H16" s="409"/>
      <c r="I16" s="391">
        <v>3550000</v>
      </c>
      <c r="J16" s="363">
        <v>4700000</v>
      </c>
      <c r="K16" s="358">
        <f t="shared" si="0"/>
        <v>1150000</v>
      </c>
      <c r="L16" s="308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8" ht="21.75" customHeight="1">
      <c r="A17" s="354">
        <v>11</v>
      </c>
      <c r="B17" s="110" t="s">
        <v>2502</v>
      </c>
      <c r="C17" s="408" t="s">
        <v>1588</v>
      </c>
      <c r="D17" s="408" t="s">
        <v>1977</v>
      </c>
      <c r="E17" s="110">
        <v>273187656</v>
      </c>
      <c r="F17" s="110" t="s">
        <v>2503</v>
      </c>
      <c r="G17" s="113">
        <v>45169</v>
      </c>
      <c r="H17" s="409"/>
      <c r="I17" s="391">
        <v>2825000</v>
      </c>
      <c r="J17" s="363">
        <v>3362500</v>
      </c>
      <c r="K17" s="358">
        <f t="shared" si="0"/>
        <v>537500</v>
      </c>
      <c r="L17" s="308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8" ht="21.75" customHeight="1">
      <c r="A18" s="354">
        <v>12</v>
      </c>
      <c r="B18" s="96" t="s">
        <v>2509</v>
      </c>
      <c r="C18" s="130" t="s">
        <v>2406</v>
      </c>
      <c r="D18" s="130" t="s">
        <v>1375</v>
      </c>
      <c r="E18" s="96" t="s">
        <v>2506</v>
      </c>
      <c r="F18" s="96" t="s">
        <v>2510</v>
      </c>
      <c r="G18" s="94">
        <v>45173</v>
      </c>
      <c r="H18" s="94">
        <v>45187</v>
      </c>
      <c r="I18" s="391">
        <v>35700000</v>
      </c>
      <c r="J18" s="363">
        <v>54139600</v>
      </c>
      <c r="K18" s="358">
        <f t="shared" si="0"/>
        <v>18439600</v>
      </c>
      <c r="L18" s="308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8" ht="21.75" customHeight="1">
      <c r="A19" s="354">
        <v>13</v>
      </c>
      <c r="B19" s="96" t="s">
        <v>2520</v>
      </c>
      <c r="C19" s="130" t="s">
        <v>2406</v>
      </c>
      <c r="D19" s="130" t="s">
        <v>1375</v>
      </c>
      <c r="E19" s="96" t="s">
        <v>2518</v>
      </c>
      <c r="F19" s="96" t="s">
        <v>2510</v>
      </c>
      <c r="G19" s="94">
        <v>45173</v>
      </c>
      <c r="H19" s="94">
        <v>45187</v>
      </c>
      <c r="I19" s="391">
        <v>35700000</v>
      </c>
      <c r="J19" s="363">
        <v>54139600</v>
      </c>
      <c r="K19" s="358">
        <f t="shared" si="0"/>
        <v>18439600</v>
      </c>
      <c r="L19" s="308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8" ht="21.75" customHeight="1">
      <c r="A20" s="368"/>
      <c r="B20" s="369"/>
      <c r="C20" s="369"/>
      <c r="D20" s="368" t="s">
        <v>3290</v>
      </c>
      <c r="E20" s="368"/>
      <c r="F20" s="1053" t="s">
        <v>3291</v>
      </c>
      <c r="G20" s="1054"/>
      <c r="H20" s="371"/>
      <c r="I20" s="372"/>
      <c r="J20" s="372"/>
      <c r="K20" s="373">
        <f>SUM(K7:K19)</f>
        <v>125813375</v>
      </c>
      <c r="L20" s="320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8" ht="7.5" customHeight="1">
      <c r="A21" s="368"/>
      <c r="B21" s="368"/>
      <c r="C21" s="368"/>
      <c r="D21" s="368"/>
      <c r="E21" s="368"/>
      <c r="F21" s="370"/>
      <c r="G21" s="370"/>
      <c r="H21" s="370"/>
      <c r="I21" s="380"/>
      <c r="J21" s="380"/>
      <c r="K21" s="381"/>
      <c r="L21" s="308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</row>
    <row r="22" spans="1:28" ht="15" customHeight="1">
      <c r="A22" s="368"/>
      <c r="B22" s="368"/>
      <c r="C22" s="368"/>
      <c r="D22" s="368"/>
      <c r="E22" s="368"/>
      <c r="F22" s="1057" t="s">
        <v>3323</v>
      </c>
      <c r="G22" s="1054"/>
      <c r="H22" s="371"/>
      <c r="I22" s="372"/>
      <c r="J22" s="372"/>
      <c r="K22" s="383">
        <f>K20</f>
        <v>125813375</v>
      </c>
      <c r="L22" s="308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</row>
    <row r="23" spans="1:28" ht="15" customHeight="1">
      <c r="A23" s="368"/>
      <c r="B23" s="368"/>
      <c r="C23" s="368"/>
      <c r="D23" s="368"/>
      <c r="E23" s="368"/>
      <c r="F23" s="1053" t="s">
        <v>3297</v>
      </c>
      <c r="G23" s="1053"/>
      <c r="H23" s="370"/>
      <c r="I23" s="380"/>
      <c r="J23" s="380"/>
      <c r="K23" s="384">
        <v>100000000</v>
      </c>
      <c r="L23" s="308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</row>
    <row r="24" spans="1:28" ht="5.25" customHeight="1">
      <c r="A24" s="368"/>
      <c r="B24" s="368"/>
      <c r="C24" s="368"/>
      <c r="D24" s="368"/>
      <c r="E24" s="368"/>
      <c r="F24" s="370"/>
      <c r="G24" s="370"/>
      <c r="H24" s="370"/>
      <c r="I24" s="380"/>
      <c r="J24" s="380"/>
      <c r="K24" s="381"/>
      <c r="L24" s="308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</row>
    <row r="25" spans="1:28" ht="15" customHeight="1">
      <c r="A25" s="368"/>
      <c r="B25" s="368"/>
      <c r="C25" s="368"/>
      <c r="D25" s="368"/>
      <c r="E25" s="368"/>
      <c r="F25" s="1053" t="s">
        <v>3341</v>
      </c>
      <c r="G25" s="1053"/>
      <c r="H25" s="370"/>
      <c r="I25" s="380"/>
      <c r="J25" s="380"/>
      <c r="K25" s="381">
        <f>K22*15/100</f>
        <v>18872006.25</v>
      </c>
      <c r="L25" s="308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</row>
    <row r="26" spans="1:28" ht="15.75" customHeight="1"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</row>
    <row r="27" spans="1:28" ht="15.75" customHeight="1"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</row>
    <row r="28" spans="1:28" ht="15.75" customHeight="1"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</row>
    <row r="29" spans="1:28" ht="15.75" customHeight="1"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</row>
    <row r="30" spans="1:28" ht="15.75" customHeight="1"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</row>
    <row r="31" spans="1:28" ht="15.75" customHeight="1"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</row>
    <row r="32" spans="1:28" ht="15.75" customHeight="1"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</row>
    <row r="33" spans="12:28" ht="15.75" customHeight="1"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</row>
    <row r="34" spans="12:28" ht="15.75" customHeight="1"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</row>
    <row r="35" spans="12:28" ht="15.75" customHeight="1"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</row>
    <row r="36" spans="12:28" ht="15.75" customHeight="1"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</row>
    <row r="37" spans="12:28" ht="15.75" customHeight="1"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</row>
    <row r="38" spans="12:28" ht="15.75" customHeight="1"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</row>
    <row r="39" spans="12:28" ht="15.75" customHeight="1"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</row>
    <row r="40" spans="12:28" ht="15.75" customHeight="1"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</row>
    <row r="41" spans="12:28" ht="15.75" customHeight="1"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</row>
    <row r="42" spans="12:28" ht="15.75" customHeight="1"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</row>
    <row r="43" spans="12:28" ht="15.75" customHeight="1"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</row>
    <row r="44" spans="12:28" ht="15.75" customHeight="1"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</row>
    <row r="45" spans="12:28" ht="15.75" customHeight="1"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</row>
    <row r="46" spans="12:28" ht="15.75" customHeight="1"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</row>
    <row r="47" spans="12:28" ht="15.75" customHeight="1"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</row>
    <row r="48" spans="12:28" ht="15.75" customHeight="1"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</row>
    <row r="49" spans="12:28" ht="15.75" customHeight="1"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</row>
    <row r="50" spans="12:28" ht="15.75" customHeight="1"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</row>
    <row r="51" spans="12:28" ht="15.75" customHeight="1"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</row>
    <row r="52" spans="12:28" ht="15.75" customHeight="1"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</row>
    <row r="53" spans="12:28" ht="15.75" customHeight="1"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</row>
    <row r="54" spans="12:28" ht="15.75" customHeight="1"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</row>
    <row r="55" spans="12:28" ht="15.75" customHeight="1"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</row>
    <row r="56" spans="12:28" ht="15.75" customHeight="1"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</row>
    <row r="57" spans="12:28" ht="15.75" customHeight="1"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</row>
    <row r="58" spans="12:28" ht="15.75" customHeight="1"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</row>
    <row r="59" spans="12:28" ht="15.75" customHeight="1"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</row>
    <row r="60" spans="12:28" ht="15.75" customHeight="1"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</row>
    <row r="61" spans="12:28" ht="15.75" customHeight="1"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</row>
    <row r="62" spans="12:28" ht="15.75" customHeight="1"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</row>
    <row r="63" spans="12:28" ht="15.75" customHeight="1"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</row>
    <row r="64" spans="12:28" ht="15.75" customHeight="1"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</row>
    <row r="65" spans="12:28" ht="15.75" customHeight="1"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</row>
    <row r="66" spans="12:28" ht="15.75" customHeight="1"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</row>
    <row r="67" spans="12:28" ht="15.75" customHeight="1"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</row>
    <row r="68" spans="12:28" ht="15.75" customHeight="1"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</row>
    <row r="69" spans="12:28" ht="15.75" customHeight="1"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</row>
    <row r="70" spans="12:28" ht="15.75" customHeight="1"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</row>
    <row r="71" spans="12:28" ht="15.75" customHeight="1"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</row>
    <row r="72" spans="12:28" ht="15.75" customHeight="1"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</row>
    <row r="73" spans="12:28" ht="15.75" customHeight="1"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</row>
    <row r="74" spans="12:28" ht="15.75" customHeight="1"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</row>
    <row r="75" spans="12:28" ht="15.75" customHeight="1"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</row>
    <row r="76" spans="12:28" ht="15.75" customHeight="1"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</row>
    <row r="77" spans="12:28" ht="15.75" customHeight="1"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</row>
    <row r="78" spans="12:28" ht="15.75" customHeight="1"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</row>
    <row r="79" spans="12:28" ht="15.75" customHeight="1"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</row>
    <row r="80" spans="12:28" ht="15.75" customHeight="1"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</row>
    <row r="81" spans="12:28" ht="15.75" customHeight="1"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</row>
    <row r="82" spans="12:28" ht="15.75" customHeight="1"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</row>
    <row r="83" spans="12:28" ht="15.75" customHeight="1"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</row>
    <row r="84" spans="12:28" ht="15.75" customHeight="1"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</row>
    <row r="85" spans="12:28" ht="15.75" customHeight="1"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</row>
    <row r="86" spans="12:28" ht="15.75" customHeight="1"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</row>
    <row r="87" spans="12:28" ht="15.75" customHeight="1"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</row>
    <row r="88" spans="12:28" ht="15.75" customHeight="1"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</row>
    <row r="89" spans="12:28" ht="15.75" customHeight="1"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</row>
    <row r="90" spans="12:28" ht="15.75" customHeight="1"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</row>
    <row r="91" spans="12:28" ht="15.75" customHeight="1"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</row>
    <row r="92" spans="12:28" ht="15.75" customHeight="1"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</row>
    <row r="93" spans="12:28" ht="15.75" customHeight="1"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</row>
    <row r="94" spans="12:28" ht="15.75" customHeight="1"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</row>
    <row r="95" spans="12:28" ht="15.75" customHeight="1"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</row>
    <row r="96" spans="12:28" ht="15.75" customHeight="1"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</row>
    <row r="97" spans="12:28" ht="15.75" customHeight="1"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</row>
    <row r="98" spans="12:28" ht="15.75" customHeight="1"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</row>
    <row r="99" spans="12:28" ht="15.75" customHeight="1"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</row>
    <row r="100" spans="12:28" ht="15.75" customHeight="1"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</row>
    <row r="101" spans="12:28" ht="15.75" customHeight="1"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</row>
    <row r="102" spans="12:28" ht="15.75" customHeight="1"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</row>
    <row r="103" spans="12:28" ht="15.75" customHeight="1"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</row>
    <row r="104" spans="12:28" ht="15.75" customHeight="1"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</row>
    <row r="105" spans="12:28" ht="15.75" customHeight="1"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</row>
    <row r="106" spans="12:28" ht="15.75" customHeight="1"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</row>
    <row r="107" spans="12:28" ht="15.75" customHeight="1"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</row>
    <row r="108" spans="12:28" ht="15.75" customHeight="1"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</row>
    <row r="109" spans="12:28" ht="15.75" customHeight="1"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</row>
    <row r="110" spans="12:28" ht="15.75" customHeight="1"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</row>
    <row r="111" spans="12:28" ht="15.75" customHeight="1"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</row>
    <row r="112" spans="12:28" ht="15.75" customHeight="1"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</row>
    <row r="113" spans="12:28" ht="15.75" customHeight="1"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</row>
    <row r="114" spans="12:28" ht="15.75" customHeight="1"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</row>
    <row r="115" spans="12:28" ht="15.75" customHeight="1"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</row>
    <row r="116" spans="12:28" ht="15.75" customHeight="1"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</row>
    <row r="117" spans="12:28" ht="15.75" customHeight="1"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</row>
    <row r="118" spans="12:28" ht="15.75" customHeight="1"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</row>
    <row r="119" spans="12:28" ht="15.75" customHeight="1"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</row>
    <row r="120" spans="12:28" ht="15.75" customHeight="1"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</row>
    <row r="121" spans="12:28" ht="15.75" customHeight="1"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</row>
    <row r="122" spans="12:28" ht="15.75" customHeight="1"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</row>
    <row r="123" spans="12:28" ht="15.75" customHeight="1"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</row>
    <row r="124" spans="12:28" ht="15.75" customHeight="1"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</row>
    <row r="125" spans="12:28" ht="15.75" customHeight="1"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</row>
    <row r="126" spans="12:28" ht="15.75" customHeight="1"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</row>
    <row r="127" spans="12:28" ht="15.75" customHeight="1"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</row>
    <row r="128" spans="12:28" ht="15.75" customHeight="1"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</row>
    <row r="129" spans="12:28" ht="15.75" customHeight="1"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</row>
    <row r="130" spans="12:28" ht="15.75" customHeight="1"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</row>
    <row r="131" spans="12:28" ht="15.75" customHeight="1"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</row>
    <row r="132" spans="12:28" ht="15.75" customHeight="1"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</row>
    <row r="133" spans="12:28" ht="15.75" customHeight="1"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</row>
    <row r="134" spans="12:28" ht="15.75" customHeight="1"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</row>
    <row r="135" spans="12:28" ht="15.75" customHeight="1"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</row>
    <row r="136" spans="12:28" ht="15.75" customHeight="1"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</row>
    <row r="137" spans="12:28" ht="15.75" customHeight="1">
      <c r="Y137" s="256"/>
      <c r="Z137" s="256"/>
      <c r="AA137" s="256"/>
      <c r="AB137" s="256"/>
    </row>
    <row r="138" spans="12:28" ht="15.75" customHeight="1">
      <c r="Y138" s="256"/>
      <c r="Z138" s="256"/>
      <c r="AA138" s="256"/>
      <c r="AB138" s="256"/>
    </row>
    <row r="139" spans="12:28" ht="15.75" customHeight="1">
      <c r="Y139" s="256"/>
      <c r="Z139" s="256"/>
      <c r="AA139" s="256"/>
      <c r="AB139" s="256"/>
    </row>
    <row r="140" spans="12:28" ht="15.75" customHeight="1">
      <c r="Y140" s="256"/>
      <c r="Z140" s="256"/>
      <c r="AA140" s="256"/>
      <c r="AB140" s="256"/>
    </row>
    <row r="141" spans="12:28" ht="15.75" customHeight="1">
      <c r="Y141" s="256"/>
      <c r="Z141" s="256"/>
      <c r="AA141" s="256"/>
      <c r="AB141" s="256"/>
    </row>
    <row r="142" spans="12:28" ht="15.75" customHeight="1">
      <c r="Y142" s="256"/>
      <c r="Z142" s="256"/>
      <c r="AA142" s="256"/>
      <c r="AB142" s="256"/>
    </row>
    <row r="143" spans="12:28" ht="15.75" customHeight="1">
      <c r="Y143" s="256"/>
      <c r="Z143" s="256"/>
      <c r="AA143" s="256"/>
      <c r="AB143" s="256"/>
    </row>
    <row r="144" spans="12:28" ht="15.75" customHeight="1">
      <c r="Y144" s="256"/>
      <c r="Z144" s="256"/>
      <c r="AA144" s="256"/>
      <c r="AB144" s="256"/>
    </row>
    <row r="145" spans="25:28" ht="15.75" customHeight="1">
      <c r="Y145" s="256"/>
      <c r="Z145" s="256"/>
      <c r="AA145" s="256"/>
      <c r="AB145" s="256"/>
    </row>
    <row r="146" spans="25:28" ht="15.75" customHeight="1">
      <c r="Y146" s="256"/>
      <c r="Z146" s="256"/>
      <c r="AA146" s="256"/>
      <c r="AB146" s="256"/>
    </row>
    <row r="147" spans="25:28" ht="15.75" customHeight="1">
      <c r="Y147" s="256"/>
      <c r="Z147" s="256"/>
      <c r="AA147" s="256"/>
      <c r="AB147" s="256"/>
    </row>
    <row r="148" spans="25:28" ht="15.75" customHeight="1">
      <c r="Y148" s="256"/>
      <c r="Z148" s="256"/>
      <c r="AA148" s="256"/>
      <c r="AB148" s="256"/>
    </row>
    <row r="149" spans="25:28" ht="15.75" customHeight="1">
      <c r="Y149" s="256"/>
      <c r="Z149" s="256"/>
      <c r="AA149" s="256"/>
      <c r="AB149" s="256"/>
    </row>
    <row r="150" spans="25:28" ht="15.75" customHeight="1">
      <c r="Y150" s="256"/>
      <c r="Z150" s="256"/>
      <c r="AA150" s="256"/>
      <c r="AB150" s="256"/>
    </row>
    <row r="151" spans="25:28" ht="15.75" customHeight="1">
      <c r="Y151" s="256"/>
      <c r="Z151" s="256"/>
      <c r="AA151" s="256"/>
      <c r="AB151" s="256"/>
    </row>
    <row r="152" spans="25:28" ht="15.75" customHeight="1">
      <c r="Y152" s="256"/>
      <c r="Z152" s="256"/>
      <c r="AA152" s="256"/>
      <c r="AB152" s="256"/>
    </row>
    <row r="153" spans="25:28" ht="15.75" customHeight="1">
      <c r="Y153" s="256"/>
      <c r="Z153" s="256"/>
      <c r="AA153" s="256"/>
      <c r="AB153" s="256"/>
    </row>
    <row r="154" spans="25:28" ht="15.75" customHeight="1">
      <c r="Y154" s="256"/>
      <c r="Z154" s="256"/>
      <c r="AA154" s="256"/>
      <c r="AB154" s="256"/>
    </row>
    <row r="155" spans="25:28" ht="15.75" customHeight="1">
      <c r="Y155" s="256"/>
      <c r="Z155" s="256"/>
      <c r="AA155" s="256"/>
      <c r="AB155" s="256"/>
    </row>
    <row r="156" spans="25:28" ht="15.75" customHeight="1">
      <c r="Y156" s="256"/>
      <c r="Z156" s="256"/>
      <c r="AA156" s="256"/>
      <c r="AB156" s="256"/>
    </row>
    <row r="157" spans="25:28" ht="15.75" customHeight="1">
      <c r="Y157" s="256"/>
      <c r="Z157" s="256"/>
      <c r="AA157" s="256"/>
      <c r="AB157" s="256"/>
    </row>
    <row r="158" spans="25:28" ht="15.75" customHeight="1">
      <c r="Y158" s="256"/>
      <c r="Z158" s="256"/>
      <c r="AA158" s="256"/>
      <c r="AB158" s="256"/>
    </row>
    <row r="159" spans="25:28" ht="15.75" customHeight="1">
      <c r="Y159" s="256"/>
      <c r="Z159" s="256"/>
      <c r="AA159" s="256"/>
      <c r="AB159" s="256"/>
    </row>
    <row r="160" spans="25:28" ht="15.75" customHeight="1">
      <c r="Y160" s="256"/>
      <c r="Z160" s="256"/>
      <c r="AA160" s="256"/>
      <c r="AB160" s="256"/>
    </row>
    <row r="161" spans="25:28" ht="15.75" customHeight="1">
      <c r="Y161" s="256"/>
      <c r="Z161" s="256"/>
      <c r="AA161" s="256"/>
      <c r="AB161" s="256"/>
    </row>
    <row r="162" spans="25:28" ht="15.75" customHeight="1">
      <c r="Y162" s="256"/>
      <c r="Z162" s="256"/>
      <c r="AA162" s="256"/>
      <c r="AB162" s="256"/>
    </row>
    <row r="163" spans="25:28" ht="15.75" customHeight="1">
      <c r="Y163" s="256"/>
      <c r="Z163" s="256"/>
      <c r="AA163" s="256"/>
      <c r="AB163" s="256"/>
    </row>
    <row r="164" spans="25:28" ht="15.75" customHeight="1">
      <c r="Y164" s="256"/>
      <c r="Z164" s="256"/>
      <c r="AA164" s="256"/>
      <c r="AB164" s="256"/>
    </row>
    <row r="165" spans="25:28" ht="15.75" customHeight="1">
      <c r="Y165" s="256"/>
      <c r="Z165" s="256"/>
      <c r="AA165" s="256"/>
      <c r="AB165" s="256"/>
    </row>
    <row r="166" spans="25:28" ht="15.75" customHeight="1">
      <c r="Y166" s="256"/>
      <c r="Z166" s="256"/>
      <c r="AA166" s="256"/>
      <c r="AB166" s="256"/>
    </row>
    <row r="167" spans="25:28" ht="15.75" customHeight="1">
      <c r="Y167" s="256"/>
      <c r="Z167" s="256"/>
      <c r="AA167" s="256"/>
      <c r="AB167" s="256"/>
    </row>
    <row r="168" spans="25:28" ht="15.75" customHeight="1">
      <c r="Y168" s="256"/>
      <c r="Z168" s="256"/>
      <c r="AA168" s="256"/>
      <c r="AB168" s="256"/>
    </row>
    <row r="169" spans="25:28" ht="15.75" customHeight="1">
      <c r="Y169" s="256"/>
      <c r="Z169" s="256"/>
      <c r="AA169" s="256"/>
      <c r="AB169" s="256"/>
    </row>
    <row r="170" spans="25:28" ht="15.75" customHeight="1">
      <c r="Y170" s="256"/>
      <c r="Z170" s="256"/>
      <c r="AA170" s="256"/>
      <c r="AB170" s="256"/>
    </row>
    <row r="171" spans="25:28" ht="15.75" customHeight="1">
      <c r="Y171" s="256"/>
      <c r="Z171" s="256"/>
      <c r="AA171" s="256"/>
      <c r="AB171" s="256"/>
    </row>
    <row r="172" spans="25:28" ht="15.75" customHeight="1">
      <c r="Y172" s="256"/>
      <c r="Z172" s="256"/>
      <c r="AA172" s="256"/>
      <c r="AB172" s="256"/>
    </row>
    <row r="173" spans="25:28" ht="15.75" customHeight="1">
      <c r="Y173" s="256"/>
      <c r="Z173" s="256"/>
      <c r="AA173" s="256"/>
      <c r="AB173" s="256"/>
    </row>
    <row r="174" spans="25:28" ht="15.75" customHeight="1">
      <c r="Y174" s="256"/>
      <c r="Z174" s="256"/>
      <c r="AA174" s="256"/>
      <c r="AB174" s="256"/>
    </row>
    <row r="175" spans="25:28" ht="15.75" customHeight="1">
      <c r="Y175" s="256"/>
      <c r="Z175" s="256"/>
      <c r="AA175" s="256"/>
      <c r="AB175" s="256"/>
    </row>
    <row r="176" spans="25:28" ht="15.75" customHeight="1">
      <c r="Y176" s="256"/>
      <c r="Z176" s="256"/>
      <c r="AA176" s="256"/>
      <c r="AB176" s="256"/>
    </row>
    <row r="177" spans="25:28" ht="15.75" customHeight="1">
      <c r="Y177" s="256"/>
      <c r="Z177" s="256"/>
      <c r="AA177" s="256"/>
      <c r="AB177" s="256"/>
    </row>
    <row r="178" spans="25:28" ht="15.75" customHeight="1">
      <c r="Y178" s="256"/>
      <c r="Z178" s="256"/>
      <c r="AA178" s="256"/>
      <c r="AB178" s="256"/>
    </row>
    <row r="179" spans="25:28" ht="15.75" customHeight="1">
      <c r="Y179" s="256"/>
      <c r="Z179" s="256"/>
      <c r="AA179" s="256"/>
      <c r="AB179" s="256"/>
    </row>
    <row r="180" spans="25:28" ht="15.75" customHeight="1">
      <c r="Y180" s="256"/>
      <c r="Z180" s="256"/>
      <c r="AA180" s="256"/>
      <c r="AB180" s="256"/>
    </row>
    <row r="181" spans="25:28" ht="15.75" customHeight="1">
      <c r="Y181" s="256"/>
      <c r="Z181" s="256"/>
      <c r="AA181" s="256"/>
      <c r="AB181" s="256"/>
    </row>
    <row r="182" spans="25:28" ht="15.75" customHeight="1">
      <c r="Y182" s="256"/>
      <c r="Z182" s="256"/>
      <c r="AA182" s="256"/>
      <c r="AB182" s="256"/>
    </row>
    <row r="183" spans="25:28" ht="15.75" customHeight="1">
      <c r="Y183" s="256"/>
      <c r="Z183" s="256"/>
      <c r="AA183" s="256"/>
      <c r="AB183" s="256"/>
    </row>
    <row r="184" spans="25:28" ht="15.75" customHeight="1">
      <c r="Y184" s="256"/>
      <c r="Z184" s="256"/>
      <c r="AA184" s="256"/>
      <c r="AB184" s="256"/>
    </row>
    <row r="185" spans="25:28" ht="15.75" customHeight="1">
      <c r="Y185" s="256"/>
      <c r="Z185" s="256"/>
      <c r="AA185" s="256"/>
      <c r="AB185" s="256"/>
    </row>
    <row r="186" spans="25:28" ht="15.75" customHeight="1">
      <c r="Y186" s="256"/>
      <c r="Z186" s="256"/>
      <c r="AA186" s="256"/>
      <c r="AB186" s="256"/>
    </row>
    <row r="187" spans="25:28" ht="15.75" customHeight="1">
      <c r="Y187" s="256"/>
      <c r="Z187" s="256"/>
      <c r="AA187" s="256"/>
      <c r="AB187" s="256"/>
    </row>
    <row r="188" spans="25:28" ht="15.75" customHeight="1">
      <c r="Y188" s="256"/>
      <c r="Z188" s="256"/>
      <c r="AA188" s="256"/>
      <c r="AB188" s="256"/>
    </row>
    <row r="189" spans="25:28" ht="15.75" customHeight="1">
      <c r="Y189" s="256"/>
      <c r="Z189" s="256"/>
      <c r="AA189" s="256"/>
      <c r="AB189" s="256"/>
    </row>
    <row r="190" spans="25:28" ht="15.75" customHeight="1">
      <c r="Y190" s="256"/>
      <c r="Z190" s="256"/>
      <c r="AA190" s="256"/>
      <c r="AB190" s="256"/>
    </row>
    <row r="191" spans="25:28" ht="15.75" customHeight="1">
      <c r="Y191" s="256"/>
      <c r="Z191" s="256"/>
      <c r="AA191" s="256"/>
      <c r="AB191" s="256"/>
    </row>
    <row r="192" spans="25:28" ht="15.75" customHeight="1">
      <c r="Y192" s="256"/>
      <c r="Z192" s="256"/>
      <c r="AA192" s="256"/>
      <c r="AB192" s="256"/>
    </row>
    <row r="193" spans="25:28" ht="15.75" customHeight="1">
      <c r="Y193" s="256"/>
      <c r="Z193" s="256"/>
      <c r="AA193" s="256"/>
      <c r="AB193" s="256"/>
    </row>
    <row r="194" spans="25:28" ht="15.75" customHeight="1">
      <c r="Y194" s="256"/>
      <c r="Z194" s="256"/>
      <c r="AA194" s="256"/>
      <c r="AB194" s="256"/>
    </row>
    <row r="195" spans="25:28" ht="15.75" customHeight="1">
      <c r="Y195" s="256"/>
      <c r="Z195" s="256"/>
      <c r="AA195" s="256"/>
      <c r="AB195" s="256"/>
    </row>
    <row r="196" spans="25:28" ht="15.75" customHeight="1">
      <c r="Y196" s="256"/>
      <c r="Z196" s="256"/>
      <c r="AA196" s="256"/>
      <c r="AB196" s="256"/>
    </row>
    <row r="197" spans="25:28" ht="15.75" customHeight="1">
      <c r="Y197" s="256"/>
      <c r="Z197" s="256"/>
      <c r="AA197" s="256"/>
      <c r="AB197" s="256"/>
    </row>
    <row r="198" spans="25:28" ht="15.75" customHeight="1">
      <c r="Y198" s="256"/>
      <c r="Z198" s="256"/>
      <c r="AA198" s="256"/>
      <c r="AB198" s="256"/>
    </row>
    <row r="199" spans="25:28" ht="15.75" customHeight="1">
      <c r="Y199" s="256"/>
      <c r="Z199" s="256"/>
      <c r="AA199" s="256"/>
      <c r="AB199" s="256"/>
    </row>
    <row r="200" spans="25:28" ht="15.75" customHeight="1">
      <c r="Y200" s="256"/>
      <c r="Z200" s="256"/>
      <c r="AA200" s="256"/>
      <c r="AB200" s="256"/>
    </row>
    <row r="201" spans="25:28" ht="15.75" customHeight="1">
      <c r="Y201" s="256"/>
      <c r="Z201" s="256"/>
      <c r="AA201" s="256"/>
      <c r="AB201" s="256"/>
    </row>
    <row r="202" spans="25:28" ht="15.75" customHeight="1">
      <c r="Y202" s="256"/>
      <c r="Z202" s="256"/>
      <c r="AA202" s="256"/>
      <c r="AB202" s="256"/>
    </row>
    <row r="203" spans="25:28" ht="15.75" customHeight="1">
      <c r="Y203" s="256"/>
      <c r="Z203" s="256"/>
      <c r="AA203" s="256"/>
      <c r="AB203" s="256"/>
    </row>
    <row r="204" spans="25:28" ht="15.75" customHeight="1">
      <c r="Y204" s="256"/>
      <c r="Z204" s="256"/>
      <c r="AA204" s="256"/>
      <c r="AB204" s="256"/>
    </row>
    <row r="205" spans="25:28" ht="15.75" customHeight="1">
      <c r="Y205" s="256"/>
      <c r="Z205" s="256"/>
      <c r="AA205" s="256"/>
      <c r="AB205" s="256"/>
    </row>
    <row r="206" spans="25:28" ht="15.75" customHeight="1">
      <c r="Y206" s="256"/>
      <c r="Z206" s="256"/>
      <c r="AA206" s="256"/>
      <c r="AB206" s="256"/>
    </row>
    <row r="207" spans="25:28" ht="15.75" customHeight="1">
      <c r="Y207" s="256"/>
      <c r="Z207" s="256"/>
      <c r="AA207" s="256"/>
      <c r="AB207" s="256"/>
    </row>
    <row r="208" spans="25:28" ht="15.75" customHeight="1">
      <c r="Y208" s="256"/>
      <c r="Z208" s="256"/>
      <c r="AA208" s="256"/>
      <c r="AB208" s="256"/>
    </row>
    <row r="209" spans="25:28" ht="15.75" customHeight="1">
      <c r="Y209" s="256"/>
      <c r="Z209" s="256"/>
      <c r="AA209" s="256"/>
      <c r="AB209" s="256"/>
    </row>
    <row r="210" spans="25:28" ht="15.75" customHeight="1">
      <c r="Y210" s="256"/>
      <c r="Z210" s="256"/>
      <c r="AA210" s="256"/>
      <c r="AB210" s="256"/>
    </row>
    <row r="211" spans="25:28" ht="15.75" customHeight="1">
      <c r="Y211" s="256"/>
      <c r="Z211" s="256"/>
      <c r="AA211" s="256"/>
      <c r="AB211" s="256"/>
    </row>
    <row r="212" spans="25:28" ht="15.75" customHeight="1">
      <c r="Y212" s="256"/>
      <c r="Z212" s="256"/>
      <c r="AA212" s="256"/>
      <c r="AB212" s="256"/>
    </row>
  </sheetData>
  <mergeCells count="19">
    <mergeCell ref="A1:K1"/>
    <mergeCell ref="B5:B6"/>
    <mergeCell ref="F20:G20"/>
    <mergeCell ref="F22:G22"/>
    <mergeCell ref="F23:G23"/>
    <mergeCell ref="A3:K3"/>
    <mergeCell ref="J5:J6"/>
    <mergeCell ref="I5:I6"/>
    <mergeCell ref="A4:K4"/>
    <mergeCell ref="H5:H6"/>
    <mergeCell ref="K5:K6"/>
    <mergeCell ref="A2:K2"/>
    <mergeCell ref="F25:G25"/>
    <mergeCell ref="E5:E6"/>
    <mergeCell ref="F5:F6"/>
    <mergeCell ref="G5:G6"/>
    <mergeCell ref="A5:A6"/>
    <mergeCell ref="D5:D6"/>
    <mergeCell ref="C5:C6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38"/>
  <sheetViews>
    <sheetView zoomScale="67" workbookViewId="0">
      <selection activeCell="M36" sqref="M36"/>
    </sheetView>
  </sheetViews>
  <sheetFormatPr defaultColWidth="9.83203125" defaultRowHeight="15" customHeight="1"/>
  <cols>
    <col min="1" max="1" width="3.83203125" style="352" customWidth="1"/>
    <col min="2" max="2" width="24.83203125" style="352" customWidth="1"/>
    <col min="3" max="3" width="18.75" style="352" customWidth="1"/>
    <col min="4" max="4" width="32.33203125" style="352" customWidth="1"/>
    <col min="5" max="5" width="30" style="352" customWidth="1"/>
    <col min="6" max="6" width="22.33203125" style="352" customWidth="1"/>
    <col min="7" max="8" width="13.25" style="352" customWidth="1"/>
    <col min="9" max="10" width="11.75" style="353" customWidth="1"/>
    <col min="11" max="11" width="17.25" style="353" customWidth="1"/>
    <col min="12" max="12" width="1.75" style="1" customWidth="1"/>
    <col min="13" max="18" width="14.25" style="1" customWidth="1"/>
    <col min="19" max="19" width="8.75" style="1" customWidth="1"/>
    <col min="20" max="22" width="13.08203125" style="1" customWidth="1"/>
    <col min="23" max="23" width="10.25" style="1" customWidth="1"/>
    <col min="24" max="28" width="8.75" style="1" customWidth="1"/>
    <col min="29" max="16384" width="9.83203125" style="1"/>
  </cols>
  <sheetData>
    <row r="1" spans="1:28" ht="18" customHeight="1">
      <c r="A1" s="1051" t="s">
        <v>3342</v>
      </c>
      <c r="B1" s="1051"/>
      <c r="C1" s="1051"/>
      <c r="D1" s="1051"/>
      <c r="E1" s="1051"/>
      <c r="F1" s="1051"/>
      <c r="G1" s="1051"/>
      <c r="H1" s="1051"/>
      <c r="I1" s="1051"/>
      <c r="J1" s="1051"/>
      <c r="K1" s="1051"/>
      <c r="L1" s="308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</row>
    <row r="2" spans="1:28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1058"/>
      <c r="J2" s="1058"/>
      <c r="K2" s="1058"/>
      <c r="L2" s="308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</row>
    <row r="3" spans="1:28" ht="27" customHeight="1">
      <c r="A3" s="1058" t="s">
        <v>3343</v>
      </c>
      <c r="B3" s="1058"/>
      <c r="C3" s="1058"/>
      <c r="D3" s="1058"/>
      <c r="E3" s="1058"/>
      <c r="F3" s="1058"/>
      <c r="G3" s="1058"/>
      <c r="H3" s="1058"/>
      <c r="I3" s="1058"/>
      <c r="J3" s="1058"/>
      <c r="K3" s="1058"/>
      <c r="L3" s="308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15" customHeight="1">
      <c r="A4" s="1045" t="s">
        <v>25</v>
      </c>
      <c r="B4" s="1045"/>
      <c r="C4" s="1045"/>
      <c r="D4" s="1045"/>
      <c r="E4" s="1045"/>
      <c r="F4" s="1045"/>
      <c r="G4" s="1045"/>
      <c r="H4" s="1045"/>
      <c r="I4" s="1045"/>
      <c r="J4" s="1045"/>
      <c r="K4" s="1045"/>
      <c r="L4" s="308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</row>
    <row r="5" spans="1:28" ht="17.25" customHeight="1">
      <c r="A5" s="1043" t="s">
        <v>3270</v>
      </c>
      <c r="B5" s="1043" t="s">
        <v>3271</v>
      </c>
      <c r="C5" s="1043" t="s">
        <v>3272</v>
      </c>
      <c r="D5" s="1043" t="s">
        <v>3273</v>
      </c>
      <c r="E5" s="1043" t="s">
        <v>3274</v>
      </c>
      <c r="F5" s="1059" t="s">
        <v>3275</v>
      </c>
      <c r="G5" s="1043" t="s">
        <v>13</v>
      </c>
      <c r="H5" s="1043" t="s">
        <v>3344</v>
      </c>
      <c r="I5" s="1043" t="s">
        <v>3276</v>
      </c>
      <c r="J5" s="1043" t="s">
        <v>3277</v>
      </c>
      <c r="K5" s="1047" t="s">
        <v>21</v>
      </c>
      <c r="L5" s="308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</row>
    <row r="6" spans="1:28" ht="15" customHeight="1">
      <c r="A6" s="1065"/>
      <c r="B6" s="1065"/>
      <c r="C6" s="1065"/>
      <c r="D6" s="1065"/>
      <c r="E6" s="1065"/>
      <c r="F6" s="1067"/>
      <c r="G6" s="1065"/>
      <c r="H6" s="1065"/>
      <c r="I6" s="1065"/>
      <c r="J6" s="1065"/>
      <c r="K6" s="1066"/>
      <c r="L6" s="308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21.75" customHeight="1">
      <c r="A7" s="361">
        <v>1</v>
      </c>
      <c r="B7" s="96" t="s">
        <v>2533</v>
      </c>
      <c r="C7" s="130" t="s">
        <v>1733</v>
      </c>
      <c r="D7" s="130" t="s">
        <v>1375</v>
      </c>
      <c r="E7" s="96" t="s">
        <v>2530</v>
      </c>
      <c r="F7" s="96" t="s">
        <v>2534</v>
      </c>
      <c r="G7" s="94">
        <v>45174</v>
      </c>
      <c r="H7" s="94" t="s">
        <v>2536</v>
      </c>
      <c r="I7" s="363">
        <v>8200000</v>
      </c>
      <c r="J7" s="363">
        <v>11700000</v>
      </c>
      <c r="K7" s="363">
        <f t="shared" ref="K7:K23" si="0">J7-I7</f>
        <v>3500000</v>
      </c>
      <c r="L7" s="308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 spans="1:28" ht="21.75" customHeight="1">
      <c r="A8" s="361">
        <v>2</v>
      </c>
      <c r="B8" s="96" t="s">
        <v>2543</v>
      </c>
      <c r="C8" s="96" t="s">
        <v>1829</v>
      </c>
      <c r="D8" s="96" t="s">
        <v>1485</v>
      </c>
      <c r="E8" s="96" t="s">
        <v>2540</v>
      </c>
      <c r="F8" s="96" t="s">
        <v>2545</v>
      </c>
      <c r="G8" s="94">
        <v>45175</v>
      </c>
      <c r="H8" s="153">
        <v>45210</v>
      </c>
      <c r="I8" s="363">
        <v>1800000</v>
      </c>
      <c r="J8" s="363">
        <v>3000000</v>
      </c>
      <c r="K8" s="363">
        <f t="shared" si="0"/>
        <v>1200000</v>
      </c>
      <c r="L8" s="308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</row>
    <row r="9" spans="1:28" ht="21.75" customHeight="1">
      <c r="A9" s="361">
        <v>3</v>
      </c>
      <c r="B9" s="96" t="s">
        <v>2467</v>
      </c>
      <c r="C9" s="130" t="s">
        <v>1588</v>
      </c>
      <c r="D9" s="130" t="s">
        <v>1977</v>
      </c>
      <c r="E9" s="96">
        <v>273187646</v>
      </c>
      <c r="F9" s="96" t="s">
        <v>2503</v>
      </c>
      <c r="G9" s="94">
        <v>45176</v>
      </c>
      <c r="H9" s="94" t="s">
        <v>2184</v>
      </c>
      <c r="I9" s="363">
        <v>3550000</v>
      </c>
      <c r="J9" s="363">
        <v>4750000</v>
      </c>
      <c r="K9" s="363">
        <f t="shared" si="0"/>
        <v>1200000</v>
      </c>
      <c r="L9" s="308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</row>
    <row r="10" spans="1:28" ht="21.75" customHeight="1">
      <c r="A10" s="361">
        <v>4</v>
      </c>
      <c r="B10" s="104" t="s">
        <v>2554</v>
      </c>
      <c r="C10" s="96" t="s">
        <v>2335</v>
      </c>
      <c r="D10" s="96" t="s">
        <v>1375</v>
      </c>
      <c r="E10" s="96" t="s">
        <v>2552</v>
      </c>
      <c r="F10" s="96" t="s">
        <v>2556</v>
      </c>
      <c r="G10" s="94">
        <v>45181</v>
      </c>
      <c r="H10" s="94" t="s">
        <v>2536</v>
      </c>
      <c r="I10" s="363">
        <v>850000</v>
      </c>
      <c r="J10" s="363">
        <v>1637600</v>
      </c>
      <c r="K10" s="363">
        <f t="shared" si="0"/>
        <v>787600</v>
      </c>
      <c r="L10" s="308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8" ht="21.75" customHeight="1">
      <c r="A11" s="361">
        <v>5</v>
      </c>
      <c r="B11" s="96" t="s">
        <v>2562</v>
      </c>
      <c r="C11" s="130" t="s">
        <v>1588</v>
      </c>
      <c r="D11" s="130" t="s">
        <v>1977</v>
      </c>
      <c r="E11" s="96" t="s">
        <v>2560</v>
      </c>
      <c r="F11" s="96" t="s">
        <v>2563</v>
      </c>
      <c r="G11" s="94">
        <v>45184</v>
      </c>
      <c r="H11" s="94" t="s">
        <v>2184</v>
      </c>
      <c r="I11" s="363">
        <v>5390000</v>
      </c>
      <c r="J11" s="363">
        <v>6990000</v>
      </c>
      <c r="K11" s="363">
        <f t="shared" si="0"/>
        <v>1600000</v>
      </c>
      <c r="L11" s="308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8" ht="21.75" customHeight="1">
      <c r="A12" s="361">
        <v>6</v>
      </c>
      <c r="B12" s="96" t="s">
        <v>2573</v>
      </c>
      <c r="C12" s="96" t="s">
        <v>1588</v>
      </c>
      <c r="D12" s="96" t="s">
        <v>1375</v>
      </c>
      <c r="E12" s="96" t="s">
        <v>2571</v>
      </c>
      <c r="F12" s="96" t="s">
        <v>2575</v>
      </c>
      <c r="G12" s="94">
        <v>45185</v>
      </c>
      <c r="H12" s="94" t="s">
        <v>1515</v>
      </c>
      <c r="I12" s="363">
        <v>2300000</v>
      </c>
      <c r="J12" s="363">
        <v>3200000</v>
      </c>
      <c r="K12" s="363">
        <f t="shared" si="0"/>
        <v>900000</v>
      </c>
      <c r="L12" s="308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8" ht="21.75" customHeight="1">
      <c r="A13" s="361">
        <v>7</v>
      </c>
      <c r="B13" s="96" t="s">
        <v>2581</v>
      </c>
      <c r="C13" s="96" t="s">
        <v>1829</v>
      </c>
      <c r="D13" s="96" t="s">
        <v>1485</v>
      </c>
      <c r="E13" s="96" t="s">
        <v>2579</v>
      </c>
      <c r="F13" s="96" t="s">
        <v>2582</v>
      </c>
      <c r="G13" s="94">
        <v>45188</v>
      </c>
      <c r="H13" s="153">
        <v>45210</v>
      </c>
      <c r="I13" s="363">
        <v>1900000</v>
      </c>
      <c r="J13" s="363">
        <v>3000000</v>
      </c>
      <c r="K13" s="363">
        <f t="shared" si="0"/>
        <v>1100000</v>
      </c>
      <c r="L13" s="308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8" ht="21.75" customHeight="1">
      <c r="A14" s="361">
        <v>8</v>
      </c>
      <c r="B14" s="96" t="s">
        <v>2587</v>
      </c>
      <c r="C14" s="96" t="s">
        <v>2135</v>
      </c>
      <c r="D14" s="96" t="s">
        <v>1375</v>
      </c>
      <c r="E14" s="96" t="s">
        <v>2584</v>
      </c>
      <c r="F14" s="96" t="s">
        <v>2588</v>
      </c>
      <c r="G14" s="94">
        <v>45189</v>
      </c>
      <c r="H14" s="103">
        <v>45088</v>
      </c>
      <c r="I14" s="363">
        <v>88000000</v>
      </c>
      <c r="J14" s="363">
        <v>118700000</v>
      </c>
      <c r="K14" s="363">
        <f t="shared" si="0"/>
        <v>30700000</v>
      </c>
      <c r="L14" s="308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8" ht="21.75" customHeight="1">
      <c r="A15" s="361">
        <v>9</v>
      </c>
      <c r="B15" s="96" t="s">
        <v>2601</v>
      </c>
      <c r="C15" s="96" t="s">
        <v>1588</v>
      </c>
      <c r="D15" s="96" t="s">
        <v>1375</v>
      </c>
      <c r="E15" s="96" t="s">
        <v>2599</v>
      </c>
      <c r="F15" s="96" t="s">
        <v>2588</v>
      </c>
      <c r="G15" s="94">
        <v>45189</v>
      </c>
      <c r="H15" s="94">
        <v>45088</v>
      </c>
      <c r="I15" s="363">
        <v>26950000</v>
      </c>
      <c r="J15" s="363">
        <v>37825300</v>
      </c>
      <c r="K15" s="363">
        <f t="shared" si="0"/>
        <v>10875300</v>
      </c>
      <c r="L15" s="308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8" ht="21.75" customHeight="1">
      <c r="A16" s="361">
        <v>10</v>
      </c>
      <c r="B16" s="96" t="s">
        <v>2608</v>
      </c>
      <c r="C16" s="96" t="s">
        <v>2406</v>
      </c>
      <c r="D16" s="96" t="s">
        <v>1375</v>
      </c>
      <c r="E16" s="96" t="s">
        <v>2605</v>
      </c>
      <c r="F16" s="96" t="s">
        <v>2609</v>
      </c>
      <c r="G16" s="94">
        <v>45190</v>
      </c>
      <c r="H16" s="56">
        <v>45088</v>
      </c>
      <c r="I16" s="363">
        <v>5275000</v>
      </c>
      <c r="J16" s="363">
        <v>11521760</v>
      </c>
      <c r="K16" s="363">
        <f t="shared" si="0"/>
        <v>6246760</v>
      </c>
      <c r="L16" s="308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8" ht="21.75" customHeight="1">
      <c r="A17" s="361">
        <v>11</v>
      </c>
      <c r="B17" s="96" t="s">
        <v>2614</v>
      </c>
      <c r="C17" s="96" t="s">
        <v>1588</v>
      </c>
      <c r="D17" s="96" t="s">
        <v>1375</v>
      </c>
      <c r="E17" s="96" t="s">
        <v>2612</v>
      </c>
      <c r="F17" s="96" t="s">
        <v>2616</v>
      </c>
      <c r="G17" s="94">
        <v>45191</v>
      </c>
      <c r="H17" s="94" t="s">
        <v>1515</v>
      </c>
      <c r="I17" s="363">
        <v>2300000</v>
      </c>
      <c r="J17" s="363">
        <v>3200000</v>
      </c>
      <c r="K17" s="363">
        <f t="shared" si="0"/>
        <v>900000</v>
      </c>
      <c r="L17" s="308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8" ht="21.75" customHeight="1">
      <c r="A18" s="361">
        <v>12</v>
      </c>
      <c r="B18" s="96" t="s">
        <v>2624</v>
      </c>
      <c r="C18" s="96" t="s">
        <v>2406</v>
      </c>
      <c r="D18" s="96" t="s">
        <v>1375</v>
      </c>
      <c r="E18" s="96" t="s">
        <v>2621</v>
      </c>
      <c r="F18" s="96" t="s">
        <v>2626</v>
      </c>
      <c r="G18" s="94">
        <v>45191</v>
      </c>
      <c r="H18" s="56">
        <v>45088</v>
      </c>
      <c r="I18" s="363">
        <v>8275000</v>
      </c>
      <c r="J18" s="363">
        <v>13215320</v>
      </c>
      <c r="K18" s="363">
        <f t="shared" si="0"/>
        <v>4940320</v>
      </c>
      <c r="L18" s="308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8" ht="21.75" customHeight="1">
      <c r="A19" s="361">
        <v>13</v>
      </c>
      <c r="B19" s="96" t="s">
        <v>2632</v>
      </c>
      <c r="C19" s="130" t="s">
        <v>2406</v>
      </c>
      <c r="D19" s="130" t="s">
        <v>1375</v>
      </c>
      <c r="E19" s="96" t="s">
        <v>2629</v>
      </c>
      <c r="F19" s="96" t="s">
        <v>2633</v>
      </c>
      <c r="G19" s="94">
        <v>45191</v>
      </c>
      <c r="H19" s="94" t="s">
        <v>2536</v>
      </c>
      <c r="I19" s="363">
        <v>14350000</v>
      </c>
      <c r="J19" s="363">
        <v>20225000</v>
      </c>
      <c r="K19" s="363">
        <f t="shared" si="0"/>
        <v>5875000</v>
      </c>
      <c r="L19" s="308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8" ht="21.75" customHeight="1">
      <c r="A20" s="361">
        <v>14</v>
      </c>
      <c r="B20" s="96" t="s">
        <v>2646</v>
      </c>
      <c r="C20" s="130" t="s">
        <v>1733</v>
      </c>
      <c r="D20" s="130" t="s">
        <v>1375</v>
      </c>
      <c r="E20" s="96" t="s">
        <v>2642</v>
      </c>
      <c r="F20" s="96" t="s">
        <v>2647</v>
      </c>
      <c r="G20" s="94">
        <v>45193</v>
      </c>
      <c r="H20" s="94" t="s">
        <v>2536</v>
      </c>
      <c r="I20" s="363">
        <v>67640000</v>
      </c>
      <c r="J20" s="363">
        <v>95504240</v>
      </c>
      <c r="K20" s="363">
        <f t="shared" si="0"/>
        <v>27864240</v>
      </c>
      <c r="L20" s="308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8" ht="21.75" customHeight="1">
      <c r="A21" s="361">
        <v>15</v>
      </c>
      <c r="B21" s="96" t="s">
        <v>2656</v>
      </c>
      <c r="C21" s="96" t="s">
        <v>2406</v>
      </c>
      <c r="D21" s="96" t="s">
        <v>1375</v>
      </c>
      <c r="E21" s="96" t="s">
        <v>2653</v>
      </c>
      <c r="F21" s="96" t="s">
        <v>2658</v>
      </c>
      <c r="G21" s="94">
        <v>45194</v>
      </c>
      <c r="H21" s="94">
        <v>45088</v>
      </c>
      <c r="I21" s="363">
        <v>5375000</v>
      </c>
      <c r="J21" s="363">
        <v>11671760</v>
      </c>
      <c r="K21" s="363">
        <f t="shared" si="0"/>
        <v>6296760</v>
      </c>
      <c r="L21" s="308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</row>
    <row r="22" spans="1:28" ht="21.75" customHeight="1">
      <c r="A22" s="361">
        <v>16</v>
      </c>
      <c r="B22" s="105" t="s">
        <v>2663</v>
      </c>
      <c r="C22" s="105" t="s">
        <v>1588</v>
      </c>
      <c r="D22" s="105" t="s">
        <v>1758</v>
      </c>
      <c r="E22" s="105" t="s">
        <v>2660</v>
      </c>
      <c r="F22" s="105" t="s">
        <v>66</v>
      </c>
      <c r="G22" s="107">
        <v>45194</v>
      </c>
      <c r="H22" s="94">
        <v>45088</v>
      </c>
      <c r="I22" s="363">
        <v>943000</v>
      </c>
      <c r="J22" s="363">
        <v>2251000</v>
      </c>
      <c r="K22" s="363">
        <f t="shared" si="0"/>
        <v>1308000</v>
      </c>
      <c r="L22" s="308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</row>
    <row r="23" spans="1:28" ht="21.75" customHeight="1">
      <c r="A23" s="361">
        <v>17</v>
      </c>
      <c r="B23" s="96" t="s">
        <v>2669</v>
      </c>
      <c r="C23" s="96" t="s">
        <v>1588</v>
      </c>
      <c r="D23" s="96" t="s">
        <v>1375</v>
      </c>
      <c r="E23" s="96" t="s">
        <v>2666</v>
      </c>
      <c r="F23" s="96" t="s">
        <v>2670</v>
      </c>
      <c r="G23" s="94">
        <v>45196</v>
      </c>
      <c r="H23" s="107">
        <v>44968</v>
      </c>
      <c r="I23" s="363">
        <v>64425000</v>
      </c>
      <c r="J23" s="363">
        <v>87445600</v>
      </c>
      <c r="K23" s="363">
        <f t="shared" si="0"/>
        <v>23020600</v>
      </c>
      <c r="L23" s="308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</row>
    <row r="24" spans="1:28" ht="21.75" customHeight="1">
      <c r="A24" s="361">
        <v>18</v>
      </c>
      <c r="B24" s="96" t="s">
        <v>2679</v>
      </c>
      <c r="C24" s="130" t="s">
        <v>2135</v>
      </c>
      <c r="D24" s="130" t="s">
        <v>2675</v>
      </c>
      <c r="E24" s="96" t="s">
        <v>2676</v>
      </c>
      <c r="F24" s="96" t="s">
        <v>2680</v>
      </c>
      <c r="G24" s="94">
        <v>45198</v>
      </c>
      <c r="H24" s="94">
        <v>45088</v>
      </c>
      <c r="I24" s="363">
        <v>3024872</v>
      </c>
      <c r="J24" s="363">
        <v>7219482</v>
      </c>
      <c r="K24" s="410">
        <f t="shared" ref="K24:K29" si="1">J24-I24</f>
        <v>4194610</v>
      </c>
      <c r="L24" s="308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</row>
    <row r="25" spans="1:28" ht="21.75" customHeight="1">
      <c r="A25" s="361">
        <v>19</v>
      </c>
      <c r="B25" s="96" t="s">
        <v>2685</v>
      </c>
      <c r="C25" s="96" t="s">
        <v>1829</v>
      </c>
      <c r="D25" s="96" t="s">
        <v>1485</v>
      </c>
      <c r="E25" s="96" t="s">
        <v>2682</v>
      </c>
      <c r="F25" s="96" t="s">
        <v>2686</v>
      </c>
      <c r="G25" s="94">
        <v>45201</v>
      </c>
      <c r="H25" s="94">
        <v>45198</v>
      </c>
      <c r="I25" s="363">
        <v>1800000</v>
      </c>
      <c r="J25" s="363">
        <v>2800000</v>
      </c>
      <c r="K25" s="410">
        <f t="shared" si="1"/>
        <v>1000000</v>
      </c>
      <c r="L25" s="308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</row>
    <row r="26" spans="1:28" ht="21.75" customHeight="1">
      <c r="A26" s="361">
        <v>20</v>
      </c>
      <c r="B26" s="96" t="s">
        <v>2679</v>
      </c>
      <c r="C26" s="96" t="s">
        <v>1829</v>
      </c>
      <c r="D26" s="96" t="s">
        <v>1485</v>
      </c>
      <c r="E26" s="96" t="s">
        <v>2688</v>
      </c>
      <c r="F26" s="96" t="s">
        <v>2690</v>
      </c>
      <c r="G26" s="94">
        <v>45206</v>
      </c>
      <c r="H26" s="90" t="s">
        <v>1515</v>
      </c>
      <c r="I26" s="363">
        <v>1800000</v>
      </c>
      <c r="J26" s="363">
        <v>2800000</v>
      </c>
      <c r="K26" s="410">
        <f t="shared" si="1"/>
        <v>1000000</v>
      </c>
      <c r="L26" s="308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</row>
    <row r="27" spans="1:28" ht="21.75" customHeight="1">
      <c r="A27" s="361">
        <v>21</v>
      </c>
      <c r="B27" s="96" t="s">
        <v>3345</v>
      </c>
      <c r="C27" s="96" t="s">
        <v>2406</v>
      </c>
      <c r="D27" s="96" t="s">
        <v>1375</v>
      </c>
      <c r="E27" s="96" t="s">
        <v>2699</v>
      </c>
      <c r="F27" s="96" t="s">
        <v>2701</v>
      </c>
      <c r="G27" s="94">
        <v>45245</v>
      </c>
      <c r="H27" s="90" t="s">
        <v>1515</v>
      </c>
      <c r="I27" s="363">
        <v>31970000</v>
      </c>
      <c r="J27" s="363">
        <v>42270000</v>
      </c>
      <c r="K27" s="410">
        <f t="shared" si="1"/>
        <v>10300000</v>
      </c>
      <c r="L27" s="308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</row>
    <row r="28" spans="1:28" ht="21.75" customHeight="1">
      <c r="A28" s="361">
        <v>22</v>
      </c>
      <c r="B28" s="104" t="s">
        <v>2704</v>
      </c>
      <c r="C28" s="96" t="s">
        <v>1919</v>
      </c>
      <c r="D28" s="96" t="s">
        <v>1375</v>
      </c>
      <c r="E28" s="96" t="s">
        <v>2702</v>
      </c>
      <c r="F28" s="96" t="s">
        <v>2705</v>
      </c>
      <c r="G28" s="94">
        <v>45172</v>
      </c>
      <c r="H28" s="90" t="s">
        <v>1515</v>
      </c>
      <c r="I28" s="363">
        <v>11500000</v>
      </c>
      <c r="J28" s="363">
        <v>12500000</v>
      </c>
      <c r="K28" s="410">
        <f t="shared" si="1"/>
        <v>1000000</v>
      </c>
      <c r="L28" s="308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</row>
    <row r="29" spans="1:28" ht="21.75" customHeight="1">
      <c r="A29" s="361">
        <v>23</v>
      </c>
      <c r="B29" s="96" t="s">
        <v>3345</v>
      </c>
      <c r="C29" s="96" t="s">
        <v>2406</v>
      </c>
      <c r="D29" s="96" t="s">
        <v>1375</v>
      </c>
      <c r="E29" s="96" t="s">
        <v>2692</v>
      </c>
      <c r="F29" s="96" t="s">
        <v>2701</v>
      </c>
      <c r="G29" s="94">
        <v>45245</v>
      </c>
      <c r="H29" s="94" t="s">
        <v>2708</v>
      </c>
      <c r="I29" s="363">
        <v>31970000</v>
      </c>
      <c r="J29" s="363">
        <v>42270000</v>
      </c>
      <c r="K29" s="410">
        <f t="shared" si="1"/>
        <v>10300000</v>
      </c>
      <c r="L29" s="308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</row>
    <row r="30" spans="1:28" ht="21.75" customHeight="1">
      <c r="A30" s="368"/>
      <c r="B30" s="369"/>
      <c r="C30" s="369"/>
      <c r="D30" s="368" t="s">
        <v>3290</v>
      </c>
      <c r="E30" s="368"/>
      <c r="F30" s="1053" t="s">
        <v>3291</v>
      </c>
      <c r="G30" s="1053"/>
      <c r="H30" s="370"/>
      <c r="I30" s="372"/>
      <c r="J30" s="372"/>
      <c r="K30" s="373">
        <f>SUM(K7:K29)</f>
        <v>156109190</v>
      </c>
      <c r="L30" s="320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</row>
    <row r="31" spans="1:28" ht="7.5" customHeight="1">
      <c r="A31" s="368"/>
      <c r="B31" s="368"/>
      <c r="C31" s="368"/>
      <c r="D31" s="368"/>
      <c r="E31" s="368"/>
      <c r="F31" s="370"/>
      <c r="G31" s="370"/>
      <c r="H31" s="370"/>
      <c r="I31" s="380"/>
      <c r="J31" s="380"/>
      <c r="K31" s="381"/>
      <c r="L31" s="308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</row>
    <row r="32" spans="1:28" ht="15" customHeight="1">
      <c r="A32" s="368"/>
      <c r="B32" s="368"/>
      <c r="C32" s="368"/>
      <c r="D32" s="368"/>
      <c r="E32" s="368"/>
      <c r="F32" s="1057" t="s">
        <v>3323</v>
      </c>
      <c r="G32" s="1057"/>
      <c r="H32" s="382"/>
      <c r="I32" s="372"/>
      <c r="J32" s="372"/>
      <c r="K32" s="383">
        <f>K30</f>
        <v>156109190</v>
      </c>
      <c r="L32" s="308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</row>
    <row r="33" spans="1:28" ht="15" customHeight="1">
      <c r="A33" s="368"/>
      <c r="B33" s="368"/>
      <c r="C33" s="368"/>
      <c r="D33" s="368"/>
      <c r="E33" s="368"/>
      <c r="F33" s="1053" t="s">
        <v>3297</v>
      </c>
      <c r="G33" s="1053"/>
      <c r="H33" s="370"/>
      <c r="I33" s="380"/>
      <c r="J33" s="380"/>
      <c r="K33" s="384">
        <v>100000000</v>
      </c>
      <c r="L33" s="308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</row>
    <row r="34" spans="1:28" ht="5.25" customHeight="1">
      <c r="A34" s="368"/>
      <c r="B34" s="368"/>
      <c r="C34" s="368"/>
      <c r="D34" s="368"/>
      <c r="E34" s="368"/>
      <c r="F34" s="370"/>
      <c r="G34" s="370"/>
      <c r="H34" s="370"/>
      <c r="I34" s="380"/>
      <c r="J34" s="380"/>
      <c r="K34" s="381"/>
      <c r="L34" s="308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</row>
    <row r="35" spans="1:28" ht="15" customHeight="1">
      <c r="A35" s="368"/>
      <c r="B35" s="368"/>
      <c r="C35" s="368"/>
      <c r="D35" s="368"/>
      <c r="E35" s="368"/>
      <c r="F35" s="1053" t="s">
        <v>3341</v>
      </c>
      <c r="G35" s="1053"/>
      <c r="H35" s="370"/>
      <c r="I35" s="380"/>
      <c r="J35" s="380"/>
      <c r="K35" s="381">
        <f>K32*15/100</f>
        <v>23416378.5</v>
      </c>
      <c r="L35" s="308"/>
      <c r="M35" s="256" t="s">
        <v>3346</v>
      </c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</row>
    <row r="36" spans="1:28" ht="15.75" customHeight="1"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</row>
    <row r="37" spans="1:28" ht="15.75" customHeight="1"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</row>
    <row r="38" spans="1:28" ht="15.75" customHeight="1"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</row>
  </sheetData>
  <mergeCells count="19">
    <mergeCell ref="A1:K1"/>
    <mergeCell ref="B5:B6"/>
    <mergeCell ref="F30:G30"/>
    <mergeCell ref="F32:G32"/>
    <mergeCell ref="F33:G33"/>
    <mergeCell ref="A2:K2"/>
    <mergeCell ref="A3:K3"/>
    <mergeCell ref="A4:K4"/>
    <mergeCell ref="F35:G35"/>
    <mergeCell ref="A5:A6"/>
    <mergeCell ref="K5:K6"/>
    <mergeCell ref="J5:J6"/>
    <mergeCell ref="G5:G6"/>
    <mergeCell ref="F5:F6"/>
    <mergeCell ref="H5:H6"/>
    <mergeCell ref="I5:I6"/>
    <mergeCell ref="C5:C6"/>
    <mergeCell ref="D5:D6"/>
    <mergeCell ref="E5:E6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B20"/>
  <sheetViews>
    <sheetView zoomScale="58" workbookViewId="0">
      <selection activeCell="E43" sqref="E43"/>
    </sheetView>
  </sheetViews>
  <sheetFormatPr defaultColWidth="9.83203125" defaultRowHeight="15" customHeight="1"/>
  <cols>
    <col min="1" max="1" width="3.83203125" style="352" customWidth="1"/>
    <col min="2" max="2" width="15.25" style="352" customWidth="1"/>
    <col min="3" max="3" width="18.75" style="352" customWidth="1"/>
    <col min="4" max="4" width="32.33203125" style="352" customWidth="1"/>
    <col min="5" max="5" width="30" style="352" customWidth="1"/>
    <col min="6" max="6" width="22.33203125" style="352" customWidth="1"/>
    <col min="7" max="8" width="13.25" style="352" customWidth="1"/>
    <col min="9" max="10" width="11.75" style="353" customWidth="1"/>
    <col min="11" max="11" width="17.25" style="353" customWidth="1"/>
    <col min="12" max="12" width="1.75" style="1" customWidth="1"/>
    <col min="13" max="18" width="14.25" style="1" customWidth="1"/>
    <col min="19" max="19" width="8.75" style="1" customWidth="1"/>
    <col min="20" max="22" width="13.08203125" style="1" customWidth="1"/>
    <col min="23" max="23" width="10.25" style="1" customWidth="1"/>
    <col min="24" max="28" width="8.75" style="1" customWidth="1"/>
    <col min="29" max="16384" width="9.83203125" style="1"/>
  </cols>
  <sheetData>
    <row r="1" spans="1:28" ht="18" customHeight="1">
      <c r="A1" s="1051" t="s">
        <v>3347</v>
      </c>
      <c r="B1" s="1051"/>
      <c r="C1" s="1051"/>
      <c r="D1" s="1051"/>
      <c r="E1" s="1051"/>
      <c r="F1" s="1051"/>
      <c r="G1" s="1051"/>
      <c r="H1" s="1051"/>
      <c r="I1" s="1051"/>
      <c r="J1" s="1051"/>
      <c r="K1" s="1051"/>
      <c r="L1" s="308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</row>
    <row r="2" spans="1:28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1058"/>
      <c r="J2" s="1058"/>
      <c r="K2" s="1058"/>
      <c r="L2" s="308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</row>
    <row r="3" spans="1:28" ht="27" customHeight="1">
      <c r="A3" s="1058" t="s">
        <v>3348</v>
      </c>
      <c r="B3" s="1058"/>
      <c r="C3" s="1058"/>
      <c r="D3" s="1058"/>
      <c r="E3" s="1058"/>
      <c r="F3" s="1058"/>
      <c r="G3" s="1058"/>
      <c r="H3" s="1058"/>
      <c r="I3" s="1058"/>
      <c r="J3" s="1058"/>
      <c r="K3" s="1058"/>
      <c r="L3" s="308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15" customHeight="1">
      <c r="A4" s="1045" t="s">
        <v>25</v>
      </c>
      <c r="B4" s="1045"/>
      <c r="C4" s="1045"/>
      <c r="D4" s="1045"/>
      <c r="E4" s="1045"/>
      <c r="F4" s="1045"/>
      <c r="G4" s="1045"/>
      <c r="H4" s="1045"/>
      <c r="I4" s="1045"/>
      <c r="J4" s="1045"/>
      <c r="K4" s="1045"/>
      <c r="L4" s="308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</row>
    <row r="5" spans="1:28" ht="17.25" customHeight="1">
      <c r="A5" s="1043" t="s">
        <v>3270</v>
      </c>
      <c r="B5" s="1043" t="s">
        <v>2738</v>
      </c>
      <c r="C5" s="1043" t="s">
        <v>3272</v>
      </c>
      <c r="D5" s="1043" t="s">
        <v>3273</v>
      </c>
      <c r="E5" s="1043" t="s">
        <v>3274</v>
      </c>
      <c r="F5" s="1059" t="s">
        <v>3275</v>
      </c>
      <c r="G5" s="1043" t="s">
        <v>13</v>
      </c>
      <c r="H5" s="1043" t="s">
        <v>3344</v>
      </c>
      <c r="I5" s="1043" t="s">
        <v>3276</v>
      </c>
      <c r="J5" s="1043" t="s">
        <v>3277</v>
      </c>
      <c r="K5" s="1047" t="s">
        <v>21</v>
      </c>
      <c r="L5" s="308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</row>
    <row r="6" spans="1:28" ht="15" customHeight="1">
      <c r="A6" s="1065"/>
      <c r="B6" s="1065"/>
      <c r="C6" s="1065"/>
      <c r="D6" s="1065"/>
      <c r="E6" s="1065"/>
      <c r="F6" s="1067"/>
      <c r="G6" s="1065"/>
      <c r="H6" s="1065"/>
      <c r="I6" s="1065"/>
      <c r="J6" s="1065"/>
      <c r="K6" s="1066"/>
      <c r="L6" s="308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21.75" customHeight="1">
      <c r="A7" s="361">
        <v>1</v>
      </c>
      <c r="B7" s="96" t="s">
        <v>3349</v>
      </c>
      <c r="C7" s="130" t="s">
        <v>3350</v>
      </c>
      <c r="D7" s="130" t="s">
        <v>3351</v>
      </c>
      <c r="E7" s="96" t="s">
        <v>2741</v>
      </c>
      <c r="F7" s="96" t="s">
        <v>172</v>
      </c>
      <c r="G7" s="94" t="s">
        <v>2746</v>
      </c>
      <c r="H7" s="94" t="s">
        <v>2750</v>
      </c>
      <c r="I7" s="363">
        <v>4766816</v>
      </c>
      <c r="J7" s="363">
        <v>6054616</v>
      </c>
      <c r="K7" s="363">
        <f t="shared" ref="K7:K11" si="0">J7-I7</f>
        <v>1287800</v>
      </c>
      <c r="L7" s="308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 spans="1:28" ht="21.75" customHeight="1">
      <c r="A8" s="361">
        <v>2</v>
      </c>
      <c r="B8" s="96" t="s">
        <v>3352</v>
      </c>
      <c r="C8" s="96" t="s">
        <v>3350</v>
      </c>
      <c r="D8" s="96" t="s">
        <v>2816</v>
      </c>
      <c r="E8" s="96" t="s">
        <v>2752</v>
      </c>
      <c r="F8" s="96" t="s">
        <v>934</v>
      </c>
      <c r="G8" s="94" t="s">
        <v>2745</v>
      </c>
      <c r="H8" s="94"/>
      <c r="I8" s="363">
        <v>25141601</v>
      </c>
      <c r="J8" s="363">
        <v>28836601</v>
      </c>
      <c r="K8" s="363">
        <f t="shared" si="0"/>
        <v>3695000</v>
      </c>
      <c r="L8" s="308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</row>
    <row r="9" spans="1:28" ht="21.75" customHeight="1">
      <c r="A9" s="361">
        <v>3</v>
      </c>
      <c r="B9" s="96" t="s">
        <v>3353</v>
      </c>
      <c r="C9" s="130" t="s">
        <v>3354</v>
      </c>
      <c r="D9" s="130" t="s">
        <v>3355</v>
      </c>
      <c r="E9" s="96" t="s">
        <v>3356</v>
      </c>
      <c r="F9" s="96" t="s">
        <v>66</v>
      </c>
      <c r="G9" s="94" t="s">
        <v>3357</v>
      </c>
      <c r="H9" s="94" t="s">
        <v>3358</v>
      </c>
      <c r="I9" s="363">
        <v>7128145</v>
      </c>
      <c r="J9" s="363">
        <v>17839800</v>
      </c>
      <c r="K9" s="363">
        <f t="shared" si="0"/>
        <v>10711655</v>
      </c>
      <c r="L9" s="308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</row>
    <row r="10" spans="1:28" ht="21.75" customHeight="1">
      <c r="A10" s="361">
        <v>4</v>
      </c>
      <c r="B10" s="96" t="s">
        <v>3359</v>
      </c>
      <c r="C10" s="96" t="s">
        <v>3350</v>
      </c>
      <c r="D10" s="96" t="s">
        <v>2816</v>
      </c>
      <c r="E10" s="96" t="s">
        <v>2770</v>
      </c>
      <c r="F10" s="96" t="s">
        <v>934</v>
      </c>
      <c r="G10" s="94" t="s">
        <v>3360</v>
      </c>
      <c r="H10" s="94"/>
      <c r="I10" s="363">
        <v>7419698</v>
      </c>
      <c r="J10" s="363">
        <v>8302698</v>
      </c>
      <c r="K10" s="363">
        <f t="shared" si="0"/>
        <v>883000</v>
      </c>
      <c r="L10" s="308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8" ht="21.75" customHeight="1">
      <c r="A11" s="361">
        <v>5</v>
      </c>
      <c r="B11" s="96" t="s">
        <v>3361</v>
      </c>
      <c r="C11" s="130" t="s">
        <v>3350</v>
      </c>
      <c r="D11" s="130" t="s">
        <v>2816</v>
      </c>
      <c r="E11" s="96" t="s">
        <v>2777</v>
      </c>
      <c r="F11" s="96" t="s">
        <v>934</v>
      </c>
      <c r="G11" s="94" t="s">
        <v>2746</v>
      </c>
      <c r="H11" s="94"/>
      <c r="I11" s="363">
        <v>5136712</v>
      </c>
      <c r="J11" s="363">
        <v>5809712</v>
      </c>
      <c r="K11" s="363">
        <f t="shared" si="0"/>
        <v>673000</v>
      </c>
      <c r="L11" s="308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8" ht="21.75" customHeight="1">
      <c r="A12" s="368"/>
      <c r="B12" s="369"/>
      <c r="C12" s="369"/>
      <c r="D12" s="368" t="s">
        <v>3290</v>
      </c>
      <c r="E12" s="368"/>
      <c r="F12" s="1053" t="s">
        <v>3291</v>
      </c>
      <c r="G12" s="1053"/>
      <c r="H12" s="370"/>
      <c r="I12" s="372"/>
      <c r="J12" s="372"/>
      <c r="K12" s="373">
        <f>SUM(K7:K11)</f>
        <v>17250455</v>
      </c>
      <c r="L12" s="320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8" ht="7.5" customHeight="1">
      <c r="A13" s="368"/>
      <c r="B13" s="368"/>
      <c r="C13" s="368"/>
      <c r="D13" s="368"/>
      <c r="E13" s="368"/>
      <c r="F13" s="370"/>
      <c r="G13" s="370"/>
      <c r="H13" s="370"/>
      <c r="I13" s="380"/>
      <c r="J13" s="380"/>
      <c r="K13" s="381"/>
      <c r="L13" s="308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</row>
    <row r="14" spans="1:28" ht="15" customHeight="1">
      <c r="A14" s="368"/>
      <c r="B14" s="368"/>
      <c r="C14" s="368"/>
      <c r="D14" s="368"/>
      <c r="E14" s="368"/>
      <c r="F14" s="1057" t="s">
        <v>3323</v>
      </c>
      <c r="G14" s="1057"/>
      <c r="H14" s="382"/>
      <c r="I14" s="372"/>
      <c r="J14" s="372"/>
      <c r="K14" s="383">
        <f>K12</f>
        <v>17250455</v>
      </c>
      <c r="L14" s="308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</row>
    <row r="15" spans="1:28" ht="15" customHeight="1">
      <c r="A15" s="368"/>
      <c r="B15" s="368"/>
      <c r="C15" s="368"/>
      <c r="D15" s="368"/>
      <c r="E15" s="368"/>
      <c r="F15" s="1053" t="s">
        <v>3297</v>
      </c>
      <c r="G15" s="1053"/>
      <c r="H15" s="370"/>
      <c r="I15" s="380"/>
      <c r="J15" s="380"/>
      <c r="K15" s="384">
        <v>105000000</v>
      </c>
      <c r="L15" s="308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</row>
    <row r="16" spans="1:28" ht="5.25" customHeight="1">
      <c r="A16" s="368"/>
      <c r="B16" s="368"/>
      <c r="C16" s="368"/>
      <c r="D16" s="368"/>
      <c r="E16" s="368"/>
      <c r="F16" s="370"/>
      <c r="G16" s="370"/>
      <c r="H16" s="370"/>
      <c r="I16" s="380"/>
      <c r="J16" s="380"/>
      <c r="K16" s="381"/>
      <c r="L16" s="308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</row>
    <row r="17" spans="1:28" ht="15" customHeight="1">
      <c r="A17" s="368"/>
      <c r="B17" s="368"/>
      <c r="C17" s="368"/>
      <c r="D17" s="368"/>
      <c r="E17" s="368"/>
      <c r="F17" s="1053" t="s">
        <v>3362</v>
      </c>
      <c r="G17" s="1053"/>
      <c r="H17" s="370"/>
      <c r="I17" s="380"/>
      <c r="J17" s="380"/>
      <c r="K17" s="381">
        <f>K14*10/100</f>
        <v>1725045.5</v>
      </c>
      <c r="L17" s="308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</row>
    <row r="18" spans="1:28" ht="15.75" customHeight="1">
      <c r="F18" s="1053"/>
      <c r="G18" s="1053"/>
      <c r="K18" s="381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</row>
    <row r="19" spans="1:28" ht="15.75" customHeight="1"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</row>
    <row r="20" spans="1:28" ht="15.75" customHeight="1"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</row>
  </sheetData>
  <mergeCells count="20">
    <mergeCell ref="F18:G18"/>
    <mergeCell ref="E5:E6"/>
    <mergeCell ref="G5:G6"/>
    <mergeCell ref="F5:F6"/>
    <mergeCell ref="F15:G15"/>
    <mergeCell ref="F14:G14"/>
    <mergeCell ref="F12:G12"/>
    <mergeCell ref="F17:G17"/>
    <mergeCell ref="C5:C6"/>
    <mergeCell ref="A4:K4"/>
    <mergeCell ref="A3:K3"/>
    <mergeCell ref="K5:K6"/>
    <mergeCell ref="A1:K1"/>
    <mergeCell ref="B5:B6"/>
    <mergeCell ref="H5:H6"/>
    <mergeCell ref="D5:D6"/>
    <mergeCell ref="A5:A6"/>
    <mergeCell ref="A2:K2"/>
    <mergeCell ref="J5:J6"/>
    <mergeCell ref="I5:I6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B18"/>
  <sheetViews>
    <sheetView zoomScale="58" workbookViewId="0">
      <selection activeCell="M15" sqref="M15:N15"/>
    </sheetView>
  </sheetViews>
  <sheetFormatPr defaultColWidth="9.83203125" defaultRowHeight="15" customHeight="1"/>
  <cols>
    <col min="1" max="1" width="3.83203125" style="352" customWidth="1"/>
    <col min="2" max="2" width="16.5" style="352" customWidth="1"/>
    <col min="3" max="3" width="20.83203125" style="352" customWidth="1"/>
    <col min="4" max="4" width="32.33203125" style="352" customWidth="1"/>
    <col min="5" max="5" width="30" style="352" customWidth="1"/>
    <col min="6" max="6" width="22.33203125" style="352" customWidth="1"/>
    <col min="7" max="8" width="13.25" style="352" customWidth="1"/>
    <col min="9" max="10" width="11.75" style="353" customWidth="1"/>
    <col min="11" max="11" width="17.25" style="353" customWidth="1"/>
    <col min="12" max="12" width="1.75" style="1" customWidth="1"/>
    <col min="13" max="18" width="14.25" style="1" customWidth="1"/>
    <col min="19" max="19" width="8.75" style="1" customWidth="1"/>
    <col min="20" max="22" width="13.08203125" style="1" customWidth="1"/>
    <col min="23" max="23" width="10.25" style="1" customWidth="1"/>
    <col min="24" max="28" width="8.75" style="1" customWidth="1"/>
    <col min="29" max="16384" width="9.83203125" style="1"/>
  </cols>
  <sheetData>
    <row r="1" spans="1:28" s="411" customFormat="1" ht="27.65" customHeight="1">
      <c r="A1" s="1069" t="s">
        <v>3363</v>
      </c>
      <c r="B1" s="1069"/>
      <c r="C1" s="1069"/>
      <c r="D1" s="1069"/>
      <c r="E1" s="1069"/>
      <c r="F1" s="1069"/>
      <c r="G1" s="1069"/>
      <c r="H1" s="1069"/>
      <c r="I1" s="1069"/>
      <c r="J1" s="1069"/>
      <c r="K1" s="1069"/>
      <c r="L1" s="412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</row>
    <row r="2" spans="1:28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1058"/>
      <c r="J2" s="1058"/>
      <c r="K2" s="1058"/>
      <c r="L2" s="308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</row>
    <row r="3" spans="1:28" ht="27" customHeight="1">
      <c r="A3" s="1058" t="s">
        <v>3364</v>
      </c>
      <c r="B3" s="1058"/>
      <c r="C3" s="1058"/>
      <c r="D3" s="1058"/>
      <c r="E3" s="1058"/>
      <c r="F3" s="1058"/>
      <c r="G3" s="1058"/>
      <c r="H3" s="1058"/>
      <c r="I3" s="1058"/>
      <c r="J3" s="1058"/>
      <c r="K3" s="1058"/>
      <c r="L3" s="308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15" customHeight="1">
      <c r="A4" s="1045" t="s">
        <v>25</v>
      </c>
      <c r="B4" s="1045"/>
      <c r="C4" s="1045"/>
      <c r="D4" s="1045"/>
      <c r="E4" s="1045"/>
      <c r="F4" s="1045"/>
      <c r="G4" s="1045"/>
      <c r="H4" s="1045"/>
      <c r="I4" s="1045"/>
      <c r="J4" s="1045"/>
      <c r="K4" s="1045"/>
      <c r="L4" s="308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</row>
    <row r="5" spans="1:28" ht="17.25" customHeight="1">
      <c r="A5" s="1043" t="s">
        <v>3270</v>
      </c>
      <c r="B5" s="1043" t="s">
        <v>2738</v>
      </c>
      <c r="C5" s="1043" t="s">
        <v>3272</v>
      </c>
      <c r="D5" s="1043" t="s">
        <v>3273</v>
      </c>
      <c r="E5" s="1043" t="s">
        <v>3274</v>
      </c>
      <c r="F5" s="1059" t="s">
        <v>3275</v>
      </c>
      <c r="G5" s="1043" t="s">
        <v>13</v>
      </c>
      <c r="H5" s="1043" t="s">
        <v>3344</v>
      </c>
      <c r="I5" s="1043" t="s">
        <v>3276</v>
      </c>
      <c r="J5" s="1043" t="s">
        <v>3277</v>
      </c>
      <c r="K5" s="1047" t="s">
        <v>21</v>
      </c>
      <c r="L5" s="308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</row>
    <row r="6" spans="1:28" ht="15" customHeight="1">
      <c r="A6" s="1065"/>
      <c r="B6" s="1065"/>
      <c r="C6" s="1065"/>
      <c r="D6" s="1065"/>
      <c r="E6" s="1065"/>
      <c r="F6" s="1067"/>
      <c r="G6" s="1065"/>
      <c r="H6" s="1065"/>
      <c r="I6" s="1065"/>
      <c r="J6" s="1065"/>
      <c r="K6" s="1066"/>
      <c r="L6" s="308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21.75" customHeight="1">
      <c r="A7" s="361">
        <v>1</v>
      </c>
      <c r="B7" s="96" t="s">
        <v>3365</v>
      </c>
      <c r="C7" s="130" t="s">
        <v>3366</v>
      </c>
      <c r="D7" s="130" t="s">
        <v>3367</v>
      </c>
      <c r="E7" s="96" t="s">
        <v>2784</v>
      </c>
      <c r="F7" s="96" t="s">
        <v>3368</v>
      </c>
      <c r="G7" s="94" t="s">
        <v>3369</v>
      </c>
      <c r="H7" s="94"/>
      <c r="I7" s="363">
        <v>15826747</v>
      </c>
      <c r="J7" s="363">
        <v>22259472</v>
      </c>
      <c r="K7" s="363">
        <f t="shared" ref="K7:K9" si="0">J7-I7</f>
        <v>6432725</v>
      </c>
      <c r="L7" s="308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 spans="1:28" ht="21.75" customHeight="1">
      <c r="A8" s="361">
        <v>2</v>
      </c>
      <c r="B8" s="96" t="s">
        <v>2807</v>
      </c>
      <c r="C8" s="96" t="s">
        <v>3370</v>
      </c>
      <c r="D8" s="96" t="s">
        <v>3371</v>
      </c>
      <c r="E8" s="96" t="s">
        <v>2804</v>
      </c>
      <c r="F8" s="96" t="s">
        <v>3372</v>
      </c>
      <c r="G8" s="94" t="s">
        <v>2494</v>
      </c>
      <c r="H8" s="94"/>
      <c r="I8" s="363">
        <v>3354238</v>
      </c>
      <c r="J8" s="363">
        <v>3700000</v>
      </c>
      <c r="K8" s="363">
        <f t="shared" si="0"/>
        <v>345762</v>
      </c>
      <c r="L8" s="308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</row>
    <row r="9" spans="1:28" ht="21.75" customHeight="1">
      <c r="A9" s="361">
        <v>3</v>
      </c>
      <c r="B9" s="96" t="s">
        <v>3373</v>
      </c>
      <c r="C9" s="130" t="s">
        <v>3374</v>
      </c>
      <c r="D9" s="130" t="s">
        <v>3375</v>
      </c>
      <c r="E9" s="96" t="s">
        <v>2796</v>
      </c>
      <c r="F9" s="96" t="s">
        <v>3376</v>
      </c>
      <c r="G9" s="94" t="s">
        <v>3377</v>
      </c>
      <c r="H9" s="94" t="s">
        <v>3378</v>
      </c>
      <c r="I9" s="363">
        <v>2337100</v>
      </c>
      <c r="J9" s="363">
        <v>2627100</v>
      </c>
      <c r="K9" s="363">
        <f t="shared" si="0"/>
        <v>290000</v>
      </c>
      <c r="L9" s="308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</row>
    <row r="10" spans="1:28" ht="21.75" customHeight="1">
      <c r="A10" s="368"/>
      <c r="B10" s="369"/>
      <c r="C10" s="369"/>
      <c r="D10" s="368" t="s">
        <v>3290</v>
      </c>
      <c r="E10" s="368"/>
      <c r="F10" s="1053" t="s">
        <v>3291</v>
      </c>
      <c r="G10" s="1053"/>
      <c r="H10" s="370"/>
      <c r="I10" s="372"/>
      <c r="J10" s="372"/>
      <c r="K10" s="373">
        <f>SUM(K7:K9)</f>
        <v>7068487</v>
      </c>
      <c r="L10" s="320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8" ht="7.5" customHeight="1">
      <c r="A11" s="368"/>
      <c r="B11" s="368"/>
      <c r="C11" s="368"/>
      <c r="D11" s="368"/>
      <c r="E11" s="368"/>
      <c r="F11" s="370"/>
      <c r="G11" s="370"/>
      <c r="H11" s="370"/>
      <c r="I11" s="380"/>
      <c r="J11" s="380"/>
      <c r="K11" s="381"/>
      <c r="L11" s="308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</row>
    <row r="12" spans="1:28" ht="15" customHeight="1">
      <c r="A12" s="368"/>
      <c r="B12" s="368"/>
      <c r="C12" s="368"/>
      <c r="D12" s="368"/>
      <c r="E12" s="368"/>
      <c r="F12" s="1057" t="s">
        <v>3323</v>
      </c>
      <c r="G12" s="1057"/>
      <c r="H12" s="382"/>
      <c r="I12" s="372"/>
      <c r="J12" s="372"/>
      <c r="K12" s="383">
        <f>K10</f>
        <v>7068487</v>
      </c>
      <c r="L12" s="308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</row>
    <row r="13" spans="1:28" ht="15" customHeight="1">
      <c r="A13" s="368"/>
      <c r="B13" s="368"/>
      <c r="C13" s="368"/>
      <c r="D13" s="368"/>
      <c r="E13" s="368"/>
      <c r="F13" s="1053" t="s">
        <v>3297</v>
      </c>
      <c r="G13" s="1053"/>
      <c r="H13" s="370"/>
      <c r="I13" s="380"/>
      <c r="J13" s="380"/>
      <c r="K13" s="384">
        <v>70000000</v>
      </c>
      <c r="L13" s="308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</row>
    <row r="14" spans="1:28" ht="5.25" customHeight="1">
      <c r="A14" s="368"/>
      <c r="B14" s="368"/>
      <c r="C14" s="368"/>
      <c r="D14" s="368"/>
      <c r="E14" s="368"/>
      <c r="F14" s="370"/>
      <c r="G14" s="370"/>
      <c r="H14" s="370"/>
      <c r="I14" s="380"/>
      <c r="J14" s="380"/>
      <c r="K14" s="381"/>
      <c r="L14" s="308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</row>
    <row r="15" spans="1:28" ht="15" customHeight="1">
      <c r="A15" s="368"/>
      <c r="B15" s="368"/>
      <c r="C15" s="368"/>
      <c r="D15" s="368"/>
      <c r="E15" s="368"/>
      <c r="F15" s="1053" t="s">
        <v>3362</v>
      </c>
      <c r="G15" s="1053"/>
      <c r="H15" s="370"/>
      <c r="I15" s="380"/>
      <c r="J15" s="380"/>
      <c r="K15" s="381">
        <f>K12*10/100</f>
        <v>706848.7</v>
      </c>
      <c r="L15" s="308"/>
      <c r="M15" s="1068" t="s">
        <v>3379</v>
      </c>
      <c r="N15" s="1068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</row>
    <row r="16" spans="1:28" ht="15.75" customHeight="1">
      <c r="F16" s="1053"/>
      <c r="G16" s="1053"/>
      <c r="K16" s="381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</row>
    <row r="17" spans="12:28" ht="15.75" customHeight="1"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</row>
    <row r="18" spans="12:28" ht="15.75" customHeight="1"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</row>
  </sheetData>
  <mergeCells count="21">
    <mergeCell ref="A1:K1"/>
    <mergeCell ref="B5:B6"/>
    <mergeCell ref="F10:G10"/>
    <mergeCell ref="F12:G12"/>
    <mergeCell ref="F13:G13"/>
    <mergeCell ref="A2:K2"/>
    <mergeCell ref="A3:K3"/>
    <mergeCell ref="A4:K4"/>
    <mergeCell ref="F15:G15"/>
    <mergeCell ref="M15:N15"/>
    <mergeCell ref="F16:G16"/>
    <mergeCell ref="A5:A6"/>
    <mergeCell ref="K5:K6"/>
    <mergeCell ref="J5:J6"/>
    <mergeCell ref="G5:G6"/>
    <mergeCell ref="F5:F6"/>
    <mergeCell ref="H5:H6"/>
    <mergeCell ref="I5:I6"/>
    <mergeCell ref="C5:C6"/>
    <mergeCell ref="D5:D6"/>
    <mergeCell ref="E5:E6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A30"/>
  <sheetViews>
    <sheetView zoomScale="58" workbookViewId="0">
      <selection activeCell="F37" sqref="F37"/>
    </sheetView>
  </sheetViews>
  <sheetFormatPr defaultColWidth="9" defaultRowHeight="15" customHeight="1"/>
  <cols>
    <col min="1" max="1" width="13.08203125" style="352" customWidth="1"/>
    <col min="2" max="2" width="30.08203125" style="352" customWidth="1"/>
    <col min="3" max="3" width="20.83203125" style="352" customWidth="1"/>
    <col min="4" max="4" width="32.33203125" style="352" customWidth="1"/>
    <col min="5" max="5" width="30" style="352" customWidth="1"/>
    <col min="6" max="6" width="22.33203125" style="352" customWidth="1"/>
    <col min="7" max="7" width="13.25" style="352" customWidth="1"/>
    <col min="8" max="8" width="17.25" style="353" customWidth="1"/>
    <col min="9" max="9" width="1.75" style="1" customWidth="1"/>
    <col min="10" max="15" width="14.25" style="1" customWidth="1"/>
    <col min="16" max="16" width="8.75" style="1" customWidth="1"/>
    <col min="17" max="19" width="13.08203125" style="1" customWidth="1"/>
    <col min="20" max="20" width="10.25" style="1" customWidth="1"/>
    <col min="21" max="25" width="8.75" style="1" customWidth="1"/>
    <col min="26" max="16381" width="9.83203125" style="1"/>
  </cols>
  <sheetData>
    <row r="1" spans="1:25" s="411" customFormat="1" ht="27.65" customHeight="1">
      <c r="A1" s="1069" t="s">
        <v>3380</v>
      </c>
      <c r="B1" s="1069"/>
      <c r="C1" s="1069"/>
      <c r="D1" s="1069"/>
      <c r="E1" s="1069"/>
      <c r="F1" s="1069"/>
      <c r="G1" s="1069"/>
      <c r="H1" s="1069"/>
      <c r="I1" s="412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</row>
    <row r="2" spans="1:25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308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</row>
    <row r="3" spans="1:25" ht="27" customHeight="1">
      <c r="A3" s="1058" t="s">
        <v>3381</v>
      </c>
      <c r="B3" s="1058"/>
      <c r="C3" s="1058"/>
      <c r="D3" s="1058"/>
      <c r="E3" s="1058"/>
      <c r="F3" s="1058"/>
      <c r="G3" s="1058"/>
      <c r="H3" s="1058"/>
      <c r="I3" s="308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</row>
    <row r="4" spans="1:25" ht="17.25" customHeight="1">
      <c r="A4" s="1043" t="s">
        <v>3270</v>
      </c>
      <c r="B4" s="1043" t="s">
        <v>2738</v>
      </c>
      <c r="C4" s="1043" t="s">
        <v>3272</v>
      </c>
      <c r="D4" s="1043" t="s">
        <v>3273</v>
      </c>
      <c r="E4" s="1043" t="s">
        <v>3274</v>
      </c>
      <c r="F4" s="1059" t="s">
        <v>3275</v>
      </c>
      <c r="G4" s="1043" t="s">
        <v>3344</v>
      </c>
      <c r="H4" s="1047" t="s">
        <v>21</v>
      </c>
      <c r="I4" s="308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</row>
    <row r="5" spans="1:25" ht="15" customHeight="1">
      <c r="A5" s="1065"/>
      <c r="B5" s="1065"/>
      <c r="C5" s="1065"/>
      <c r="D5" s="1065"/>
      <c r="E5" s="1065"/>
      <c r="F5" s="1067"/>
      <c r="G5" s="1065"/>
      <c r="H5" s="1066"/>
      <c r="I5" s="308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</row>
    <row r="6" spans="1:25" ht="15" customHeight="1">
      <c r="A6" s="1070" t="s">
        <v>25</v>
      </c>
      <c r="B6" s="1071"/>
      <c r="C6" s="1071"/>
      <c r="D6" s="1071"/>
      <c r="E6" s="1071"/>
      <c r="F6" s="1071"/>
      <c r="G6" s="1071"/>
      <c r="H6" s="1071"/>
      <c r="I6" s="308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</row>
    <row r="7" spans="1:25" ht="21.75" customHeight="1">
      <c r="A7" s="212">
        <v>1</v>
      </c>
      <c r="B7" s="212" t="s">
        <v>2820</v>
      </c>
      <c r="C7" s="213" t="s">
        <v>1618</v>
      </c>
      <c r="D7" s="213" t="s">
        <v>2816</v>
      </c>
      <c r="E7" s="212" t="s">
        <v>2817</v>
      </c>
      <c r="F7" s="204" t="s">
        <v>2822</v>
      </c>
      <c r="G7" s="131"/>
      <c r="H7" s="204">
        <v>4420000</v>
      </c>
      <c r="I7" s="308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</row>
    <row r="8" spans="1:25" ht="21.75" customHeight="1">
      <c r="A8" s="204">
        <v>2</v>
      </c>
      <c r="B8" s="204" t="s">
        <v>2837</v>
      </c>
      <c r="C8" s="205" t="s">
        <v>1618</v>
      </c>
      <c r="D8" s="205" t="s">
        <v>2816</v>
      </c>
      <c r="E8" s="204" t="s">
        <v>2835</v>
      </c>
      <c r="F8" s="204" t="s">
        <v>2839</v>
      </c>
      <c r="G8" s="94"/>
      <c r="H8" s="204">
        <v>973000</v>
      </c>
      <c r="I8" s="308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</row>
    <row r="9" spans="1:25" ht="21.75" customHeight="1">
      <c r="A9" s="204">
        <v>3</v>
      </c>
      <c r="B9" s="204" t="s">
        <v>2844</v>
      </c>
      <c r="C9" s="205" t="s">
        <v>1618</v>
      </c>
      <c r="D9" s="205" t="s">
        <v>2816</v>
      </c>
      <c r="E9" s="204" t="s">
        <v>2842</v>
      </c>
      <c r="F9" s="204" t="s">
        <v>2822</v>
      </c>
      <c r="G9" s="94"/>
      <c r="H9" s="204">
        <v>4930000</v>
      </c>
      <c r="I9" s="308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</row>
    <row r="10" spans="1:25" ht="21.75" customHeight="1">
      <c r="A10" s="204">
        <v>4</v>
      </c>
      <c r="B10" s="212" t="s">
        <v>2860</v>
      </c>
      <c r="C10" s="205" t="s">
        <v>1618</v>
      </c>
      <c r="D10" s="205" t="s">
        <v>2856</v>
      </c>
      <c r="E10" s="204" t="s">
        <v>2857</v>
      </c>
      <c r="F10" s="204" t="s">
        <v>2862</v>
      </c>
      <c r="G10" s="94"/>
      <c r="H10" s="204">
        <v>8830000</v>
      </c>
      <c r="I10" s="308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5" ht="21.75" customHeight="1">
      <c r="A11" s="204">
        <v>5</v>
      </c>
      <c r="B11" s="204" t="s">
        <v>2870</v>
      </c>
      <c r="C11" s="205" t="s">
        <v>1588</v>
      </c>
      <c r="D11" s="205" t="s">
        <v>1977</v>
      </c>
      <c r="E11" s="204" t="s">
        <v>2868</v>
      </c>
      <c r="F11" s="204" t="s">
        <v>2839</v>
      </c>
      <c r="G11" s="94"/>
      <c r="H11" s="204">
        <v>1425000</v>
      </c>
      <c r="I11" s="308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5" ht="21.75" customHeight="1">
      <c r="A12" s="204">
        <v>6</v>
      </c>
      <c r="B12" s="204" t="s">
        <v>2876</v>
      </c>
      <c r="C12" s="205" t="s">
        <v>1618</v>
      </c>
      <c r="D12" s="205" t="s">
        <v>2816</v>
      </c>
      <c r="E12" s="204" t="s">
        <v>2874</v>
      </c>
      <c r="F12" s="204" t="s">
        <v>2822</v>
      </c>
      <c r="G12" s="94"/>
      <c r="H12" s="204">
        <v>4198000</v>
      </c>
      <c r="I12" s="308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5" ht="21.75" customHeight="1">
      <c r="A13" s="204">
        <v>7</v>
      </c>
      <c r="B13" s="204" t="s">
        <v>2889</v>
      </c>
      <c r="C13" s="414" t="s">
        <v>1618</v>
      </c>
      <c r="D13" s="205" t="s">
        <v>2816</v>
      </c>
      <c r="E13" s="204" t="s">
        <v>2886</v>
      </c>
      <c r="F13" s="204" t="s">
        <v>2891</v>
      </c>
      <c r="G13" s="94"/>
      <c r="H13" s="204">
        <v>4869450</v>
      </c>
      <c r="I13" s="308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5" ht="21.75" customHeight="1">
      <c r="A14" s="204">
        <v>8</v>
      </c>
      <c r="B14" s="204" t="s">
        <v>2899</v>
      </c>
      <c r="C14" s="205" t="s">
        <v>1618</v>
      </c>
      <c r="D14" s="205" t="s">
        <v>2816</v>
      </c>
      <c r="E14" s="204" t="s">
        <v>2897</v>
      </c>
      <c r="F14" s="204" t="s">
        <v>2822</v>
      </c>
      <c r="G14" s="94"/>
      <c r="H14" s="204">
        <v>18275000</v>
      </c>
      <c r="I14" s="308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5" ht="21.75" customHeight="1">
      <c r="A15" s="204">
        <v>9</v>
      </c>
      <c r="B15" s="204" t="s">
        <v>2914</v>
      </c>
      <c r="C15" s="205" t="s">
        <v>1618</v>
      </c>
      <c r="D15" s="205" t="s">
        <v>2816</v>
      </c>
      <c r="E15" s="204" t="s">
        <v>2912</v>
      </c>
      <c r="F15" s="204" t="s">
        <v>2822</v>
      </c>
      <c r="G15" s="94"/>
      <c r="H15" s="204">
        <v>8015000</v>
      </c>
      <c r="I15" s="308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5" ht="21.75" customHeight="1">
      <c r="A16" s="415" t="s">
        <v>128</v>
      </c>
      <c r="B16" s="415"/>
      <c r="C16" s="415"/>
      <c r="D16" s="415"/>
      <c r="E16" s="415"/>
      <c r="F16" s="415"/>
      <c r="G16" s="416"/>
      <c r="H16" s="415"/>
      <c r="I16" s="308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5" ht="21.75" customHeight="1">
      <c r="A17" s="204">
        <v>10</v>
      </c>
      <c r="B17" s="204" t="s">
        <v>2924</v>
      </c>
      <c r="C17" s="204" t="s">
        <v>1270</v>
      </c>
      <c r="D17" s="204" t="s">
        <v>2920</v>
      </c>
      <c r="E17" s="204" t="s">
        <v>2921</v>
      </c>
      <c r="F17" s="204" t="s">
        <v>2925</v>
      </c>
      <c r="G17" s="94"/>
      <c r="H17" s="204">
        <v>4620000</v>
      </c>
      <c r="I17" s="308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5" ht="21.75" customHeight="1">
      <c r="A18" s="204">
        <v>11</v>
      </c>
      <c r="B18" s="218" t="s">
        <v>2936</v>
      </c>
      <c r="C18" s="218" t="s">
        <v>2805</v>
      </c>
      <c r="D18" s="218" t="s">
        <v>2803</v>
      </c>
      <c r="E18" s="218" t="s">
        <v>2934</v>
      </c>
      <c r="F18" s="204" t="s">
        <v>2938</v>
      </c>
      <c r="G18" s="94"/>
      <c r="H18" s="204">
        <v>281552</v>
      </c>
      <c r="I18" s="308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5" ht="21.75" customHeight="1">
      <c r="A19" s="204">
        <v>12</v>
      </c>
      <c r="B19" s="204" t="s">
        <v>2949</v>
      </c>
      <c r="C19" s="204" t="s">
        <v>2946</v>
      </c>
      <c r="D19" s="204" t="s">
        <v>2944</v>
      </c>
      <c r="E19" s="204" t="s">
        <v>2945</v>
      </c>
      <c r="F19" s="204" t="s">
        <v>2951</v>
      </c>
      <c r="G19" s="94"/>
      <c r="H19" s="204">
        <v>17162500</v>
      </c>
      <c r="I19" s="308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5" ht="21.75" customHeight="1">
      <c r="A20" s="415" t="s">
        <v>1919</v>
      </c>
      <c r="B20" s="415"/>
      <c r="C20" s="415"/>
      <c r="D20" s="415"/>
      <c r="E20" s="415"/>
      <c r="F20" s="415"/>
      <c r="G20" s="416"/>
      <c r="H20" s="415"/>
      <c r="I20" s="308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5" ht="21.75" customHeight="1">
      <c r="A21" s="352">
        <v>13</v>
      </c>
      <c r="B21" s="220" t="s">
        <v>2961</v>
      </c>
      <c r="C21" s="220" t="s">
        <v>1270</v>
      </c>
      <c r="D21" s="219" t="s">
        <v>2957</v>
      </c>
      <c r="E21" s="219" t="s">
        <v>2958</v>
      </c>
      <c r="F21" s="220" t="s">
        <v>2124</v>
      </c>
      <c r="G21" s="94"/>
      <c r="H21" s="220">
        <v>250000</v>
      </c>
      <c r="I21" s="308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</row>
    <row r="22" spans="1:25" ht="21.75" customHeight="1">
      <c r="A22" s="368"/>
      <c r="B22" s="369"/>
      <c r="C22" s="369"/>
      <c r="D22" s="368" t="s">
        <v>3290</v>
      </c>
      <c r="E22" s="368"/>
      <c r="F22" s="370" t="s">
        <v>3291</v>
      </c>
      <c r="G22" s="370"/>
      <c r="H22" s="373">
        <f>SUM(H7:H21)</f>
        <v>78249502</v>
      </c>
      <c r="I22" s="320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</row>
    <row r="23" spans="1:25" ht="7.5" customHeight="1">
      <c r="A23" s="368"/>
      <c r="B23" s="368"/>
      <c r="C23" s="368"/>
      <c r="D23" s="368"/>
      <c r="E23" s="368"/>
      <c r="F23" s="370"/>
      <c r="G23" s="370"/>
      <c r="H23" s="381"/>
      <c r="I23" s="308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</row>
    <row r="24" spans="1:25" ht="15" customHeight="1">
      <c r="A24" s="368"/>
      <c r="B24" s="368"/>
      <c r="C24" s="368"/>
      <c r="D24" s="368"/>
      <c r="E24" s="368"/>
      <c r="F24" s="382" t="s">
        <v>3323</v>
      </c>
      <c r="G24" s="382"/>
      <c r="H24" s="383">
        <f>H22</f>
        <v>78249502</v>
      </c>
      <c r="I24" s="308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</row>
    <row r="25" spans="1:25" ht="15" customHeight="1">
      <c r="A25" s="368"/>
      <c r="B25" s="368"/>
      <c r="C25" s="368"/>
      <c r="D25" s="368"/>
      <c r="E25" s="368"/>
      <c r="F25" s="370" t="s">
        <v>3297</v>
      </c>
      <c r="G25" s="370"/>
      <c r="H25" s="384">
        <v>100000000</v>
      </c>
      <c r="I25" s="308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</row>
    <row r="26" spans="1:25" ht="5.25" customHeight="1">
      <c r="A26" s="368"/>
      <c r="B26" s="368"/>
      <c r="C26" s="368"/>
      <c r="D26" s="368"/>
      <c r="E26" s="368"/>
      <c r="F26" s="370"/>
      <c r="G26" s="370"/>
      <c r="H26" s="381"/>
      <c r="I26" s="308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</row>
    <row r="27" spans="1:25" ht="15" customHeight="1">
      <c r="A27" s="368"/>
      <c r="B27" s="368"/>
      <c r="C27" s="368"/>
      <c r="D27" s="368"/>
      <c r="E27" s="368"/>
      <c r="F27" s="370" t="s">
        <v>3362</v>
      </c>
      <c r="G27" s="370"/>
      <c r="H27" s="381">
        <f>H24*10/100</f>
        <v>7824950.2000000002</v>
      </c>
      <c r="I27" s="308"/>
      <c r="J27" s="256" t="s">
        <v>3382</v>
      </c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</row>
    <row r="28" spans="1:25" ht="15.75" customHeight="1">
      <c r="F28" s="370"/>
      <c r="H28" s="381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</row>
    <row r="29" spans="1:25" ht="15.75" customHeight="1"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</row>
    <row r="30" spans="1:25" ht="15.75" customHeight="1"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</row>
  </sheetData>
  <mergeCells count="12">
    <mergeCell ref="A1:H1"/>
    <mergeCell ref="A2:H2"/>
    <mergeCell ref="A3:H3"/>
    <mergeCell ref="A6:H6"/>
    <mergeCell ref="A4:A5"/>
    <mergeCell ref="B4:B5"/>
    <mergeCell ref="C4:C5"/>
    <mergeCell ref="D4:D5"/>
    <mergeCell ref="E4:E5"/>
    <mergeCell ref="F4:F5"/>
    <mergeCell ref="G4:G5"/>
    <mergeCell ref="H4:H5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XFA30"/>
  <sheetViews>
    <sheetView zoomScale="58" workbookViewId="0">
      <selection activeCell="F37" sqref="F37"/>
    </sheetView>
  </sheetViews>
  <sheetFormatPr defaultColWidth="9" defaultRowHeight="15" customHeight="1"/>
  <cols>
    <col min="1" max="1" width="13.08203125" style="352" customWidth="1"/>
    <col min="2" max="2" width="30.08203125" style="352" customWidth="1"/>
    <col min="3" max="3" width="20.83203125" style="352" customWidth="1"/>
    <col min="4" max="4" width="32.33203125" style="352" customWidth="1"/>
    <col min="5" max="5" width="30" style="352" customWidth="1"/>
    <col min="6" max="6" width="22.33203125" style="352" customWidth="1"/>
    <col min="7" max="7" width="13.25" style="352" customWidth="1"/>
    <col min="8" max="8" width="17.25" style="353" customWidth="1"/>
    <col min="9" max="9" width="1.75" style="1" customWidth="1"/>
    <col min="10" max="15" width="14.25" style="1" customWidth="1"/>
    <col min="16" max="16" width="8.75" style="1" customWidth="1"/>
    <col min="17" max="19" width="13.08203125" style="1" customWidth="1"/>
    <col min="20" max="20" width="10.25" style="1" customWidth="1"/>
    <col min="21" max="25" width="8.75" style="1" customWidth="1"/>
    <col min="26" max="16381" width="9.83203125" style="1"/>
  </cols>
  <sheetData>
    <row r="1" spans="1:25" s="411" customFormat="1" ht="27.65" customHeight="1">
      <c r="A1" s="1069" t="s">
        <v>3380</v>
      </c>
      <c r="B1" s="1069"/>
      <c r="C1" s="1069"/>
      <c r="D1" s="1069"/>
      <c r="E1" s="1069"/>
      <c r="F1" s="1069"/>
      <c r="G1" s="1069"/>
      <c r="H1" s="1069"/>
      <c r="I1" s="412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</row>
    <row r="2" spans="1:25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308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</row>
    <row r="3" spans="1:25" ht="27" customHeight="1">
      <c r="A3" s="1058" t="s">
        <v>3381</v>
      </c>
      <c r="B3" s="1058"/>
      <c r="C3" s="1058"/>
      <c r="D3" s="1058"/>
      <c r="E3" s="1058"/>
      <c r="F3" s="1058"/>
      <c r="G3" s="1058"/>
      <c r="H3" s="1058"/>
      <c r="I3" s="308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</row>
    <row r="4" spans="1:25" ht="17.25" customHeight="1">
      <c r="A4" s="1043" t="s">
        <v>3270</v>
      </c>
      <c r="B4" s="1043" t="s">
        <v>2738</v>
      </c>
      <c r="C4" s="1043" t="s">
        <v>3272</v>
      </c>
      <c r="D4" s="1043" t="s">
        <v>3273</v>
      </c>
      <c r="E4" s="1043" t="s">
        <v>3274</v>
      </c>
      <c r="F4" s="1059" t="s">
        <v>3275</v>
      </c>
      <c r="G4" s="1043" t="s">
        <v>3344</v>
      </c>
      <c r="H4" s="1047" t="s">
        <v>21</v>
      </c>
      <c r="I4" s="308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</row>
    <row r="5" spans="1:25" ht="15" customHeight="1">
      <c r="A5" s="1065"/>
      <c r="B5" s="1065"/>
      <c r="C5" s="1065"/>
      <c r="D5" s="1065"/>
      <c r="E5" s="1065"/>
      <c r="F5" s="1067"/>
      <c r="G5" s="1065"/>
      <c r="H5" s="1066"/>
      <c r="I5" s="308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</row>
    <row r="6" spans="1:25" ht="15" customHeight="1">
      <c r="A6" s="1070" t="s">
        <v>25</v>
      </c>
      <c r="B6" s="1071"/>
      <c r="C6" s="1071"/>
      <c r="D6" s="1071"/>
      <c r="E6" s="1071"/>
      <c r="F6" s="1071"/>
      <c r="G6" s="1071"/>
      <c r="H6" s="1071"/>
      <c r="I6" s="308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</row>
    <row r="7" spans="1:25" ht="21.75" customHeight="1">
      <c r="A7" s="212">
        <v>1</v>
      </c>
      <c r="B7" s="212" t="s">
        <v>2820</v>
      </c>
      <c r="C7" s="213" t="s">
        <v>1618</v>
      </c>
      <c r="D7" s="213" t="s">
        <v>2816</v>
      </c>
      <c r="E7" s="212" t="s">
        <v>2817</v>
      </c>
      <c r="F7" s="204" t="s">
        <v>2822</v>
      </c>
      <c r="G7" s="131"/>
      <c r="H7" s="204">
        <v>4420000</v>
      </c>
      <c r="I7" s="308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</row>
    <row r="8" spans="1:25" ht="21.75" customHeight="1">
      <c r="A8" s="204">
        <v>2</v>
      </c>
      <c r="B8" s="204" t="s">
        <v>2837</v>
      </c>
      <c r="C8" s="205" t="s">
        <v>1618</v>
      </c>
      <c r="D8" s="205" t="s">
        <v>2816</v>
      </c>
      <c r="E8" s="204" t="s">
        <v>2835</v>
      </c>
      <c r="F8" s="204" t="s">
        <v>2839</v>
      </c>
      <c r="G8" s="94"/>
      <c r="H8" s="204">
        <v>973000</v>
      </c>
      <c r="I8" s="308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</row>
    <row r="9" spans="1:25" ht="21.75" customHeight="1">
      <c r="A9" s="204">
        <v>3</v>
      </c>
      <c r="B9" s="204" t="s">
        <v>2844</v>
      </c>
      <c r="C9" s="205" t="s">
        <v>1618</v>
      </c>
      <c r="D9" s="205" t="s">
        <v>2816</v>
      </c>
      <c r="E9" s="204" t="s">
        <v>2842</v>
      </c>
      <c r="F9" s="204" t="s">
        <v>2822</v>
      </c>
      <c r="G9" s="94"/>
      <c r="H9" s="204">
        <v>4930000</v>
      </c>
      <c r="I9" s="308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</row>
    <row r="10" spans="1:25" ht="21.75" customHeight="1">
      <c r="A10" s="204">
        <v>4</v>
      </c>
      <c r="B10" s="212" t="s">
        <v>2860</v>
      </c>
      <c r="C10" s="205" t="s">
        <v>1618</v>
      </c>
      <c r="D10" s="205" t="s">
        <v>2856</v>
      </c>
      <c r="E10" s="204" t="s">
        <v>2857</v>
      </c>
      <c r="F10" s="204" t="s">
        <v>2862</v>
      </c>
      <c r="G10" s="94"/>
      <c r="H10" s="204">
        <v>8830000</v>
      </c>
      <c r="I10" s="308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5" ht="21.75" customHeight="1">
      <c r="A11" s="204">
        <v>5</v>
      </c>
      <c r="B11" s="204" t="s">
        <v>2870</v>
      </c>
      <c r="C11" s="205" t="s">
        <v>1588</v>
      </c>
      <c r="D11" s="205" t="s">
        <v>1977</v>
      </c>
      <c r="E11" s="204" t="s">
        <v>2868</v>
      </c>
      <c r="F11" s="204" t="s">
        <v>2839</v>
      </c>
      <c r="G11" s="94"/>
      <c r="H11" s="204">
        <v>1425000</v>
      </c>
      <c r="I11" s="308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5" ht="21.75" customHeight="1">
      <c r="A12" s="204">
        <v>6</v>
      </c>
      <c r="B12" s="204" t="s">
        <v>2876</v>
      </c>
      <c r="C12" s="205" t="s">
        <v>1618</v>
      </c>
      <c r="D12" s="205" t="s">
        <v>2816</v>
      </c>
      <c r="E12" s="204" t="s">
        <v>2874</v>
      </c>
      <c r="F12" s="204" t="s">
        <v>2822</v>
      </c>
      <c r="G12" s="94"/>
      <c r="H12" s="204">
        <v>4198000</v>
      </c>
      <c r="I12" s="308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5" ht="21.75" customHeight="1">
      <c r="A13" s="204">
        <v>7</v>
      </c>
      <c r="B13" s="204" t="s">
        <v>2889</v>
      </c>
      <c r="C13" s="414" t="s">
        <v>1618</v>
      </c>
      <c r="D13" s="205" t="s">
        <v>2816</v>
      </c>
      <c r="E13" s="204" t="s">
        <v>2886</v>
      </c>
      <c r="F13" s="204" t="s">
        <v>2891</v>
      </c>
      <c r="G13" s="94"/>
      <c r="H13" s="204">
        <v>4869450</v>
      </c>
      <c r="I13" s="308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5" ht="21.75" customHeight="1">
      <c r="A14" s="204">
        <v>8</v>
      </c>
      <c r="B14" s="204" t="s">
        <v>2899</v>
      </c>
      <c r="C14" s="205" t="s">
        <v>1618</v>
      </c>
      <c r="D14" s="205" t="s">
        <v>2816</v>
      </c>
      <c r="E14" s="204" t="s">
        <v>2897</v>
      </c>
      <c r="F14" s="204" t="s">
        <v>2822</v>
      </c>
      <c r="G14" s="94"/>
      <c r="H14" s="204">
        <v>18275000</v>
      </c>
      <c r="I14" s="308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5" ht="21.75" customHeight="1">
      <c r="A15" s="204">
        <v>9</v>
      </c>
      <c r="B15" s="204" t="s">
        <v>2914</v>
      </c>
      <c r="C15" s="205" t="s">
        <v>1618</v>
      </c>
      <c r="D15" s="205" t="s">
        <v>2816</v>
      </c>
      <c r="E15" s="204" t="s">
        <v>2912</v>
      </c>
      <c r="F15" s="204" t="s">
        <v>2822</v>
      </c>
      <c r="G15" s="94"/>
      <c r="H15" s="204">
        <v>8015000</v>
      </c>
      <c r="I15" s="308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5" ht="21.75" customHeight="1">
      <c r="A16" s="415" t="s">
        <v>128</v>
      </c>
      <c r="B16" s="415"/>
      <c r="C16" s="415"/>
      <c r="D16" s="415"/>
      <c r="E16" s="415"/>
      <c r="F16" s="415"/>
      <c r="G16" s="416"/>
      <c r="H16" s="415"/>
      <c r="I16" s="308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5" ht="21.75" customHeight="1">
      <c r="A17" s="204">
        <v>10</v>
      </c>
      <c r="B17" s="204" t="s">
        <v>2924</v>
      </c>
      <c r="C17" s="204" t="s">
        <v>1270</v>
      </c>
      <c r="D17" s="204" t="s">
        <v>2920</v>
      </c>
      <c r="E17" s="204" t="s">
        <v>2921</v>
      </c>
      <c r="F17" s="204" t="s">
        <v>2925</v>
      </c>
      <c r="G17" s="94"/>
      <c r="H17" s="204">
        <v>4620000</v>
      </c>
      <c r="I17" s="308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5" ht="21.75" customHeight="1">
      <c r="A18" s="204">
        <v>11</v>
      </c>
      <c r="B18" s="218" t="s">
        <v>2936</v>
      </c>
      <c r="C18" s="218" t="s">
        <v>2805</v>
      </c>
      <c r="D18" s="218" t="s">
        <v>2803</v>
      </c>
      <c r="E18" s="218" t="s">
        <v>2934</v>
      </c>
      <c r="F18" s="204" t="s">
        <v>2938</v>
      </c>
      <c r="G18" s="94"/>
      <c r="H18" s="204">
        <v>281552</v>
      </c>
      <c r="I18" s="308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5" ht="21.75" customHeight="1">
      <c r="A19" s="204">
        <v>12</v>
      </c>
      <c r="B19" s="204" t="s">
        <v>2949</v>
      </c>
      <c r="C19" s="204" t="s">
        <v>2946</v>
      </c>
      <c r="D19" s="204" t="s">
        <v>2944</v>
      </c>
      <c r="E19" s="204" t="s">
        <v>2945</v>
      </c>
      <c r="F19" s="204" t="s">
        <v>2951</v>
      </c>
      <c r="G19" s="94"/>
      <c r="H19" s="204">
        <v>17162500</v>
      </c>
      <c r="I19" s="308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5" ht="21.75" customHeight="1">
      <c r="A20" s="415" t="s">
        <v>1919</v>
      </c>
      <c r="B20" s="415"/>
      <c r="C20" s="415"/>
      <c r="D20" s="415"/>
      <c r="E20" s="415"/>
      <c r="F20" s="415"/>
      <c r="G20" s="416"/>
      <c r="H20" s="415"/>
      <c r="I20" s="308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5" ht="21.75" customHeight="1">
      <c r="A21" s="352">
        <v>13</v>
      </c>
      <c r="B21" s="220" t="s">
        <v>2961</v>
      </c>
      <c r="C21" s="220" t="s">
        <v>1270</v>
      </c>
      <c r="D21" s="219" t="s">
        <v>2957</v>
      </c>
      <c r="E21" s="219" t="s">
        <v>2958</v>
      </c>
      <c r="F21" s="220" t="s">
        <v>2124</v>
      </c>
      <c r="G21" s="94"/>
      <c r="H21" s="220">
        <v>250000</v>
      </c>
      <c r="I21" s="308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</row>
    <row r="22" spans="1:25" ht="21.75" customHeight="1">
      <c r="A22" s="368"/>
      <c r="B22" s="369"/>
      <c r="C22" s="369"/>
      <c r="D22" s="368" t="s">
        <v>3290</v>
      </c>
      <c r="E22" s="368"/>
      <c r="F22" s="370" t="s">
        <v>3291</v>
      </c>
      <c r="G22" s="370"/>
      <c r="H22" s="373">
        <f>SUM(H7:H21)</f>
        <v>78249502</v>
      </c>
      <c r="I22" s="320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</row>
    <row r="23" spans="1:25" ht="7.5" customHeight="1">
      <c r="A23" s="368"/>
      <c r="B23" s="368"/>
      <c r="C23" s="368"/>
      <c r="D23" s="368"/>
      <c r="E23" s="368"/>
      <c r="F23" s="370"/>
      <c r="G23" s="370"/>
      <c r="H23" s="381"/>
      <c r="I23" s="308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</row>
    <row r="24" spans="1:25" ht="15" customHeight="1">
      <c r="A24" s="368"/>
      <c r="B24" s="368"/>
      <c r="C24" s="368"/>
      <c r="D24" s="368"/>
      <c r="E24" s="368"/>
      <c r="F24" s="382" t="s">
        <v>3323</v>
      </c>
      <c r="G24" s="382"/>
      <c r="H24" s="383">
        <f>H22</f>
        <v>78249502</v>
      </c>
      <c r="I24" s="308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</row>
    <row r="25" spans="1:25" ht="15" customHeight="1">
      <c r="A25" s="368"/>
      <c r="B25" s="368"/>
      <c r="C25" s="368"/>
      <c r="D25" s="368"/>
      <c r="E25" s="368"/>
      <c r="F25" s="370" t="s">
        <v>3297</v>
      </c>
      <c r="G25" s="370"/>
      <c r="H25" s="384">
        <v>100000000</v>
      </c>
      <c r="I25" s="308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</row>
    <row r="26" spans="1:25" ht="5.25" customHeight="1">
      <c r="A26" s="368"/>
      <c r="B26" s="368"/>
      <c r="C26" s="368"/>
      <c r="D26" s="368"/>
      <c r="E26" s="368"/>
      <c r="F26" s="370"/>
      <c r="G26" s="370"/>
      <c r="H26" s="381"/>
      <c r="I26" s="308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</row>
    <row r="27" spans="1:25" ht="15" customHeight="1">
      <c r="A27" s="368"/>
      <c r="B27" s="368"/>
      <c r="C27" s="368"/>
      <c r="D27" s="368"/>
      <c r="E27" s="368"/>
      <c r="F27" s="370" t="s">
        <v>3362</v>
      </c>
      <c r="G27" s="370"/>
      <c r="H27" s="381">
        <f>H24*10/100</f>
        <v>7824950.2000000002</v>
      </c>
      <c r="I27" s="308"/>
      <c r="J27" s="256" t="s">
        <v>3382</v>
      </c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</row>
    <row r="28" spans="1:25" ht="15.75" customHeight="1">
      <c r="F28" s="370"/>
      <c r="H28" s="381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</row>
    <row r="29" spans="1:25" ht="15.75" customHeight="1"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</row>
    <row r="30" spans="1:25" ht="15.75" customHeight="1"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</row>
  </sheetData>
  <mergeCells count="12">
    <mergeCell ref="A1:H1"/>
    <mergeCell ref="A2:H2"/>
    <mergeCell ref="A3:H3"/>
    <mergeCell ref="A6:H6"/>
    <mergeCell ref="A4:A5"/>
    <mergeCell ref="B4:B5"/>
    <mergeCell ref="C4:C5"/>
    <mergeCell ref="D4:D5"/>
    <mergeCell ref="E4:E5"/>
    <mergeCell ref="F4:F5"/>
    <mergeCell ref="G4:G5"/>
    <mergeCell ref="H4:H5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XFA30"/>
  <sheetViews>
    <sheetView zoomScale="58" workbookViewId="0">
      <selection activeCell="F37" sqref="F37"/>
    </sheetView>
  </sheetViews>
  <sheetFormatPr defaultColWidth="9" defaultRowHeight="15" customHeight="1"/>
  <cols>
    <col min="1" max="1" width="13.08203125" style="352" customWidth="1"/>
    <col min="2" max="2" width="30.08203125" style="352" customWidth="1"/>
    <col min="3" max="3" width="20.83203125" style="352" customWidth="1"/>
    <col min="4" max="4" width="32.33203125" style="352" customWidth="1"/>
    <col min="5" max="5" width="30" style="352" customWidth="1"/>
    <col min="6" max="6" width="22.33203125" style="352" customWidth="1"/>
    <col min="7" max="7" width="13.25" style="352" customWidth="1"/>
    <col min="8" max="8" width="17.25" style="353" customWidth="1"/>
    <col min="9" max="9" width="1.75" style="1" customWidth="1"/>
    <col min="10" max="15" width="14.25" style="1" customWidth="1"/>
    <col min="16" max="16" width="8.75" style="1" customWidth="1"/>
    <col min="17" max="19" width="13.08203125" style="1" customWidth="1"/>
    <col min="20" max="20" width="10.25" style="1" customWidth="1"/>
    <col min="21" max="25" width="8.75" style="1" customWidth="1"/>
    <col min="26" max="16381" width="9.83203125" style="1"/>
  </cols>
  <sheetData>
    <row r="1" spans="1:25" s="411" customFormat="1" ht="27.65" customHeight="1">
      <c r="A1" s="1069" t="s">
        <v>3380</v>
      </c>
      <c r="B1" s="1069"/>
      <c r="C1" s="1069"/>
      <c r="D1" s="1069"/>
      <c r="E1" s="1069"/>
      <c r="F1" s="1069"/>
      <c r="G1" s="1069"/>
      <c r="H1" s="1069"/>
      <c r="I1" s="412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</row>
    <row r="2" spans="1:25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308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</row>
    <row r="3" spans="1:25" ht="27" customHeight="1">
      <c r="A3" s="1058" t="s">
        <v>3381</v>
      </c>
      <c r="B3" s="1058"/>
      <c r="C3" s="1058"/>
      <c r="D3" s="1058"/>
      <c r="E3" s="1058"/>
      <c r="F3" s="1058"/>
      <c r="G3" s="1058"/>
      <c r="H3" s="1058"/>
      <c r="I3" s="308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</row>
    <row r="4" spans="1:25" ht="17.25" customHeight="1">
      <c r="A4" s="1043" t="s">
        <v>3270</v>
      </c>
      <c r="B4" s="1043" t="s">
        <v>2738</v>
      </c>
      <c r="C4" s="1043" t="s">
        <v>3272</v>
      </c>
      <c r="D4" s="1043" t="s">
        <v>3273</v>
      </c>
      <c r="E4" s="1043" t="s">
        <v>3274</v>
      </c>
      <c r="F4" s="1059" t="s">
        <v>3275</v>
      </c>
      <c r="G4" s="1043" t="s">
        <v>3344</v>
      </c>
      <c r="H4" s="1047" t="s">
        <v>21</v>
      </c>
      <c r="I4" s="308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</row>
    <row r="5" spans="1:25" ht="15" customHeight="1">
      <c r="A5" s="1065"/>
      <c r="B5" s="1065"/>
      <c r="C5" s="1065"/>
      <c r="D5" s="1065"/>
      <c r="E5" s="1065"/>
      <c r="F5" s="1067"/>
      <c r="G5" s="1065"/>
      <c r="H5" s="1066"/>
      <c r="I5" s="308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</row>
    <row r="6" spans="1:25" ht="15" customHeight="1">
      <c r="A6" s="1070" t="s">
        <v>25</v>
      </c>
      <c r="B6" s="1071"/>
      <c r="C6" s="1071"/>
      <c r="D6" s="1071"/>
      <c r="E6" s="1071"/>
      <c r="F6" s="1071"/>
      <c r="G6" s="1071"/>
      <c r="H6" s="1071"/>
      <c r="I6" s="308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</row>
    <row r="7" spans="1:25" ht="21.75" customHeight="1">
      <c r="A7" s="212">
        <v>1</v>
      </c>
      <c r="B7" s="212" t="s">
        <v>2820</v>
      </c>
      <c r="C7" s="213" t="s">
        <v>1618</v>
      </c>
      <c r="D7" s="213" t="s">
        <v>2816</v>
      </c>
      <c r="E7" s="212" t="s">
        <v>2817</v>
      </c>
      <c r="F7" s="204" t="s">
        <v>2822</v>
      </c>
      <c r="G7" s="131"/>
      <c r="H7" s="204">
        <v>4420000</v>
      </c>
      <c r="I7" s="308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</row>
    <row r="8" spans="1:25" ht="21.75" customHeight="1">
      <c r="A8" s="204">
        <v>2</v>
      </c>
      <c r="B8" s="204" t="s">
        <v>2837</v>
      </c>
      <c r="C8" s="205" t="s">
        <v>1618</v>
      </c>
      <c r="D8" s="205" t="s">
        <v>2816</v>
      </c>
      <c r="E8" s="204" t="s">
        <v>2835</v>
      </c>
      <c r="F8" s="204" t="s">
        <v>2839</v>
      </c>
      <c r="G8" s="94"/>
      <c r="H8" s="204">
        <v>973000</v>
      </c>
      <c r="I8" s="308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</row>
    <row r="9" spans="1:25" ht="21.75" customHeight="1">
      <c r="A9" s="204">
        <v>3</v>
      </c>
      <c r="B9" s="204" t="s">
        <v>2844</v>
      </c>
      <c r="C9" s="205" t="s">
        <v>1618</v>
      </c>
      <c r="D9" s="205" t="s">
        <v>2816</v>
      </c>
      <c r="E9" s="204" t="s">
        <v>2842</v>
      </c>
      <c r="F9" s="204" t="s">
        <v>2822</v>
      </c>
      <c r="G9" s="94"/>
      <c r="H9" s="204">
        <v>4930000</v>
      </c>
      <c r="I9" s="308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</row>
    <row r="10" spans="1:25" ht="21.75" customHeight="1">
      <c r="A10" s="204">
        <v>4</v>
      </c>
      <c r="B10" s="212" t="s">
        <v>2860</v>
      </c>
      <c r="C10" s="205" t="s">
        <v>1618</v>
      </c>
      <c r="D10" s="205" t="s">
        <v>2856</v>
      </c>
      <c r="E10" s="204" t="s">
        <v>2857</v>
      </c>
      <c r="F10" s="204" t="s">
        <v>2862</v>
      </c>
      <c r="G10" s="94"/>
      <c r="H10" s="204">
        <v>8830000</v>
      </c>
      <c r="I10" s="308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5" ht="21.75" customHeight="1">
      <c r="A11" s="204">
        <v>5</v>
      </c>
      <c r="B11" s="204" t="s">
        <v>2870</v>
      </c>
      <c r="C11" s="205" t="s">
        <v>1588</v>
      </c>
      <c r="D11" s="205" t="s">
        <v>1977</v>
      </c>
      <c r="E11" s="204" t="s">
        <v>2868</v>
      </c>
      <c r="F11" s="204" t="s">
        <v>2839</v>
      </c>
      <c r="G11" s="94"/>
      <c r="H11" s="204">
        <v>1425000</v>
      </c>
      <c r="I11" s="308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5" ht="21.75" customHeight="1">
      <c r="A12" s="204">
        <v>6</v>
      </c>
      <c r="B12" s="204" t="s">
        <v>2876</v>
      </c>
      <c r="C12" s="205" t="s">
        <v>1618</v>
      </c>
      <c r="D12" s="205" t="s">
        <v>2816</v>
      </c>
      <c r="E12" s="204" t="s">
        <v>2874</v>
      </c>
      <c r="F12" s="204" t="s">
        <v>2822</v>
      </c>
      <c r="G12" s="94"/>
      <c r="H12" s="204">
        <v>4198000</v>
      </c>
      <c r="I12" s="308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5" ht="21.75" customHeight="1">
      <c r="A13" s="204">
        <v>7</v>
      </c>
      <c r="B13" s="204" t="s">
        <v>2889</v>
      </c>
      <c r="C13" s="414" t="s">
        <v>1618</v>
      </c>
      <c r="D13" s="205" t="s">
        <v>2816</v>
      </c>
      <c r="E13" s="204" t="s">
        <v>2886</v>
      </c>
      <c r="F13" s="204" t="s">
        <v>2891</v>
      </c>
      <c r="G13" s="94"/>
      <c r="H13" s="204">
        <v>4869450</v>
      </c>
      <c r="I13" s="308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5" ht="21.75" customHeight="1">
      <c r="A14" s="204">
        <v>8</v>
      </c>
      <c r="B14" s="204" t="s">
        <v>2899</v>
      </c>
      <c r="C14" s="205" t="s">
        <v>1618</v>
      </c>
      <c r="D14" s="205" t="s">
        <v>2816</v>
      </c>
      <c r="E14" s="204" t="s">
        <v>2897</v>
      </c>
      <c r="F14" s="204" t="s">
        <v>2822</v>
      </c>
      <c r="G14" s="94"/>
      <c r="H14" s="204">
        <v>18275000</v>
      </c>
      <c r="I14" s="308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5" ht="21.75" customHeight="1">
      <c r="A15" s="204">
        <v>9</v>
      </c>
      <c r="B15" s="204" t="s">
        <v>2914</v>
      </c>
      <c r="C15" s="205" t="s">
        <v>1618</v>
      </c>
      <c r="D15" s="205" t="s">
        <v>2816</v>
      </c>
      <c r="E15" s="204" t="s">
        <v>2912</v>
      </c>
      <c r="F15" s="204" t="s">
        <v>2822</v>
      </c>
      <c r="G15" s="94"/>
      <c r="H15" s="204">
        <v>8015000</v>
      </c>
      <c r="I15" s="308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5" ht="21.75" customHeight="1">
      <c r="A16" s="415" t="s">
        <v>128</v>
      </c>
      <c r="B16" s="415"/>
      <c r="C16" s="415"/>
      <c r="D16" s="415"/>
      <c r="E16" s="415"/>
      <c r="F16" s="415"/>
      <c r="G16" s="416"/>
      <c r="H16" s="415"/>
      <c r="I16" s="308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5" ht="21.75" customHeight="1">
      <c r="A17" s="204">
        <v>10</v>
      </c>
      <c r="B17" s="204" t="s">
        <v>2924</v>
      </c>
      <c r="C17" s="204" t="s">
        <v>1270</v>
      </c>
      <c r="D17" s="204" t="s">
        <v>2920</v>
      </c>
      <c r="E17" s="204" t="s">
        <v>2921</v>
      </c>
      <c r="F17" s="204" t="s">
        <v>2925</v>
      </c>
      <c r="G17" s="94"/>
      <c r="H17" s="204">
        <v>4620000</v>
      </c>
      <c r="I17" s="308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5" ht="21.75" customHeight="1">
      <c r="A18" s="204">
        <v>11</v>
      </c>
      <c r="B18" s="218" t="s">
        <v>2936</v>
      </c>
      <c r="C18" s="218" t="s">
        <v>2805</v>
      </c>
      <c r="D18" s="218" t="s">
        <v>2803</v>
      </c>
      <c r="E18" s="218" t="s">
        <v>2934</v>
      </c>
      <c r="F18" s="204" t="s">
        <v>2938</v>
      </c>
      <c r="G18" s="94"/>
      <c r="H18" s="204">
        <v>281552</v>
      </c>
      <c r="I18" s="308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5" ht="21.75" customHeight="1">
      <c r="A19" s="204">
        <v>12</v>
      </c>
      <c r="B19" s="204" t="s">
        <v>2949</v>
      </c>
      <c r="C19" s="204" t="s">
        <v>2946</v>
      </c>
      <c r="D19" s="204" t="s">
        <v>2944</v>
      </c>
      <c r="E19" s="204" t="s">
        <v>2945</v>
      </c>
      <c r="F19" s="204" t="s">
        <v>2951</v>
      </c>
      <c r="G19" s="94"/>
      <c r="H19" s="204">
        <v>17162500</v>
      </c>
      <c r="I19" s="308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5" ht="21.75" customHeight="1">
      <c r="A20" s="415" t="s">
        <v>1919</v>
      </c>
      <c r="B20" s="415"/>
      <c r="C20" s="415"/>
      <c r="D20" s="415"/>
      <c r="E20" s="415"/>
      <c r="F20" s="415"/>
      <c r="G20" s="416"/>
      <c r="H20" s="415"/>
      <c r="I20" s="308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5" ht="21.75" customHeight="1">
      <c r="A21" s="352">
        <v>13</v>
      </c>
      <c r="B21" s="220" t="s">
        <v>2961</v>
      </c>
      <c r="C21" s="220" t="s">
        <v>1270</v>
      </c>
      <c r="D21" s="219" t="s">
        <v>2957</v>
      </c>
      <c r="E21" s="219" t="s">
        <v>2958</v>
      </c>
      <c r="F21" s="220" t="s">
        <v>2124</v>
      </c>
      <c r="G21" s="94"/>
      <c r="H21" s="220">
        <v>250000</v>
      </c>
      <c r="I21" s="308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</row>
    <row r="22" spans="1:25" ht="21.75" customHeight="1">
      <c r="A22" s="368"/>
      <c r="B22" s="369"/>
      <c r="C22" s="369"/>
      <c r="D22" s="368" t="s">
        <v>3290</v>
      </c>
      <c r="E22" s="368"/>
      <c r="F22" s="370" t="s">
        <v>3291</v>
      </c>
      <c r="G22" s="370"/>
      <c r="H22" s="373">
        <f>SUM(H7:H21)</f>
        <v>78249502</v>
      </c>
      <c r="I22" s="320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</row>
    <row r="23" spans="1:25" ht="7.5" customHeight="1">
      <c r="A23" s="368"/>
      <c r="B23" s="368"/>
      <c r="C23" s="368"/>
      <c r="D23" s="368"/>
      <c r="E23" s="368"/>
      <c r="F23" s="370"/>
      <c r="G23" s="370"/>
      <c r="H23" s="381"/>
      <c r="I23" s="308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</row>
    <row r="24" spans="1:25" ht="15" customHeight="1">
      <c r="A24" s="368"/>
      <c r="B24" s="368"/>
      <c r="C24" s="368"/>
      <c r="D24" s="368"/>
      <c r="E24" s="368"/>
      <c r="F24" s="382" t="s">
        <v>3323</v>
      </c>
      <c r="G24" s="382"/>
      <c r="H24" s="383">
        <f>H22</f>
        <v>78249502</v>
      </c>
      <c r="I24" s="308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</row>
    <row r="25" spans="1:25" ht="15" customHeight="1">
      <c r="A25" s="368"/>
      <c r="B25" s="368"/>
      <c r="C25" s="368"/>
      <c r="D25" s="368"/>
      <c r="E25" s="368"/>
      <c r="F25" s="370" t="s">
        <v>3297</v>
      </c>
      <c r="G25" s="370"/>
      <c r="H25" s="384">
        <v>100000000</v>
      </c>
      <c r="I25" s="308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</row>
    <row r="26" spans="1:25" ht="5.25" customHeight="1">
      <c r="A26" s="368"/>
      <c r="B26" s="368"/>
      <c r="C26" s="368"/>
      <c r="D26" s="368"/>
      <c r="E26" s="368"/>
      <c r="F26" s="370"/>
      <c r="G26" s="370"/>
      <c r="H26" s="381"/>
      <c r="I26" s="308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</row>
    <row r="27" spans="1:25" ht="15" customHeight="1">
      <c r="A27" s="368"/>
      <c r="B27" s="368"/>
      <c r="C27" s="368"/>
      <c r="D27" s="368"/>
      <c r="E27" s="368"/>
      <c r="F27" s="370" t="s">
        <v>3362</v>
      </c>
      <c r="G27" s="370"/>
      <c r="H27" s="381">
        <f>H24*10/100</f>
        <v>7824950.2000000002</v>
      </c>
      <c r="I27" s="308"/>
      <c r="J27" s="256" t="s">
        <v>3382</v>
      </c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</row>
    <row r="28" spans="1:25" ht="15.75" customHeight="1">
      <c r="F28" s="370"/>
      <c r="H28" s="381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</row>
    <row r="29" spans="1:25" ht="15.75" customHeight="1"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</row>
    <row r="30" spans="1:25" ht="15.75" customHeight="1"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</row>
  </sheetData>
  <mergeCells count="12">
    <mergeCell ref="A1:H1"/>
    <mergeCell ref="A2:H2"/>
    <mergeCell ref="A3:H3"/>
    <mergeCell ref="A6:H6"/>
    <mergeCell ref="A4:A5"/>
    <mergeCell ref="B4:B5"/>
    <mergeCell ref="C4:C5"/>
    <mergeCell ref="D4:D5"/>
    <mergeCell ref="E4:E5"/>
    <mergeCell ref="F4:F5"/>
    <mergeCell ref="G4:G5"/>
    <mergeCell ref="H4:H5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XFA30"/>
  <sheetViews>
    <sheetView topLeftCell="A2" zoomScaleNormal="100" workbookViewId="0">
      <selection activeCell="H7" sqref="H7"/>
    </sheetView>
  </sheetViews>
  <sheetFormatPr defaultColWidth="9" defaultRowHeight="15" customHeight="1"/>
  <cols>
    <col min="1" max="1" width="13.08203125" style="352" customWidth="1"/>
    <col min="2" max="2" width="30.08203125" style="352" customWidth="1"/>
    <col min="3" max="3" width="20.83203125" style="352" customWidth="1"/>
    <col min="4" max="4" width="32.33203125" style="352" customWidth="1"/>
    <col min="5" max="5" width="30" style="352" customWidth="1"/>
    <col min="6" max="6" width="22.33203125" style="352" customWidth="1"/>
    <col min="7" max="7" width="13.25" style="352" customWidth="1"/>
    <col min="8" max="8" width="17.25" style="353" customWidth="1"/>
    <col min="9" max="9" width="1.75" style="1" customWidth="1"/>
    <col min="10" max="15" width="14.25" style="1" customWidth="1"/>
    <col min="16" max="16" width="8.75" style="1" customWidth="1"/>
    <col min="17" max="19" width="13.08203125" style="1" customWidth="1"/>
    <col min="20" max="20" width="10.25" style="1" customWidth="1"/>
    <col min="21" max="25" width="8.75" style="1" customWidth="1"/>
    <col min="26" max="16381" width="9.83203125" style="1"/>
  </cols>
  <sheetData>
    <row r="1" spans="1:25" s="411" customFormat="1" ht="27.65" customHeight="1">
      <c r="A1" s="1069" t="s">
        <v>3383</v>
      </c>
      <c r="B1" s="1069"/>
      <c r="C1" s="1069"/>
      <c r="D1" s="1069"/>
      <c r="E1" s="1069"/>
      <c r="F1" s="1069"/>
      <c r="G1" s="1069"/>
      <c r="H1" s="1069"/>
      <c r="I1" s="412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</row>
    <row r="2" spans="1:25" ht="29.25" customHeight="1">
      <c r="A2" s="1058" t="s">
        <v>3268</v>
      </c>
      <c r="B2" s="1058"/>
      <c r="C2" s="1058"/>
      <c r="D2" s="1058"/>
      <c r="E2" s="1058"/>
      <c r="F2" s="1058"/>
      <c r="G2" s="1058"/>
      <c r="H2" s="1058"/>
      <c r="I2" s="308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</row>
    <row r="3" spans="1:25" ht="27" customHeight="1">
      <c r="A3" s="1058" t="s">
        <v>3384</v>
      </c>
      <c r="B3" s="1058"/>
      <c r="C3" s="1058"/>
      <c r="D3" s="1058"/>
      <c r="E3" s="1058"/>
      <c r="F3" s="1058"/>
      <c r="G3" s="1058"/>
      <c r="H3" s="1058"/>
      <c r="I3" s="308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</row>
    <row r="4" spans="1:25" ht="17.25" customHeight="1">
      <c r="A4" s="1043" t="s">
        <v>3270</v>
      </c>
      <c r="B4" s="1043" t="s">
        <v>2738</v>
      </c>
      <c r="C4" s="1043" t="s">
        <v>3272</v>
      </c>
      <c r="D4" s="1043" t="s">
        <v>3273</v>
      </c>
      <c r="E4" s="1043" t="s">
        <v>3274</v>
      </c>
      <c r="F4" s="1059" t="s">
        <v>3275</v>
      </c>
      <c r="G4" s="1043" t="s">
        <v>3344</v>
      </c>
      <c r="H4" s="1047" t="s">
        <v>21</v>
      </c>
      <c r="I4" s="308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</row>
    <row r="5" spans="1:25" ht="15" customHeight="1">
      <c r="A5" s="1065"/>
      <c r="B5" s="1065"/>
      <c r="C5" s="1065"/>
      <c r="D5" s="1065"/>
      <c r="E5" s="1065"/>
      <c r="F5" s="1067"/>
      <c r="G5" s="1065"/>
      <c r="H5" s="1066"/>
      <c r="I5" s="308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</row>
    <row r="6" spans="1:25" ht="15" customHeight="1">
      <c r="A6" s="1070" t="s">
        <v>25</v>
      </c>
      <c r="B6" s="1071"/>
      <c r="C6" s="1071"/>
      <c r="D6" s="1071"/>
      <c r="E6" s="1071"/>
      <c r="F6" s="1071"/>
      <c r="G6" s="1071"/>
      <c r="H6" s="1071"/>
      <c r="I6" s="308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</row>
    <row r="7" spans="1:25" ht="21.75" customHeight="1">
      <c r="A7" s="212">
        <v>1</v>
      </c>
      <c r="B7" s="212"/>
      <c r="C7" s="213"/>
      <c r="D7" s="213"/>
      <c r="E7" s="212"/>
      <c r="F7" s="204"/>
      <c r="G7" s="131"/>
      <c r="H7" s="204"/>
      <c r="I7" s="308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</row>
    <row r="8" spans="1:25" ht="21.75" customHeight="1">
      <c r="A8" s="204">
        <v>2</v>
      </c>
      <c r="B8" s="204"/>
      <c r="C8" s="205"/>
      <c r="D8" s="205"/>
      <c r="E8" s="204"/>
      <c r="F8" s="204"/>
      <c r="G8" s="94"/>
      <c r="H8" s="204"/>
      <c r="I8" s="308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</row>
    <row r="9" spans="1:25" ht="21.75" customHeight="1">
      <c r="A9" s="204">
        <v>3</v>
      </c>
      <c r="B9" s="204"/>
      <c r="C9" s="205"/>
      <c r="D9" s="205"/>
      <c r="E9" s="204"/>
      <c r="F9" s="204"/>
      <c r="G9" s="94"/>
      <c r="H9" s="204"/>
      <c r="I9" s="308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</row>
    <row r="10" spans="1:25" ht="21.75" customHeight="1">
      <c r="A10" s="204">
        <v>4</v>
      </c>
      <c r="B10" s="212"/>
      <c r="C10" s="205"/>
      <c r="D10" s="205"/>
      <c r="E10" s="204"/>
      <c r="F10" s="204"/>
      <c r="G10" s="94"/>
      <c r="H10" s="204"/>
      <c r="I10" s="308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 spans="1:25" ht="21.75" customHeight="1">
      <c r="A11" s="204">
        <v>5</v>
      </c>
      <c r="B11" s="204"/>
      <c r="C11" s="205"/>
      <c r="D11" s="205"/>
      <c r="E11" s="204"/>
      <c r="F11" s="204"/>
      <c r="G11" s="94"/>
      <c r="H11" s="204"/>
      <c r="I11" s="308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 spans="1:25" ht="21.75" customHeight="1">
      <c r="A12" s="204">
        <v>6</v>
      </c>
      <c r="B12" s="204"/>
      <c r="C12" s="205"/>
      <c r="D12" s="205"/>
      <c r="E12" s="204"/>
      <c r="F12" s="204"/>
      <c r="G12" s="94"/>
      <c r="H12" s="204"/>
      <c r="I12" s="308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 spans="1:25" ht="21.75" customHeight="1">
      <c r="A13" s="204">
        <v>7</v>
      </c>
      <c r="B13" s="204"/>
      <c r="C13" s="414"/>
      <c r="D13" s="205"/>
      <c r="E13" s="204"/>
      <c r="F13" s="204"/>
      <c r="G13" s="94"/>
      <c r="H13" s="204"/>
      <c r="I13" s="308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 spans="1:25" ht="21.75" customHeight="1">
      <c r="A14" s="204">
        <v>8</v>
      </c>
      <c r="B14" s="204"/>
      <c r="C14" s="205"/>
      <c r="D14" s="205"/>
      <c r="E14" s="204"/>
      <c r="F14" s="204"/>
      <c r="G14" s="94"/>
      <c r="H14" s="204"/>
      <c r="I14" s="308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 spans="1:25" ht="21.75" customHeight="1">
      <c r="A15" s="204">
        <v>9</v>
      </c>
      <c r="B15" s="204"/>
      <c r="C15" s="205"/>
      <c r="D15" s="205"/>
      <c r="E15" s="204"/>
      <c r="F15" s="204"/>
      <c r="G15" s="94"/>
      <c r="H15" s="204"/>
      <c r="I15" s="308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 spans="1:25" ht="21.75" customHeight="1">
      <c r="A16" s="415" t="s">
        <v>128</v>
      </c>
      <c r="B16" s="415"/>
      <c r="C16" s="415"/>
      <c r="D16" s="415"/>
      <c r="E16" s="415"/>
      <c r="F16" s="415"/>
      <c r="G16" s="416"/>
      <c r="H16" s="415"/>
      <c r="I16" s="308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 spans="1:25" ht="21.75" customHeight="1">
      <c r="A17" s="204">
        <v>10</v>
      </c>
      <c r="B17" s="204"/>
      <c r="C17" s="204"/>
      <c r="D17" s="204"/>
      <c r="E17" s="204"/>
      <c r="F17" s="204"/>
      <c r="G17" s="94"/>
      <c r="H17" s="204"/>
      <c r="I17" s="308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 spans="1:25" ht="21.75" customHeight="1">
      <c r="A18" s="204">
        <v>11</v>
      </c>
      <c r="B18" s="218"/>
      <c r="C18" s="218"/>
      <c r="D18" s="218"/>
      <c r="E18" s="218"/>
      <c r="F18" s="204"/>
      <c r="G18" s="94"/>
      <c r="H18" s="204"/>
      <c r="I18" s="308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 spans="1:25" ht="21.75" customHeight="1">
      <c r="A19" s="204">
        <v>12</v>
      </c>
      <c r="B19" s="204"/>
      <c r="C19" s="204"/>
      <c r="D19" s="204"/>
      <c r="E19" s="204"/>
      <c r="F19" s="204"/>
      <c r="G19" s="94"/>
      <c r="H19" s="204"/>
      <c r="I19" s="308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 spans="1:25" ht="21.75" customHeight="1">
      <c r="A20" s="415" t="s">
        <v>1919</v>
      </c>
      <c r="B20" s="415"/>
      <c r="C20" s="415"/>
      <c r="D20" s="415"/>
      <c r="E20" s="415"/>
      <c r="F20" s="415"/>
      <c r="G20" s="416"/>
      <c r="H20" s="415"/>
      <c r="I20" s="308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 spans="1:25" ht="21.75" customHeight="1">
      <c r="A21" s="417"/>
      <c r="B21" s="418"/>
      <c r="C21" s="220"/>
      <c r="D21" s="219"/>
      <c r="E21" s="219"/>
      <c r="F21" s="220"/>
      <c r="G21" s="94"/>
      <c r="H21" s="220"/>
      <c r="I21" s="308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</row>
    <row r="22" spans="1:25" ht="21.75" customHeight="1">
      <c r="A22" s="368"/>
      <c r="B22" s="369"/>
      <c r="C22" s="369"/>
      <c r="D22" s="368" t="s">
        <v>3290</v>
      </c>
      <c r="E22" s="368"/>
      <c r="F22" s="370" t="s">
        <v>3291</v>
      </c>
      <c r="G22" s="370"/>
      <c r="H22" s="373">
        <f>SUM(H7:H21)</f>
        <v>0</v>
      </c>
      <c r="I22" s="320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</row>
    <row r="23" spans="1:25" ht="7.5" customHeight="1">
      <c r="A23" s="368"/>
      <c r="B23" s="368"/>
      <c r="C23" s="368"/>
      <c r="D23" s="368"/>
      <c r="E23" s="368"/>
      <c r="F23" s="370"/>
      <c r="G23" s="370"/>
      <c r="H23" s="381"/>
      <c r="I23" s="308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</row>
    <row r="24" spans="1:25" ht="15" customHeight="1">
      <c r="A24" s="368"/>
      <c r="B24" s="368"/>
      <c r="C24" s="368"/>
      <c r="D24" s="368"/>
      <c r="E24" s="368"/>
      <c r="F24" s="382" t="s">
        <v>3323</v>
      </c>
      <c r="G24" s="382"/>
      <c r="H24" s="383">
        <f>H22</f>
        <v>0</v>
      </c>
      <c r="I24" s="308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</row>
    <row r="25" spans="1:25" ht="15" customHeight="1">
      <c r="A25" s="368"/>
      <c r="B25" s="368"/>
      <c r="C25" s="368"/>
      <c r="D25" s="368"/>
      <c r="E25" s="368"/>
      <c r="F25" s="370" t="s">
        <v>3297</v>
      </c>
      <c r="G25" s="370"/>
      <c r="H25" s="384">
        <v>105000000</v>
      </c>
      <c r="I25" s="308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</row>
    <row r="26" spans="1:25" ht="5.25" customHeight="1">
      <c r="A26" s="368"/>
      <c r="B26" s="368"/>
      <c r="C26" s="368"/>
      <c r="D26" s="368"/>
      <c r="E26" s="368"/>
      <c r="F26" s="370"/>
      <c r="G26" s="370"/>
      <c r="H26" s="381">
        <v>6</v>
      </c>
      <c r="I26" s="308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</row>
    <row r="27" spans="1:25" ht="15" customHeight="1">
      <c r="A27" s="368"/>
      <c r="B27" s="368"/>
      <c r="C27" s="368"/>
      <c r="D27" s="368"/>
      <c r="E27" s="368"/>
      <c r="F27" s="370" t="s">
        <v>3362</v>
      </c>
      <c r="G27" s="370"/>
      <c r="H27" s="381">
        <f>H24*10/100</f>
        <v>0</v>
      </c>
      <c r="I27" s="308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</row>
    <row r="28" spans="1:25" ht="15.75" customHeight="1">
      <c r="F28" s="370"/>
      <c r="H28" s="381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</row>
    <row r="29" spans="1:25" ht="15.75" customHeight="1"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</row>
    <row r="30" spans="1:25" ht="15.75" customHeight="1"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</row>
  </sheetData>
  <mergeCells count="12">
    <mergeCell ref="A1:H1"/>
    <mergeCell ref="A2:H2"/>
    <mergeCell ref="A3:H3"/>
    <mergeCell ref="A6:H6"/>
    <mergeCell ref="A4:A5"/>
    <mergeCell ref="B4:B5"/>
    <mergeCell ref="C4:C5"/>
    <mergeCell ref="D4:D5"/>
    <mergeCell ref="E4:E5"/>
    <mergeCell ref="F4:F5"/>
    <mergeCell ref="G4:G5"/>
    <mergeCell ref="H4:H5"/>
  </mergeCells>
  <printOptions horizontalCentered="1" verticalCentered="1"/>
  <pageMargins left="0.69930555555555596" right="0.69930555555555596" top="0.75" bottom="0.75" header="0" footer="0"/>
  <pageSetup paperSize="9" scale="6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A6BE-A4E8-4293-991C-BC018D86F3A1}">
  <dimension ref="B4:M12"/>
  <sheetViews>
    <sheetView workbookViewId="0">
      <selection activeCell="E13" sqref="E13"/>
    </sheetView>
  </sheetViews>
  <sheetFormatPr defaultRowHeight="14"/>
  <cols>
    <col min="1" max="1" width="4" customWidth="1"/>
    <col min="2" max="2" width="4.08203125" customWidth="1"/>
    <col min="3" max="3" width="11.75" customWidth="1"/>
    <col min="4" max="4" width="9.33203125" customWidth="1"/>
    <col min="5" max="5" width="28.08203125" customWidth="1"/>
    <col min="6" max="6" width="16.08203125" customWidth="1"/>
    <col min="7" max="7" width="18.08203125" customWidth="1"/>
    <col min="9" max="9" width="14.58203125" customWidth="1"/>
    <col min="13" max="13" width="21.5" customWidth="1"/>
  </cols>
  <sheetData>
    <row r="4" spans="2:13">
      <c r="B4" t="e" cm="1">
        <f t="array" ref="B4">SHIPMENT!#REF!</f>
        <v>#REF!</v>
      </c>
    </row>
    <row r="12" spans="2:13">
      <c r="M12" s="62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F87"/>
  <sheetViews>
    <sheetView topLeftCell="A16" workbookViewId="0">
      <selection activeCell="B87" sqref="B87"/>
    </sheetView>
  </sheetViews>
  <sheetFormatPr defaultColWidth="9" defaultRowHeight="14"/>
  <cols>
    <col min="1" max="1" width="5.08203125" customWidth="1"/>
    <col min="2" max="2" width="12.25" customWidth="1"/>
    <col min="3" max="3" width="32.83203125" customWidth="1"/>
    <col min="4" max="5" width="13.33203125" style="419" customWidth="1"/>
    <col min="6" max="6" width="15.83203125" customWidth="1"/>
  </cols>
  <sheetData>
    <row r="3" spans="1:6">
      <c r="A3" s="1075" t="s">
        <v>3385</v>
      </c>
      <c r="B3" s="1075" t="s">
        <v>3386</v>
      </c>
      <c r="C3" s="1075" t="s">
        <v>3387</v>
      </c>
      <c r="D3" s="1076" t="s">
        <v>3388</v>
      </c>
      <c r="E3" s="1076"/>
      <c r="F3" s="1072" t="s">
        <v>3389</v>
      </c>
    </row>
    <row r="4" spans="1:6">
      <c r="A4" s="1075"/>
      <c r="B4" s="1075"/>
      <c r="C4" s="1075"/>
      <c r="D4" s="420" t="s">
        <v>3390</v>
      </c>
      <c r="E4" s="420" t="s">
        <v>3391</v>
      </c>
      <c r="F4" s="1073"/>
    </row>
    <row r="5" spans="1:6">
      <c r="A5" s="1074" t="s">
        <v>3392</v>
      </c>
      <c r="B5" s="1074"/>
      <c r="C5" s="1074"/>
      <c r="D5" s="1074"/>
      <c r="E5" s="1074"/>
      <c r="F5" s="421"/>
    </row>
    <row r="6" spans="1:6">
      <c r="A6" s="421">
        <v>1</v>
      </c>
      <c r="B6" s="421" t="s">
        <v>3393</v>
      </c>
      <c r="C6" s="421" t="s">
        <v>3394</v>
      </c>
      <c r="D6" s="422">
        <v>1750000</v>
      </c>
      <c r="E6" s="422">
        <v>1850000</v>
      </c>
      <c r="F6" s="421"/>
    </row>
    <row r="7" spans="1:6">
      <c r="A7" s="421">
        <v>2</v>
      </c>
      <c r="B7" s="421" t="s">
        <v>3393</v>
      </c>
      <c r="C7" s="421" t="s">
        <v>3395</v>
      </c>
      <c r="D7" s="422">
        <v>1750000</v>
      </c>
      <c r="E7" s="422">
        <v>1850000</v>
      </c>
      <c r="F7" s="421"/>
    </row>
    <row r="8" spans="1:6">
      <c r="A8" s="421">
        <v>3</v>
      </c>
      <c r="B8" s="421" t="s">
        <v>3393</v>
      </c>
      <c r="C8" s="421" t="s">
        <v>3396</v>
      </c>
      <c r="D8" s="422">
        <v>1750000</v>
      </c>
      <c r="E8" s="422">
        <v>1850000</v>
      </c>
      <c r="F8" s="421"/>
    </row>
    <row r="9" spans="1:6">
      <c r="A9" s="421">
        <v>4</v>
      </c>
      <c r="B9" s="421" t="s">
        <v>3393</v>
      </c>
      <c r="C9" s="421" t="s">
        <v>3397</v>
      </c>
      <c r="D9" s="422">
        <v>1750000</v>
      </c>
      <c r="E9" s="422">
        <v>1850000</v>
      </c>
      <c r="F9" s="421"/>
    </row>
    <row r="10" spans="1:6">
      <c r="A10" s="421">
        <v>5</v>
      </c>
      <c r="B10" s="421" t="s">
        <v>3393</v>
      </c>
      <c r="C10" s="421" t="s">
        <v>3398</v>
      </c>
      <c r="D10" s="422">
        <v>1750000</v>
      </c>
      <c r="E10" s="422">
        <v>1850000</v>
      </c>
      <c r="F10" s="421"/>
    </row>
    <row r="11" spans="1:6">
      <c r="A11" s="421">
        <v>6</v>
      </c>
      <c r="B11" s="421" t="s">
        <v>3393</v>
      </c>
      <c r="C11" s="421" t="s">
        <v>3399</v>
      </c>
      <c r="D11" s="422">
        <v>1850000</v>
      </c>
      <c r="E11" s="422">
        <v>1950000</v>
      </c>
      <c r="F11" s="421"/>
    </row>
    <row r="12" spans="1:6">
      <c r="A12" s="421">
        <v>7</v>
      </c>
      <c r="B12" s="421" t="s">
        <v>3393</v>
      </c>
      <c r="C12" s="421" t="s">
        <v>3400</v>
      </c>
      <c r="D12" s="422">
        <v>2050000</v>
      </c>
      <c r="E12" s="422">
        <v>2150000</v>
      </c>
      <c r="F12" s="421"/>
    </row>
    <row r="13" spans="1:6">
      <c r="A13" s="1074" t="s">
        <v>3401</v>
      </c>
      <c r="B13" s="1074"/>
      <c r="C13" s="1074"/>
      <c r="D13" s="1074"/>
      <c r="E13" s="1074"/>
      <c r="F13" s="421"/>
    </row>
    <row r="14" spans="1:6">
      <c r="A14" s="421">
        <v>1</v>
      </c>
      <c r="B14" s="421" t="s">
        <v>3393</v>
      </c>
      <c r="C14" s="421" t="s">
        <v>3402</v>
      </c>
      <c r="D14" s="422">
        <v>2250000</v>
      </c>
      <c r="E14" s="422">
        <v>2350000</v>
      </c>
      <c r="F14" s="421"/>
    </row>
    <row r="15" spans="1:6">
      <c r="A15" s="421">
        <v>2</v>
      </c>
      <c r="B15" s="421" t="s">
        <v>3393</v>
      </c>
      <c r="C15" s="421" t="s">
        <v>3403</v>
      </c>
      <c r="D15" s="422">
        <v>2250000</v>
      </c>
      <c r="E15" s="422">
        <v>2350000</v>
      </c>
      <c r="F15" s="421"/>
    </row>
    <row r="16" spans="1:6">
      <c r="A16" s="421">
        <v>3</v>
      </c>
      <c r="B16" s="421" t="s">
        <v>3393</v>
      </c>
      <c r="C16" s="421" t="s">
        <v>3404</v>
      </c>
      <c r="D16" s="422">
        <v>2350000</v>
      </c>
      <c r="E16" s="422">
        <v>2450000</v>
      </c>
      <c r="F16" s="421"/>
    </row>
    <row r="17" spans="1:6">
      <c r="A17" s="421">
        <v>4</v>
      </c>
      <c r="B17" s="421" t="s">
        <v>3393</v>
      </c>
      <c r="C17" s="421" t="s">
        <v>3405</v>
      </c>
      <c r="D17" s="422">
        <v>2450000</v>
      </c>
      <c r="E17" s="422">
        <v>2550000</v>
      </c>
      <c r="F17" s="421"/>
    </row>
    <row r="18" spans="1:6">
      <c r="A18" s="421">
        <v>5</v>
      </c>
      <c r="B18" s="421" t="s">
        <v>3393</v>
      </c>
      <c r="C18" s="421" t="s">
        <v>3406</v>
      </c>
      <c r="D18" s="422">
        <v>2650000</v>
      </c>
      <c r="E18" s="422">
        <v>2750000</v>
      </c>
      <c r="F18" s="421"/>
    </row>
    <row r="19" spans="1:6">
      <c r="A19" s="421">
        <v>6</v>
      </c>
      <c r="B19" s="421" t="s">
        <v>3393</v>
      </c>
      <c r="C19" s="421" t="s">
        <v>3407</v>
      </c>
      <c r="D19" s="422">
        <v>2750000</v>
      </c>
      <c r="E19" s="422">
        <v>2850000</v>
      </c>
      <c r="F19" s="421"/>
    </row>
    <row r="20" spans="1:6">
      <c r="A20" s="421">
        <v>7</v>
      </c>
      <c r="B20" s="421" t="s">
        <v>3393</v>
      </c>
      <c r="C20" s="421" t="s">
        <v>3408</v>
      </c>
      <c r="D20" s="422">
        <v>2850000</v>
      </c>
      <c r="E20" s="422">
        <v>2950000</v>
      </c>
      <c r="F20" s="421"/>
    </row>
    <row r="21" spans="1:6">
      <c r="A21" s="421">
        <v>8</v>
      </c>
      <c r="B21" s="421" t="s">
        <v>3393</v>
      </c>
      <c r="C21" s="421" t="s">
        <v>3409</v>
      </c>
      <c r="D21" s="422">
        <v>2950000</v>
      </c>
      <c r="E21" s="422">
        <v>3050000</v>
      </c>
      <c r="F21" s="421"/>
    </row>
    <row r="22" spans="1:6">
      <c r="A22" s="421">
        <v>9</v>
      </c>
      <c r="B22" s="421" t="s">
        <v>3393</v>
      </c>
      <c r="C22" s="421" t="s">
        <v>3410</v>
      </c>
      <c r="D22" s="422">
        <v>4950000</v>
      </c>
      <c r="E22" s="422">
        <v>5150000</v>
      </c>
      <c r="F22" s="421"/>
    </row>
    <row r="23" spans="1:6">
      <c r="A23" s="421">
        <v>10</v>
      </c>
      <c r="B23" s="421" t="s">
        <v>3393</v>
      </c>
      <c r="C23" s="421" t="s">
        <v>3411</v>
      </c>
      <c r="D23" s="422">
        <v>5250000</v>
      </c>
      <c r="E23" s="422">
        <v>5450000</v>
      </c>
      <c r="F23" s="421"/>
    </row>
    <row r="24" spans="1:6">
      <c r="A24" s="421">
        <v>11</v>
      </c>
      <c r="B24" s="421" t="s">
        <v>3393</v>
      </c>
      <c r="C24" s="421" t="s">
        <v>3412</v>
      </c>
      <c r="D24" s="422">
        <v>5750000</v>
      </c>
      <c r="E24" s="422">
        <v>5950000</v>
      </c>
      <c r="F24" s="421"/>
    </row>
    <row r="25" spans="1:6">
      <c r="A25" s="1074" t="s">
        <v>3413</v>
      </c>
      <c r="B25" s="1074"/>
      <c r="C25" s="1074"/>
      <c r="D25" s="1074"/>
      <c r="E25" s="1074"/>
      <c r="F25" s="421"/>
    </row>
    <row r="26" spans="1:6">
      <c r="A26" s="421">
        <v>1</v>
      </c>
      <c r="B26" s="421" t="s">
        <v>3393</v>
      </c>
      <c r="C26" s="421" t="s">
        <v>3414</v>
      </c>
      <c r="D26" s="422">
        <v>2750000</v>
      </c>
      <c r="E26" s="422">
        <v>2850000</v>
      </c>
      <c r="F26" s="421"/>
    </row>
    <row r="27" spans="1:6">
      <c r="A27" s="421">
        <v>2</v>
      </c>
      <c r="B27" s="421" t="s">
        <v>3393</v>
      </c>
      <c r="C27" s="421" t="s">
        <v>3415</v>
      </c>
      <c r="D27" s="422">
        <v>2850000</v>
      </c>
      <c r="E27" s="422">
        <v>2950000</v>
      </c>
      <c r="F27" s="421"/>
    </row>
    <row r="28" spans="1:6">
      <c r="A28" s="421">
        <v>3</v>
      </c>
      <c r="B28" s="421" t="s">
        <v>3393</v>
      </c>
      <c r="C28" s="421" t="s">
        <v>3416</v>
      </c>
      <c r="D28" s="422">
        <v>2950000</v>
      </c>
      <c r="E28" s="422">
        <v>3100000</v>
      </c>
      <c r="F28" s="421"/>
    </row>
    <row r="29" spans="1:6">
      <c r="A29" s="421">
        <v>4</v>
      </c>
      <c r="B29" s="421" t="s">
        <v>3393</v>
      </c>
      <c r="C29" s="421" t="s">
        <v>3417</v>
      </c>
      <c r="D29" s="422">
        <v>3150000</v>
      </c>
      <c r="E29" s="422">
        <v>3250000</v>
      </c>
      <c r="F29" s="421"/>
    </row>
    <row r="30" spans="1:6">
      <c r="A30" s="421">
        <v>5</v>
      </c>
      <c r="B30" s="421" t="s">
        <v>3393</v>
      </c>
      <c r="C30" s="421" t="s">
        <v>3418</v>
      </c>
      <c r="D30" s="422">
        <v>3250000</v>
      </c>
      <c r="E30" s="422">
        <v>3450000</v>
      </c>
      <c r="F30" s="421"/>
    </row>
    <row r="31" spans="1:6">
      <c r="A31" s="421">
        <v>6</v>
      </c>
      <c r="B31" s="421" t="s">
        <v>3393</v>
      </c>
      <c r="C31" s="421" t="s">
        <v>3419</v>
      </c>
      <c r="D31" s="422">
        <v>5350000</v>
      </c>
      <c r="E31" s="422">
        <v>5500000</v>
      </c>
      <c r="F31" s="421"/>
    </row>
    <row r="32" spans="1:6">
      <c r="A32" s="1074" t="s">
        <v>3420</v>
      </c>
      <c r="B32" s="1074"/>
      <c r="C32" s="1074"/>
      <c r="D32" s="1074"/>
      <c r="E32" s="1074"/>
      <c r="F32" s="421"/>
    </row>
    <row r="33" spans="1:6">
      <c r="A33" s="421">
        <v>1</v>
      </c>
      <c r="B33" s="421" t="s">
        <v>3393</v>
      </c>
      <c r="C33" s="421" t="s">
        <v>3421</v>
      </c>
      <c r="D33" s="422">
        <v>2750000</v>
      </c>
      <c r="E33" s="422">
        <v>2850000</v>
      </c>
      <c r="F33" s="421"/>
    </row>
    <row r="34" spans="1:6">
      <c r="A34" s="421">
        <v>2</v>
      </c>
      <c r="B34" s="421" t="s">
        <v>3393</v>
      </c>
      <c r="C34" s="421" t="s">
        <v>3422</v>
      </c>
      <c r="D34" s="422">
        <v>2750000</v>
      </c>
      <c r="E34" s="422">
        <v>2850000</v>
      </c>
      <c r="F34" s="421"/>
    </row>
    <row r="35" spans="1:6">
      <c r="A35" s="421">
        <v>3</v>
      </c>
      <c r="B35" s="421" t="s">
        <v>3393</v>
      </c>
      <c r="C35" s="421" t="s">
        <v>3423</v>
      </c>
      <c r="D35" s="422">
        <v>2750000</v>
      </c>
      <c r="E35" s="422">
        <v>2850000</v>
      </c>
      <c r="F35" s="421"/>
    </row>
    <row r="36" spans="1:6">
      <c r="A36" s="421">
        <v>4</v>
      </c>
      <c r="B36" s="421" t="s">
        <v>3393</v>
      </c>
      <c r="C36" s="421" t="s">
        <v>3424</v>
      </c>
      <c r="D36" s="422">
        <v>2750000</v>
      </c>
      <c r="E36" s="422">
        <v>2850000</v>
      </c>
      <c r="F36" s="421"/>
    </row>
    <row r="37" spans="1:6">
      <c r="A37" s="421">
        <v>5</v>
      </c>
      <c r="B37" s="421" t="s">
        <v>3393</v>
      </c>
      <c r="C37" s="421" t="s">
        <v>3425</v>
      </c>
      <c r="D37" s="422">
        <v>3750000</v>
      </c>
      <c r="E37" s="422">
        <v>3850000</v>
      </c>
      <c r="F37" s="421"/>
    </row>
    <row r="38" spans="1:6">
      <c r="A38" s="421">
        <v>6</v>
      </c>
      <c r="B38" s="421" t="s">
        <v>3393</v>
      </c>
      <c r="C38" s="421" t="s">
        <v>3426</v>
      </c>
      <c r="D38" s="422">
        <v>2750000</v>
      </c>
      <c r="E38" s="422">
        <v>2850000</v>
      </c>
      <c r="F38" s="421"/>
    </row>
    <row r="39" spans="1:6">
      <c r="A39" s="421">
        <v>7</v>
      </c>
      <c r="B39" s="421" t="s">
        <v>3393</v>
      </c>
      <c r="C39" s="421" t="s">
        <v>3427</v>
      </c>
      <c r="D39" s="422">
        <v>5150000</v>
      </c>
      <c r="E39" s="422">
        <v>5250000</v>
      </c>
      <c r="F39" s="421"/>
    </row>
    <row r="40" spans="1:6">
      <c r="A40" s="421">
        <v>8</v>
      </c>
      <c r="B40" s="421" t="s">
        <v>3393</v>
      </c>
      <c r="C40" s="421" t="s">
        <v>3428</v>
      </c>
      <c r="D40" s="422">
        <v>5750000</v>
      </c>
      <c r="E40" s="422">
        <v>5950000</v>
      </c>
      <c r="F40" s="421"/>
    </row>
    <row r="41" spans="1:6">
      <c r="A41" s="421">
        <v>9</v>
      </c>
      <c r="B41" s="421" t="s">
        <v>3393</v>
      </c>
      <c r="C41" s="421" t="s">
        <v>3429</v>
      </c>
      <c r="D41" s="422">
        <v>2550000</v>
      </c>
      <c r="E41" s="422">
        <v>2650000</v>
      </c>
      <c r="F41" s="421"/>
    </row>
    <row r="42" spans="1:6">
      <c r="A42" s="1074" t="s">
        <v>3430</v>
      </c>
      <c r="B42" s="1074"/>
      <c r="C42" s="1074"/>
      <c r="D42" s="1074"/>
      <c r="E42" s="1074"/>
      <c r="F42" s="421"/>
    </row>
    <row r="43" spans="1:6">
      <c r="A43" s="421">
        <v>1</v>
      </c>
      <c r="B43" s="421" t="s">
        <v>3393</v>
      </c>
      <c r="C43" s="421" t="s">
        <v>3431</v>
      </c>
      <c r="D43" s="422">
        <v>5300000</v>
      </c>
      <c r="E43" s="422">
        <v>5550000</v>
      </c>
      <c r="F43" s="421"/>
    </row>
    <row r="44" spans="1:6">
      <c r="A44" s="421">
        <v>2</v>
      </c>
      <c r="B44" s="421" t="s">
        <v>3393</v>
      </c>
      <c r="C44" s="421" t="s">
        <v>3432</v>
      </c>
      <c r="D44" s="422">
        <v>5150000</v>
      </c>
      <c r="E44" s="422">
        <v>5250000</v>
      </c>
      <c r="F44" s="421"/>
    </row>
    <row r="45" spans="1:6">
      <c r="A45" s="421">
        <v>3</v>
      </c>
      <c r="B45" s="421" t="s">
        <v>3393</v>
      </c>
      <c r="C45" s="421" t="s">
        <v>3433</v>
      </c>
      <c r="D45" s="422">
        <v>5450000</v>
      </c>
      <c r="E45" s="422">
        <v>5750000</v>
      </c>
      <c r="F45" s="421"/>
    </row>
    <row r="46" spans="1:6">
      <c r="A46" s="421">
        <v>4</v>
      </c>
      <c r="B46" s="421" t="s">
        <v>3393</v>
      </c>
      <c r="C46" s="421" t="s">
        <v>3434</v>
      </c>
      <c r="D46" s="422">
        <v>5450000</v>
      </c>
      <c r="E46" s="422">
        <v>5750000</v>
      </c>
      <c r="F46" s="421"/>
    </row>
    <row r="47" spans="1:6">
      <c r="A47" s="421">
        <v>5</v>
      </c>
      <c r="B47" s="421" t="s">
        <v>3393</v>
      </c>
      <c r="C47" s="421" t="s">
        <v>3435</v>
      </c>
      <c r="D47" s="422">
        <v>5950000</v>
      </c>
      <c r="E47" s="422">
        <v>6250000</v>
      </c>
      <c r="F47" s="421"/>
    </row>
    <row r="48" spans="1:6">
      <c r="A48" s="421">
        <v>6</v>
      </c>
      <c r="B48" s="421" t="s">
        <v>3393</v>
      </c>
      <c r="C48" s="421" t="s">
        <v>3436</v>
      </c>
      <c r="D48" s="422">
        <v>5650000</v>
      </c>
      <c r="E48" s="422">
        <v>5750000</v>
      </c>
      <c r="F48" s="421"/>
    </row>
    <row r="49" spans="1:6">
      <c r="A49" s="421">
        <v>7</v>
      </c>
      <c r="B49" s="421" t="s">
        <v>3393</v>
      </c>
      <c r="C49" s="421" t="s">
        <v>3437</v>
      </c>
      <c r="D49" s="422">
        <v>7950000</v>
      </c>
      <c r="E49" s="422">
        <v>8200000</v>
      </c>
      <c r="F49" s="421"/>
    </row>
    <row r="50" spans="1:6">
      <c r="A50" s="421">
        <v>8</v>
      </c>
      <c r="B50" s="421" t="s">
        <v>3393</v>
      </c>
      <c r="C50" s="421" t="s">
        <v>3438</v>
      </c>
      <c r="D50" s="422">
        <v>9250000</v>
      </c>
      <c r="E50" s="422">
        <v>9750000</v>
      </c>
      <c r="F50" s="421"/>
    </row>
    <row r="51" spans="1:6">
      <c r="A51" s="421">
        <v>9</v>
      </c>
      <c r="B51" s="421" t="s">
        <v>3393</v>
      </c>
      <c r="C51" s="421" t="s">
        <v>3439</v>
      </c>
      <c r="D51" s="422">
        <v>13500000</v>
      </c>
      <c r="E51" s="422">
        <v>1400000</v>
      </c>
      <c r="F51" s="421"/>
    </row>
    <row r="52" spans="1:6">
      <c r="A52" s="1074" t="s">
        <v>3440</v>
      </c>
      <c r="B52" s="1074"/>
      <c r="C52" s="1074"/>
      <c r="D52" s="1074"/>
      <c r="E52" s="1074"/>
      <c r="F52" s="421"/>
    </row>
    <row r="53" spans="1:6">
      <c r="A53" s="421">
        <v>1</v>
      </c>
      <c r="B53" s="421" t="s">
        <v>3393</v>
      </c>
      <c r="C53" s="421" t="s">
        <v>3441</v>
      </c>
      <c r="D53" s="422">
        <v>29500000</v>
      </c>
      <c r="E53" s="422">
        <v>30800000</v>
      </c>
      <c r="F53" s="421"/>
    </row>
    <row r="54" spans="1:6">
      <c r="A54" s="421">
        <v>2</v>
      </c>
      <c r="B54" s="421" t="s">
        <v>3393</v>
      </c>
      <c r="C54" s="421" t="s">
        <v>3442</v>
      </c>
      <c r="D54" s="422">
        <v>31250000</v>
      </c>
      <c r="E54" s="422">
        <v>35450000</v>
      </c>
      <c r="F54" s="421"/>
    </row>
    <row r="82" spans="2:6">
      <c r="F82" t="s">
        <v>543</v>
      </c>
    </row>
    <row r="87" spans="2:6">
      <c r="B87">
        <v>0</v>
      </c>
    </row>
  </sheetData>
  <mergeCells count="11">
    <mergeCell ref="F3:F4"/>
    <mergeCell ref="A42:E42"/>
    <mergeCell ref="A52:E52"/>
    <mergeCell ref="A3:A4"/>
    <mergeCell ref="B3:B4"/>
    <mergeCell ref="C3:C4"/>
    <mergeCell ref="D3:E3"/>
    <mergeCell ref="A5:E5"/>
    <mergeCell ref="A13:E13"/>
    <mergeCell ref="A25:E25"/>
    <mergeCell ref="A32:E32"/>
  </mergeCells>
  <pageMargins left="0.69930555555555596" right="0.69930555555555596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63"/>
  <sheetViews>
    <sheetView workbookViewId="0">
      <selection activeCell="J17" sqref="J17"/>
    </sheetView>
  </sheetViews>
  <sheetFormatPr defaultColWidth="9" defaultRowHeight="14"/>
  <cols>
    <col min="1" max="2" width="11.5" style="235" customWidth="1"/>
    <col min="3" max="3" width="16.83203125" style="236" customWidth="1"/>
    <col min="4" max="4" width="11.5" style="235" customWidth="1"/>
    <col min="5" max="5" width="13.5" style="235" customWidth="1"/>
  </cols>
  <sheetData>
    <row r="1" spans="1:5">
      <c r="A1" s="1077" t="s">
        <v>3210</v>
      </c>
      <c r="B1" s="1077"/>
      <c r="C1" s="1077"/>
      <c r="D1" s="1077"/>
      <c r="E1" s="1077"/>
    </row>
    <row r="2" spans="1:5">
      <c r="A2" s="1077"/>
      <c r="B2" s="1077"/>
      <c r="C2" s="1077"/>
      <c r="D2" s="1077"/>
      <c r="E2" s="1077"/>
    </row>
    <row r="3" spans="1:5">
      <c r="A3" s="1077"/>
      <c r="B3" s="1077"/>
      <c r="C3" s="1077"/>
      <c r="D3" s="1077"/>
      <c r="E3" s="1077"/>
    </row>
    <row r="4" spans="1:5" s="237" customFormat="1" ht="22.5" customHeight="1">
      <c r="A4" s="423" t="s">
        <v>3211</v>
      </c>
      <c r="B4" s="423" t="s">
        <v>3212</v>
      </c>
      <c r="C4" s="423" t="s">
        <v>3213</v>
      </c>
      <c r="D4" s="423" t="s">
        <v>3214</v>
      </c>
      <c r="E4" s="423" t="s">
        <v>3215</v>
      </c>
    </row>
    <row r="5" spans="1:5">
      <c r="B5" s="424"/>
      <c r="C5" s="243"/>
      <c r="D5" s="424"/>
    </row>
    <row r="6" spans="1:5">
      <c r="B6" s="424">
        <v>44585</v>
      </c>
      <c r="C6" s="243"/>
    </row>
    <row r="7" spans="1:5">
      <c r="B7" s="424">
        <v>44616</v>
      </c>
      <c r="C7" s="243"/>
    </row>
    <row r="8" spans="1:5">
      <c r="B8" s="424">
        <v>44644</v>
      </c>
      <c r="C8" s="243"/>
    </row>
    <row r="9" spans="1:5">
      <c r="B9" s="424">
        <v>44675</v>
      </c>
      <c r="C9" s="243"/>
    </row>
    <row r="10" spans="1:5">
      <c r="B10" s="424">
        <v>44705</v>
      </c>
      <c r="C10" s="243"/>
    </row>
    <row r="11" spans="1:5">
      <c r="B11" s="424">
        <v>44736</v>
      </c>
      <c r="C11" s="243"/>
    </row>
    <row r="12" spans="1:5">
      <c r="B12" s="424">
        <v>44766</v>
      </c>
      <c r="C12" s="243"/>
    </row>
    <row r="13" spans="1:5">
      <c r="B13" s="424">
        <v>44797</v>
      </c>
      <c r="C13" s="243"/>
    </row>
    <row r="14" spans="1:5">
      <c r="B14" s="424">
        <v>44828</v>
      </c>
      <c r="C14" s="243"/>
    </row>
    <row r="15" spans="1:5">
      <c r="B15" s="424">
        <v>44858</v>
      </c>
      <c r="C15" s="243"/>
    </row>
    <row r="16" spans="1:5">
      <c r="B16" s="424">
        <v>44889</v>
      </c>
      <c r="C16" s="243"/>
    </row>
    <row r="17" spans="2:3">
      <c r="B17" s="424">
        <v>44919</v>
      </c>
      <c r="C17" s="243"/>
    </row>
    <row r="18" spans="2:3">
      <c r="B18" s="424">
        <v>44950</v>
      </c>
      <c r="C18" s="243"/>
    </row>
    <row r="19" spans="2:3">
      <c r="B19" s="424">
        <v>44981</v>
      </c>
      <c r="C19" s="243"/>
    </row>
    <row r="20" spans="2:3">
      <c r="B20" s="424">
        <v>45009</v>
      </c>
      <c r="C20" s="243"/>
    </row>
    <row r="21" spans="2:3">
      <c r="B21" s="424">
        <v>45040</v>
      </c>
      <c r="C21" s="243"/>
    </row>
    <row r="22" spans="2:3">
      <c r="B22" s="424">
        <v>45070</v>
      </c>
      <c r="C22" s="243"/>
    </row>
    <row r="23" spans="2:3">
      <c r="B23" s="424">
        <v>45101</v>
      </c>
      <c r="C23" s="243"/>
    </row>
    <row r="24" spans="2:3">
      <c r="B24" s="424">
        <v>45131</v>
      </c>
      <c r="C24" s="243"/>
    </row>
    <row r="25" spans="2:3">
      <c r="B25" s="424">
        <v>45162</v>
      </c>
      <c r="C25" s="243"/>
    </row>
    <row r="26" spans="2:3">
      <c r="B26" s="424">
        <v>45193</v>
      </c>
      <c r="C26" s="243"/>
    </row>
    <row r="27" spans="2:3">
      <c r="B27" s="424">
        <v>45223</v>
      </c>
      <c r="C27" s="243"/>
    </row>
    <row r="28" spans="2:3">
      <c r="B28" s="424">
        <v>45254</v>
      </c>
      <c r="C28" s="243"/>
    </row>
    <row r="29" spans="2:3">
      <c r="B29" s="424">
        <v>45284</v>
      </c>
      <c r="C29" s="243"/>
    </row>
    <row r="30" spans="2:3">
      <c r="B30" s="424">
        <v>45315</v>
      </c>
      <c r="C30" s="243"/>
    </row>
    <row r="31" spans="2:3">
      <c r="B31" s="424">
        <v>45346</v>
      </c>
      <c r="C31" s="243"/>
    </row>
    <row r="32" spans="2:3">
      <c r="B32" s="424">
        <v>45375</v>
      </c>
      <c r="C32" s="243"/>
    </row>
    <row r="33" spans="2:3">
      <c r="B33" s="424">
        <v>45406</v>
      </c>
      <c r="C33" s="243"/>
    </row>
    <row r="34" spans="2:3">
      <c r="B34" s="424">
        <v>45436</v>
      </c>
      <c r="C34" s="243"/>
    </row>
    <row r="35" spans="2:3">
      <c r="B35" s="424">
        <v>45467</v>
      </c>
      <c r="C35" s="243"/>
    </row>
    <row r="36" spans="2:3">
      <c r="B36" s="424">
        <v>45497</v>
      </c>
      <c r="C36" s="243"/>
    </row>
    <row r="37" spans="2:3">
      <c r="B37" s="424">
        <v>45528</v>
      </c>
      <c r="C37" s="243"/>
    </row>
    <row r="38" spans="2:3">
      <c r="B38" s="424">
        <v>45559</v>
      </c>
      <c r="C38" s="243"/>
    </row>
    <row r="39" spans="2:3">
      <c r="B39" s="424">
        <v>45589</v>
      </c>
      <c r="C39" s="243"/>
    </row>
    <row r="40" spans="2:3">
      <c r="B40" s="424">
        <v>45620</v>
      </c>
      <c r="C40" s="243"/>
    </row>
    <row r="41" spans="2:3">
      <c r="B41" s="424">
        <v>45650</v>
      </c>
      <c r="C41" s="243"/>
    </row>
    <row r="42" spans="2:3">
      <c r="C42" s="243"/>
    </row>
    <row r="43" spans="2:3">
      <c r="C43" s="243"/>
    </row>
    <row r="44" spans="2:3">
      <c r="C44" s="243"/>
    </row>
    <row r="45" spans="2:3">
      <c r="C45" s="243"/>
    </row>
    <row r="46" spans="2:3">
      <c r="C46" s="243"/>
    </row>
    <row r="47" spans="2:3">
      <c r="C47" s="243"/>
    </row>
    <row r="48" spans="2:3">
      <c r="C48" s="243"/>
    </row>
    <row r="49" spans="3:3">
      <c r="C49" s="243"/>
    </row>
    <row r="50" spans="3:3">
      <c r="C50" s="243"/>
    </row>
    <row r="51" spans="3:3">
      <c r="C51" s="243"/>
    </row>
    <row r="52" spans="3:3">
      <c r="C52" s="243"/>
    </row>
    <row r="53" spans="3:3">
      <c r="C53" s="243"/>
    </row>
    <row r="54" spans="3:3">
      <c r="C54" s="243"/>
    </row>
    <row r="55" spans="3:3">
      <c r="C55" s="243"/>
    </row>
    <row r="56" spans="3:3">
      <c r="C56" s="243"/>
    </row>
    <row r="57" spans="3:3">
      <c r="C57" s="243"/>
    </row>
    <row r="58" spans="3:3">
      <c r="C58" s="243"/>
    </row>
    <row r="59" spans="3:3">
      <c r="C59" s="243"/>
    </row>
    <row r="60" spans="3:3">
      <c r="C60" s="243"/>
    </row>
    <row r="61" spans="3:3">
      <c r="C61" s="243"/>
    </row>
    <row r="62" spans="3:3">
      <c r="C62" s="243"/>
    </row>
    <row r="63" spans="3:3">
      <c r="C63" s="243"/>
    </row>
    <row r="64" spans="3:3">
      <c r="C64" s="243"/>
    </row>
    <row r="65" spans="3:3">
      <c r="C65" s="243"/>
    </row>
    <row r="66" spans="3:3">
      <c r="C66" s="243"/>
    </row>
    <row r="67" spans="3:3">
      <c r="C67" s="243"/>
    </row>
    <row r="68" spans="3:3">
      <c r="C68" s="243"/>
    </row>
    <row r="69" spans="3:3">
      <c r="C69" s="243"/>
    </row>
    <row r="70" spans="3:3">
      <c r="C70" s="243"/>
    </row>
    <row r="71" spans="3:3">
      <c r="C71" s="243"/>
    </row>
    <row r="72" spans="3:3">
      <c r="C72" s="243"/>
    </row>
    <row r="73" spans="3:3">
      <c r="C73" s="243"/>
    </row>
    <row r="74" spans="3:3">
      <c r="C74" s="243"/>
    </row>
    <row r="75" spans="3:3">
      <c r="C75" s="243"/>
    </row>
    <row r="76" spans="3:3">
      <c r="C76" s="243"/>
    </row>
    <row r="77" spans="3:3">
      <c r="C77" s="243"/>
    </row>
    <row r="78" spans="3:3">
      <c r="C78" s="243"/>
    </row>
    <row r="79" spans="3:3">
      <c r="C79" s="243"/>
    </row>
    <row r="80" spans="3:3">
      <c r="C80" s="243"/>
    </row>
    <row r="81" spans="3:3">
      <c r="C81" s="243"/>
    </row>
    <row r="82" spans="3:3">
      <c r="C82" s="243"/>
    </row>
    <row r="83" spans="3:3">
      <c r="C83" s="243"/>
    </row>
    <row r="84" spans="3:3">
      <c r="C84" s="243"/>
    </row>
    <row r="85" spans="3:3">
      <c r="C85" s="243"/>
    </row>
    <row r="86" spans="3:3">
      <c r="C86" s="243"/>
    </row>
    <row r="87" spans="3:3">
      <c r="C87" s="243"/>
    </row>
    <row r="88" spans="3:3">
      <c r="C88" s="243"/>
    </row>
    <row r="89" spans="3:3">
      <c r="C89" s="243"/>
    </row>
    <row r="90" spans="3:3">
      <c r="C90" s="243"/>
    </row>
    <row r="91" spans="3:3">
      <c r="C91" s="243"/>
    </row>
    <row r="92" spans="3:3">
      <c r="C92" s="243"/>
    </row>
    <row r="93" spans="3:3">
      <c r="C93" s="243"/>
    </row>
    <row r="94" spans="3:3">
      <c r="C94" s="243"/>
    </row>
    <row r="95" spans="3:3">
      <c r="C95" s="243"/>
    </row>
    <row r="96" spans="3:3">
      <c r="C96" s="243"/>
    </row>
    <row r="97" spans="3:3">
      <c r="C97" s="243"/>
    </row>
    <row r="98" spans="3:3">
      <c r="C98" s="243"/>
    </row>
    <row r="99" spans="3:3">
      <c r="C99" s="243"/>
    </row>
    <row r="100" spans="3:3">
      <c r="C100" s="243"/>
    </row>
    <row r="101" spans="3:3">
      <c r="C101" s="243"/>
    </row>
    <row r="102" spans="3:3">
      <c r="C102" s="243"/>
    </row>
    <row r="103" spans="3:3">
      <c r="C103" s="243"/>
    </row>
    <row r="104" spans="3:3">
      <c r="C104" s="243"/>
    </row>
    <row r="105" spans="3:3">
      <c r="C105" s="243"/>
    </row>
    <row r="106" spans="3:3">
      <c r="C106" s="243"/>
    </row>
    <row r="107" spans="3:3">
      <c r="C107" s="243"/>
    </row>
    <row r="108" spans="3:3">
      <c r="C108" s="243"/>
    </row>
    <row r="109" spans="3:3">
      <c r="C109" s="243"/>
    </row>
    <row r="110" spans="3:3">
      <c r="C110" s="243"/>
    </row>
    <row r="111" spans="3:3">
      <c r="C111" s="243"/>
    </row>
    <row r="112" spans="3:3">
      <c r="C112" s="243"/>
    </row>
    <row r="113" spans="3:3">
      <c r="C113" s="243"/>
    </row>
    <row r="114" spans="3:3">
      <c r="C114" s="243"/>
    </row>
    <row r="115" spans="3:3">
      <c r="C115" s="243"/>
    </row>
    <row r="116" spans="3:3">
      <c r="C116" s="243"/>
    </row>
    <row r="117" spans="3:3">
      <c r="C117" s="243"/>
    </row>
    <row r="118" spans="3:3">
      <c r="C118" s="243"/>
    </row>
    <row r="119" spans="3:3">
      <c r="C119" s="243"/>
    </row>
    <row r="120" spans="3:3">
      <c r="C120" s="243"/>
    </row>
    <row r="121" spans="3:3">
      <c r="C121" s="243"/>
    </row>
    <row r="122" spans="3:3">
      <c r="C122" s="243"/>
    </row>
    <row r="123" spans="3:3">
      <c r="C123" s="243"/>
    </row>
    <row r="124" spans="3:3">
      <c r="C124" s="243"/>
    </row>
    <row r="125" spans="3:3">
      <c r="C125" s="243"/>
    </row>
    <row r="126" spans="3:3">
      <c r="C126" s="243"/>
    </row>
    <row r="127" spans="3:3">
      <c r="C127" s="243"/>
    </row>
    <row r="128" spans="3:3">
      <c r="C128" s="243"/>
    </row>
    <row r="129" spans="3:3">
      <c r="C129" s="243"/>
    </row>
    <row r="130" spans="3:3">
      <c r="C130" s="243"/>
    </row>
    <row r="131" spans="3:3">
      <c r="C131" s="243"/>
    </row>
    <row r="132" spans="3:3">
      <c r="C132" s="243"/>
    </row>
    <row r="133" spans="3:3">
      <c r="C133" s="243"/>
    </row>
    <row r="134" spans="3:3">
      <c r="C134" s="243"/>
    </row>
    <row r="135" spans="3:3">
      <c r="C135" s="243"/>
    </row>
    <row r="136" spans="3:3">
      <c r="C136" s="243"/>
    </row>
    <row r="137" spans="3:3">
      <c r="C137" s="243"/>
    </row>
    <row r="138" spans="3:3">
      <c r="C138" s="243"/>
    </row>
    <row r="139" spans="3:3">
      <c r="C139" s="243"/>
    </row>
    <row r="140" spans="3:3">
      <c r="C140" s="243"/>
    </row>
    <row r="141" spans="3:3">
      <c r="C141" s="243"/>
    </row>
    <row r="142" spans="3:3">
      <c r="C142" s="243"/>
    </row>
    <row r="143" spans="3:3">
      <c r="C143" s="243"/>
    </row>
    <row r="144" spans="3:3">
      <c r="C144" s="243"/>
    </row>
    <row r="145" spans="3:3">
      <c r="C145" s="243"/>
    </row>
    <row r="146" spans="3:3">
      <c r="C146" s="243"/>
    </row>
    <row r="147" spans="3:3">
      <c r="C147" s="243"/>
    </row>
    <row r="148" spans="3:3">
      <c r="C148" s="243"/>
    </row>
    <row r="149" spans="3:3">
      <c r="C149" s="243"/>
    </row>
    <row r="150" spans="3:3">
      <c r="C150" s="243"/>
    </row>
    <row r="151" spans="3:3">
      <c r="C151" s="243"/>
    </row>
    <row r="152" spans="3:3">
      <c r="C152" s="243"/>
    </row>
    <row r="153" spans="3:3">
      <c r="C153" s="243"/>
    </row>
    <row r="154" spans="3:3">
      <c r="C154" s="243"/>
    </row>
    <row r="155" spans="3:3">
      <c r="C155" s="243"/>
    </row>
    <row r="156" spans="3:3">
      <c r="C156" s="243"/>
    </row>
    <row r="157" spans="3:3">
      <c r="C157" s="243"/>
    </row>
    <row r="158" spans="3:3">
      <c r="C158" s="243"/>
    </row>
    <row r="159" spans="3:3">
      <c r="C159" s="243"/>
    </row>
    <row r="160" spans="3:3">
      <c r="C160" s="243"/>
    </row>
    <row r="161" spans="3:3">
      <c r="C161" s="243"/>
    </row>
    <row r="162" spans="3:3">
      <c r="C162" s="243"/>
    </row>
    <row r="163" spans="3:3">
      <c r="C163" s="243"/>
    </row>
    <row r="164" spans="3:3">
      <c r="C164" s="243"/>
    </row>
    <row r="165" spans="3:3">
      <c r="C165" s="243"/>
    </row>
    <row r="166" spans="3:3">
      <c r="C166" s="243"/>
    </row>
    <row r="167" spans="3:3">
      <c r="C167" s="243"/>
    </row>
    <row r="168" spans="3:3">
      <c r="C168" s="243"/>
    </row>
    <row r="169" spans="3:3">
      <c r="C169" s="243"/>
    </row>
    <row r="170" spans="3:3">
      <c r="C170" s="243"/>
    </row>
    <row r="171" spans="3:3">
      <c r="C171" s="243"/>
    </row>
    <row r="172" spans="3:3">
      <c r="C172" s="243"/>
    </row>
    <row r="173" spans="3:3">
      <c r="C173" s="243"/>
    </row>
    <row r="174" spans="3:3">
      <c r="C174" s="243"/>
    </row>
    <row r="175" spans="3:3">
      <c r="C175" s="243"/>
    </row>
    <row r="176" spans="3:3">
      <c r="C176" s="243"/>
    </row>
    <row r="177" spans="3:3">
      <c r="C177" s="243"/>
    </row>
    <row r="178" spans="3:3">
      <c r="C178" s="243"/>
    </row>
    <row r="179" spans="3:3">
      <c r="C179" s="243"/>
    </row>
    <row r="180" spans="3:3">
      <c r="C180" s="243"/>
    </row>
    <row r="181" spans="3:3">
      <c r="C181" s="243"/>
    </row>
    <row r="182" spans="3:3">
      <c r="C182" s="243"/>
    </row>
    <row r="183" spans="3:3">
      <c r="C183" s="243"/>
    </row>
    <row r="184" spans="3:3">
      <c r="C184" s="243"/>
    </row>
    <row r="185" spans="3:3">
      <c r="C185" s="243"/>
    </row>
    <row r="186" spans="3:3">
      <c r="C186" s="243"/>
    </row>
    <row r="187" spans="3:3">
      <c r="C187" s="243"/>
    </row>
    <row r="188" spans="3:3">
      <c r="C188" s="243"/>
    </row>
    <row r="189" spans="3:3">
      <c r="C189" s="243"/>
    </row>
    <row r="190" spans="3:3">
      <c r="C190" s="243"/>
    </row>
    <row r="191" spans="3:3">
      <c r="C191" s="243"/>
    </row>
    <row r="192" spans="3:3">
      <c r="C192" s="243"/>
    </row>
    <row r="193" spans="3:3">
      <c r="C193" s="243"/>
    </row>
    <row r="194" spans="3:3">
      <c r="C194" s="243"/>
    </row>
    <row r="195" spans="3:3">
      <c r="C195" s="243"/>
    </row>
    <row r="196" spans="3:3">
      <c r="C196" s="243"/>
    </row>
    <row r="197" spans="3:3">
      <c r="C197" s="243"/>
    </row>
    <row r="198" spans="3:3">
      <c r="C198" s="243"/>
    </row>
    <row r="199" spans="3:3">
      <c r="C199" s="243"/>
    </row>
    <row r="200" spans="3:3">
      <c r="C200" s="243"/>
    </row>
    <row r="201" spans="3:3">
      <c r="C201" s="243"/>
    </row>
    <row r="202" spans="3:3">
      <c r="C202" s="243"/>
    </row>
    <row r="203" spans="3:3">
      <c r="C203" s="243"/>
    </row>
    <row r="204" spans="3:3">
      <c r="C204" s="243"/>
    </row>
    <row r="205" spans="3:3">
      <c r="C205" s="243"/>
    </row>
    <row r="206" spans="3:3">
      <c r="C206" s="243"/>
    </row>
    <row r="207" spans="3:3">
      <c r="C207" s="243"/>
    </row>
    <row r="208" spans="3:3">
      <c r="C208" s="243"/>
    </row>
    <row r="209" spans="3:3">
      <c r="C209" s="243"/>
    </row>
    <row r="210" spans="3:3">
      <c r="C210" s="243"/>
    </row>
    <row r="211" spans="3:3">
      <c r="C211" s="243"/>
    </row>
    <row r="212" spans="3:3">
      <c r="C212" s="243"/>
    </row>
    <row r="213" spans="3:3">
      <c r="C213" s="243"/>
    </row>
    <row r="214" spans="3:3">
      <c r="C214" s="243"/>
    </row>
    <row r="215" spans="3:3">
      <c r="C215" s="243"/>
    </row>
    <row r="216" spans="3:3">
      <c r="C216" s="243"/>
    </row>
    <row r="217" spans="3:3">
      <c r="C217" s="243"/>
    </row>
    <row r="218" spans="3:3">
      <c r="C218" s="243"/>
    </row>
    <row r="219" spans="3:3">
      <c r="C219" s="243"/>
    </row>
    <row r="220" spans="3:3">
      <c r="C220" s="243"/>
    </row>
    <row r="221" spans="3:3">
      <c r="C221" s="243"/>
    </row>
    <row r="222" spans="3:3">
      <c r="C222" s="243"/>
    </row>
    <row r="223" spans="3:3">
      <c r="C223" s="243"/>
    </row>
    <row r="224" spans="3:3">
      <c r="C224" s="243"/>
    </row>
    <row r="225" spans="3:3">
      <c r="C225" s="243"/>
    </row>
    <row r="226" spans="3:3">
      <c r="C226" s="243"/>
    </row>
    <row r="227" spans="3:3">
      <c r="C227" s="243"/>
    </row>
    <row r="228" spans="3:3">
      <c r="C228" s="243"/>
    </row>
    <row r="229" spans="3:3">
      <c r="C229" s="243"/>
    </row>
    <row r="230" spans="3:3">
      <c r="C230" s="243"/>
    </row>
    <row r="231" spans="3:3">
      <c r="C231" s="243"/>
    </row>
    <row r="232" spans="3:3">
      <c r="C232" s="243"/>
    </row>
    <row r="233" spans="3:3">
      <c r="C233" s="243"/>
    </row>
    <row r="234" spans="3:3">
      <c r="C234" s="243"/>
    </row>
    <row r="235" spans="3:3">
      <c r="C235" s="243"/>
    </row>
    <row r="236" spans="3:3">
      <c r="C236" s="243"/>
    </row>
    <row r="237" spans="3:3">
      <c r="C237" s="243"/>
    </row>
    <row r="238" spans="3:3">
      <c r="C238" s="243"/>
    </row>
    <row r="239" spans="3:3">
      <c r="C239" s="243"/>
    </row>
    <row r="240" spans="3:3">
      <c r="C240" s="243"/>
    </row>
    <row r="241" spans="3:3">
      <c r="C241" s="243"/>
    </row>
    <row r="242" spans="3:3">
      <c r="C242" s="243"/>
    </row>
    <row r="243" spans="3:3">
      <c r="C243" s="243"/>
    </row>
    <row r="244" spans="3:3">
      <c r="C244" s="243"/>
    </row>
    <row r="245" spans="3:3">
      <c r="C245" s="243"/>
    </row>
    <row r="246" spans="3:3">
      <c r="C246" s="243"/>
    </row>
    <row r="247" spans="3:3">
      <c r="C247" s="243"/>
    </row>
    <row r="248" spans="3:3">
      <c r="C248" s="243"/>
    </row>
    <row r="249" spans="3:3">
      <c r="C249" s="243"/>
    </row>
    <row r="250" spans="3:3">
      <c r="C250" s="243"/>
    </row>
    <row r="251" spans="3:3">
      <c r="C251" s="243"/>
    </row>
    <row r="252" spans="3:3">
      <c r="C252" s="243"/>
    </row>
    <row r="253" spans="3:3">
      <c r="C253" s="243"/>
    </row>
    <row r="254" spans="3:3">
      <c r="C254" s="243"/>
    </row>
    <row r="255" spans="3:3">
      <c r="C255" s="243"/>
    </row>
    <row r="256" spans="3:3">
      <c r="C256" s="243"/>
    </row>
    <row r="257" spans="3:3">
      <c r="C257" s="243"/>
    </row>
    <row r="258" spans="3:3">
      <c r="C258" s="243"/>
    </row>
    <row r="259" spans="3:3">
      <c r="C259" s="243"/>
    </row>
    <row r="260" spans="3:3">
      <c r="C260" s="243"/>
    </row>
    <row r="261" spans="3:3">
      <c r="C261" s="243"/>
    </row>
    <row r="262" spans="3:3">
      <c r="C262" s="243"/>
    </row>
    <row r="263" spans="3:3">
      <c r="C263" s="243"/>
    </row>
    <row r="264" spans="3:3">
      <c r="C264" s="243"/>
    </row>
    <row r="265" spans="3:3">
      <c r="C265" s="243"/>
    </row>
    <row r="266" spans="3:3">
      <c r="C266" s="243"/>
    </row>
    <row r="267" spans="3:3">
      <c r="C267" s="243"/>
    </row>
    <row r="268" spans="3:3">
      <c r="C268" s="243"/>
    </row>
    <row r="269" spans="3:3">
      <c r="C269" s="243"/>
    </row>
    <row r="270" spans="3:3">
      <c r="C270" s="243"/>
    </row>
    <row r="271" spans="3:3">
      <c r="C271" s="243"/>
    </row>
    <row r="272" spans="3:3">
      <c r="C272" s="243"/>
    </row>
    <row r="273" spans="3:3">
      <c r="C273" s="243"/>
    </row>
    <row r="274" spans="3:3">
      <c r="C274" s="243"/>
    </row>
    <row r="275" spans="3:3">
      <c r="C275" s="243"/>
    </row>
    <row r="276" spans="3:3">
      <c r="C276" s="243"/>
    </row>
    <row r="277" spans="3:3">
      <c r="C277" s="243"/>
    </row>
    <row r="278" spans="3:3">
      <c r="C278" s="243"/>
    </row>
    <row r="279" spans="3:3">
      <c r="C279" s="243"/>
    </row>
    <row r="280" spans="3:3">
      <c r="C280" s="243"/>
    </row>
    <row r="281" spans="3:3">
      <c r="C281" s="243"/>
    </row>
    <row r="282" spans="3:3">
      <c r="C282" s="243"/>
    </row>
    <row r="283" spans="3:3">
      <c r="C283" s="243"/>
    </row>
    <row r="284" spans="3:3">
      <c r="C284" s="243"/>
    </row>
    <row r="285" spans="3:3">
      <c r="C285" s="243"/>
    </row>
    <row r="286" spans="3:3">
      <c r="C286" s="243"/>
    </row>
    <row r="287" spans="3:3">
      <c r="C287" s="243"/>
    </row>
    <row r="288" spans="3:3">
      <c r="C288" s="243"/>
    </row>
    <row r="289" spans="3:3">
      <c r="C289" s="243"/>
    </row>
    <row r="290" spans="3:3">
      <c r="C290" s="243"/>
    </row>
    <row r="291" spans="3:3">
      <c r="C291" s="243"/>
    </row>
    <row r="292" spans="3:3">
      <c r="C292" s="243"/>
    </row>
    <row r="293" spans="3:3">
      <c r="C293" s="243"/>
    </row>
    <row r="294" spans="3:3">
      <c r="C294" s="243"/>
    </row>
    <row r="295" spans="3:3">
      <c r="C295" s="243"/>
    </row>
    <row r="296" spans="3:3">
      <c r="C296" s="243"/>
    </row>
    <row r="297" spans="3:3">
      <c r="C297" s="243"/>
    </row>
    <row r="298" spans="3:3">
      <c r="C298" s="243"/>
    </row>
    <row r="299" spans="3:3">
      <c r="C299" s="243"/>
    </row>
    <row r="300" spans="3:3">
      <c r="C300" s="243"/>
    </row>
    <row r="301" spans="3:3">
      <c r="C301" s="243"/>
    </row>
    <row r="302" spans="3:3">
      <c r="C302" s="243"/>
    </row>
    <row r="303" spans="3:3">
      <c r="C303" s="243"/>
    </row>
    <row r="304" spans="3:3">
      <c r="C304" s="243"/>
    </row>
    <row r="305" spans="3:3">
      <c r="C305" s="243"/>
    </row>
    <row r="306" spans="3:3">
      <c r="C306" s="243"/>
    </row>
    <row r="307" spans="3:3">
      <c r="C307" s="243"/>
    </row>
    <row r="308" spans="3:3">
      <c r="C308" s="243"/>
    </row>
    <row r="309" spans="3:3">
      <c r="C309" s="243"/>
    </row>
    <row r="310" spans="3:3">
      <c r="C310" s="243"/>
    </row>
    <row r="311" spans="3:3">
      <c r="C311" s="243"/>
    </row>
    <row r="312" spans="3:3">
      <c r="C312" s="243"/>
    </row>
    <row r="313" spans="3:3">
      <c r="C313" s="243"/>
    </row>
    <row r="314" spans="3:3">
      <c r="C314" s="243"/>
    </row>
    <row r="315" spans="3:3">
      <c r="C315" s="243"/>
    </row>
    <row r="316" spans="3:3">
      <c r="C316" s="243"/>
    </row>
    <row r="317" spans="3:3">
      <c r="C317" s="243"/>
    </row>
    <row r="318" spans="3:3">
      <c r="C318" s="243"/>
    </row>
    <row r="319" spans="3:3">
      <c r="C319" s="243"/>
    </row>
    <row r="320" spans="3:3">
      <c r="C320" s="243"/>
    </row>
    <row r="321" spans="3:3">
      <c r="C321" s="243"/>
    </row>
    <row r="322" spans="3:3">
      <c r="C322" s="243"/>
    </row>
    <row r="323" spans="3:3">
      <c r="C323" s="243"/>
    </row>
    <row r="324" spans="3:3">
      <c r="C324" s="243"/>
    </row>
    <row r="325" spans="3:3">
      <c r="C325" s="243"/>
    </row>
    <row r="326" spans="3:3">
      <c r="C326" s="243"/>
    </row>
    <row r="327" spans="3:3">
      <c r="C327" s="243"/>
    </row>
    <row r="328" spans="3:3">
      <c r="C328" s="243"/>
    </row>
    <row r="329" spans="3:3">
      <c r="C329" s="243"/>
    </row>
    <row r="330" spans="3:3">
      <c r="C330" s="243"/>
    </row>
    <row r="331" spans="3:3">
      <c r="C331" s="243"/>
    </row>
    <row r="332" spans="3:3">
      <c r="C332" s="243"/>
    </row>
    <row r="333" spans="3:3">
      <c r="C333" s="243"/>
    </row>
    <row r="334" spans="3:3">
      <c r="C334" s="243"/>
    </row>
    <row r="335" spans="3:3">
      <c r="C335" s="243"/>
    </row>
    <row r="336" spans="3:3">
      <c r="C336" s="243"/>
    </row>
    <row r="337" spans="3:3">
      <c r="C337" s="243"/>
    </row>
    <row r="338" spans="3:3">
      <c r="C338" s="243"/>
    </row>
    <row r="339" spans="3:3">
      <c r="C339" s="243"/>
    </row>
    <row r="340" spans="3:3">
      <c r="C340" s="243"/>
    </row>
    <row r="341" spans="3:3">
      <c r="C341" s="243"/>
    </row>
    <row r="342" spans="3:3">
      <c r="C342" s="243"/>
    </row>
    <row r="343" spans="3:3">
      <c r="C343" s="243"/>
    </row>
    <row r="344" spans="3:3">
      <c r="C344" s="243"/>
    </row>
    <row r="345" spans="3:3">
      <c r="C345" s="243"/>
    </row>
    <row r="346" spans="3:3">
      <c r="C346" s="243"/>
    </row>
    <row r="347" spans="3:3">
      <c r="C347" s="243"/>
    </row>
    <row r="348" spans="3:3">
      <c r="C348" s="243"/>
    </row>
    <row r="349" spans="3:3">
      <c r="C349" s="243"/>
    </row>
    <row r="350" spans="3:3">
      <c r="C350" s="243"/>
    </row>
    <row r="351" spans="3:3">
      <c r="C351" s="243"/>
    </row>
    <row r="352" spans="3:3">
      <c r="C352" s="243"/>
    </row>
    <row r="353" spans="3:3">
      <c r="C353" s="243"/>
    </row>
    <row r="354" spans="3:3">
      <c r="C354" s="243"/>
    </row>
    <row r="355" spans="3:3">
      <c r="C355" s="243"/>
    </row>
    <row r="356" spans="3:3">
      <c r="C356" s="243"/>
    </row>
    <row r="357" spans="3:3">
      <c r="C357" s="243"/>
    </row>
    <row r="358" spans="3:3">
      <c r="C358" s="243"/>
    </row>
    <row r="359" spans="3:3">
      <c r="C359" s="243"/>
    </row>
    <row r="360" spans="3:3">
      <c r="C360" s="243"/>
    </row>
    <row r="361" spans="3:3">
      <c r="C361" s="243"/>
    </row>
    <row r="362" spans="3:3">
      <c r="C362" s="243"/>
    </row>
    <row r="363" spans="3:3">
      <c r="C363" s="243"/>
    </row>
    <row r="364" spans="3:3">
      <c r="C364" s="243"/>
    </row>
    <row r="365" spans="3:3">
      <c r="C365" s="243"/>
    </row>
    <row r="366" spans="3:3">
      <c r="C366" s="243"/>
    </row>
    <row r="367" spans="3:3">
      <c r="C367" s="243"/>
    </row>
    <row r="368" spans="3:3">
      <c r="C368" s="243"/>
    </row>
    <row r="369" spans="3:3">
      <c r="C369" s="243"/>
    </row>
    <row r="370" spans="3:3">
      <c r="C370" s="243"/>
    </row>
    <row r="371" spans="3:3">
      <c r="C371" s="243"/>
    </row>
    <row r="372" spans="3:3">
      <c r="C372" s="243"/>
    </row>
    <row r="373" spans="3:3">
      <c r="C373" s="243"/>
    </row>
    <row r="374" spans="3:3">
      <c r="C374" s="243"/>
    </row>
    <row r="375" spans="3:3">
      <c r="C375" s="243"/>
    </row>
    <row r="376" spans="3:3">
      <c r="C376" s="243"/>
    </row>
    <row r="377" spans="3:3">
      <c r="C377" s="243"/>
    </row>
    <row r="378" spans="3:3">
      <c r="C378" s="243"/>
    </row>
    <row r="379" spans="3:3">
      <c r="C379" s="243"/>
    </row>
    <row r="380" spans="3:3">
      <c r="C380" s="243"/>
    </row>
    <row r="381" spans="3:3">
      <c r="C381" s="243"/>
    </row>
    <row r="382" spans="3:3">
      <c r="C382" s="243"/>
    </row>
    <row r="383" spans="3:3">
      <c r="C383" s="243"/>
    </row>
    <row r="384" spans="3:3">
      <c r="C384" s="243"/>
    </row>
    <row r="385" spans="3:3">
      <c r="C385" s="243"/>
    </row>
    <row r="386" spans="3:3">
      <c r="C386" s="243"/>
    </row>
    <row r="387" spans="3:3">
      <c r="C387" s="243"/>
    </row>
    <row r="388" spans="3:3">
      <c r="C388" s="243"/>
    </row>
    <row r="389" spans="3:3">
      <c r="C389" s="243"/>
    </row>
    <row r="390" spans="3:3">
      <c r="C390" s="243"/>
    </row>
    <row r="391" spans="3:3">
      <c r="C391" s="243"/>
    </row>
    <row r="392" spans="3:3">
      <c r="C392" s="243"/>
    </row>
    <row r="393" spans="3:3">
      <c r="C393" s="243"/>
    </row>
    <row r="394" spans="3:3">
      <c r="C394" s="243"/>
    </row>
    <row r="395" spans="3:3">
      <c r="C395" s="243"/>
    </row>
    <row r="396" spans="3:3">
      <c r="C396" s="243"/>
    </row>
    <row r="397" spans="3:3">
      <c r="C397" s="243"/>
    </row>
    <row r="398" spans="3:3">
      <c r="C398" s="243"/>
    </row>
    <row r="399" spans="3:3">
      <c r="C399" s="243"/>
    </row>
    <row r="400" spans="3:3">
      <c r="C400" s="243"/>
    </row>
    <row r="401" spans="3:3">
      <c r="C401" s="243"/>
    </row>
    <row r="402" spans="3:3">
      <c r="C402" s="243"/>
    </row>
    <row r="403" spans="3:3">
      <c r="C403" s="243"/>
    </row>
    <row r="404" spans="3:3">
      <c r="C404" s="243"/>
    </row>
    <row r="405" spans="3:3">
      <c r="C405" s="243"/>
    </row>
    <row r="406" spans="3:3">
      <c r="C406" s="243"/>
    </row>
    <row r="407" spans="3:3">
      <c r="C407" s="243"/>
    </row>
    <row r="408" spans="3:3">
      <c r="C408" s="243"/>
    </row>
    <row r="409" spans="3:3">
      <c r="C409" s="243"/>
    </row>
    <row r="410" spans="3:3">
      <c r="C410" s="243"/>
    </row>
    <row r="411" spans="3:3">
      <c r="C411" s="243"/>
    </row>
    <row r="412" spans="3:3">
      <c r="C412" s="243"/>
    </row>
    <row r="413" spans="3:3">
      <c r="C413" s="243"/>
    </row>
    <row r="414" spans="3:3">
      <c r="C414" s="243"/>
    </row>
    <row r="415" spans="3:3">
      <c r="C415" s="243"/>
    </row>
    <row r="416" spans="3:3">
      <c r="C416" s="243"/>
    </row>
    <row r="417" spans="3:3">
      <c r="C417" s="243"/>
    </row>
    <row r="418" spans="3:3">
      <c r="C418" s="243"/>
    </row>
    <row r="419" spans="3:3">
      <c r="C419" s="243"/>
    </row>
    <row r="420" spans="3:3">
      <c r="C420" s="243"/>
    </row>
    <row r="421" spans="3:3">
      <c r="C421" s="243"/>
    </row>
    <row r="422" spans="3:3">
      <c r="C422" s="243"/>
    </row>
    <row r="423" spans="3:3">
      <c r="C423" s="243"/>
    </row>
    <row r="424" spans="3:3">
      <c r="C424" s="243"/>
    </row>
    <row r="425" spans="3:3">
      <c r="C425" s="243"/>
    </row>
    <row r="426" spans="3:3">
      <c r="C426" s="243"/>
    </row>
    <row r="427" spans="3:3">
      <c r="C427" s="243"/>
    </row>
    <row r="428" spans="3:3">
      <c r="C428" s="243"/>
    </row>
    <row r="429" spans="3:3">
      <c r="C429" s="243"/>
    </row>
    <row r="430" spans="3:3">
      <c r="C430" s="243"/>
    </row>
    <row r="431" spans="3:3">
      <c r="C431" s="243"/>
    </row>
    <row r="432" spans="3:3">
      <c r="C432" s="243"/>
    </row>
    <row r="433" spans="3:3">
      <c r="C433" s="243"/>
    </row>
    <row r="434" spans="3:3">
      <c r="C434" s="243"/>
    </row>
    <row r="435" spans="3:3">
      <c r="C435" s="243"/>
    </row>
    <row r="436" spans="3:3">
      <c r="C436" s="243"/>
    </row>
    <row r="437" spans="3:3">
      <c r="C437" s="243"/>
    </row>
    <row r="438" spans="3:3">
      <c r="C438" s="243"/>
    </row>
    <row r="439" spans="3:3">
      <c r="C439" s="243"/>
    </row>
    <row r="440" spans="3:3">
      <c r="C440" s="243"/>
    </row>
    <row r="441" spans="3:3">
      <c r="C441" s="243"/>
    </row>
    <row r="442" spans="3:3">
      <c r="C442" s="243"/>
    </row>
    <row r="443" spans="3:3">
      <c r="C443" s="243"/>
    </row>
    <row r="444" spans="3:3">
      <c r="C444" s="243"/>
    </row>
    <row r="445" spans="3:3">
      <c r="C445" s="243"/>
    </row>
    <row r="446" spans="3:3">
      <c r="C446" s="243"/>
    </row>
    <row r="447" spans="3:3">
      <c r="C447" s="243"/>
    </row>
    <row r="448" spans="3:3">
      <c r="C448" s="243"/>
    </row>
    <row r="449" spans="3:3">
      <c r="C449" s="243"/>
    </row>
    <row r="450" spans="3:3">
      <c r="C450" s="243"/>
    </row>
    <row r="451" spans="3:3">
      <c r="C451" s="243"/>
    </row>
    <row r="452" spans="3:3">
      <c r="C452" s="243"/>
    </row>
    <row r="453" spans="3:3">
      <c r="C453" s="243"/>
    </row>
    <row r="454" spans="3:3">
      <c r="C454" s="243"/>
    </row>
    <row r="455" spans="3:3">
      <c r="C455" s="243"/>
    </row>
    <row r="456" spans="3:3">
      <c r="C456" s="243"/>
    </row>
    <row r="457" spans="3:3">
      <c r="C457" s="243"/>
    </row>
    <row r="458" spans="3:3">
      <c r="C458" s="243"/>
    </row>
    <row r="459" spans="3:3">
      <c r="C459" s="243"/>
    </row>
    <row r="460" spans="3:3">
      <c r="C460" s="243"/>
    </row>
    <row r="461" spans="3:3">
      <c r="C461" s="243"/>
    </row>
    <row r="462" spans="3:3">
      <c r="C462" s="243"/>
    </row>
    <row r="463" spans="3:3">
      <c r="C463" s="243"/>
    </row>
  </sheetData>
  <mergeCells count="1">
    <mergeCell ref="A1:E3"/>
  </mergeCells>
  <pageMargins left="0.69930555555555596" right="0.69930555555555596" top="0.75" bottom="0.75" header="0.3" footer="0.3"/>
  <pageSetup fitToWidth="0" fitToHeight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77"/>
  <sheetViews>
    <sheetView zoomScale="69" workbookViewId="0">
      <pane xSplit="5" ySplit="3" topLeftCell="F55" activePane="bottomRight" state="frozen"/>
      <selection pane="topRight"/>
      <selection pane="bottomLeft"/>
      <selection pane="bottomRight" activeCell="I18" sqref="I18:I36"/>
    </sheetView>
  </sheetViews>
  <sheetFormatPr defaultColWidth="9" defaultRowHeight="14"/>
  <cols>
    <col min="1" max="1" width="3.58203125" style="235" customWidth="1"/>
    <col min="2" max="2" width="14.08203125" style="235" customWidth="1"/>
    <col min="3" max="3" width="18.5" style="235" customWidth="1"/>
    <col min="4" max="4" width="24.08203125" style="235" customWidth="1"/>
    <col min="5" max="5" width="24.58203125" style="235" customWidth="1"/>
    <col min="6" max="6" width="9" style="235"/>
    <col min="7" max="7" width="16.5" style="235" customWidth="1"/>
    <col min="8" max="8" width="17.75" style="235" customWidth="1"/>
    <col min="9" max="9" width="16.25" style="235" customWidth="1"/>
    <col min="10" max="10" width="15" style="235" customWidth="1"/>
    <col min="11" max="11" width="14.25" style="235" customWidth="1"/>
    <col min="12" max="12" width="15.58203125" style="235" customWidth="1"/>
    <col min="13" max="13" width="14.08203125" style="235" customWidth="1"/>
    <col min="14" max="16" width="9" style="235"/>
    <col min="17" max="18" width="9.58203125" style="236"/>
    <col min="19" max="19" width="9" style="236"/>
    <col min="20" max="20" width="9.58203125" style="236"/>
    <col min="21" max="21" width="15.25" style="235" customWidth="1"/>
    <col min="22" max="22" width="9" style="235"/>
  </cols>
  <sheetData>
    <row r="1" spans="1:21" ht="28.75" customHeight="1">
      <c r="A1" s="1090" t="s">
        <v>3443</v>
      </c>
      <c r="B1" s="1091"/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1091"/>
      <c r="O1" s="1091"/>
      <c r="P1" s="1091"/>
      <c r="Q1" s="1079"/>
      <c r="R1" s="1079"/>
      <c r="S1" s="1079"/>
      <c r="T1" s="1079"/>
      <c r="U1" s="1091"/>
    </row>
    <row r="2" spans="1:21" ht="19.75" customHeight="1">
      <c r="A2" s="1092" t="s">
        <v>3444</v>
      </c>
      <c r="B2" s="1091"/>
      <c r="C2" s="1091"/>
      <c r="D2" s="1091"/>
      <c r="E2" s="1091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6"/>
      <c r="R2" s="426"/>
      <c r="S2" s="426"/>
      <c r="T2" s="426"/>
      <c r="U2" s="425"/>
    </row>
    <row r="3" spans="1:21" ht="28">
      <c r="A3" s="427" t="s">
        <v>3270</v>
      </c>
      <c r="B3" s="428" t="s">
        <v>3445</v>
      </c>
      <c r="C3" s="428" t="s">
        <v>3446</v>
      </c>
      <c r="D3" s="428" t="s">
        <v>3447</v>
      </c>
      <c r="E3" s="428" t="s">
        <v>3448</v>
      </c>
      <c r="F3" s="428" t="s">
        <v>3449</v>
      </c>
      <c r="G3" s="428" t="s">
        <v>3450</v>
      </c>
      <c r="H3" s="428" t="s">
        <v>3451</v>
      </c>
      <c r="I3" s="428" t="s">
        <v>3452</v>
      </c>
      <c r="J3" s="428" t="s">
        <v>12</v>
      </c>
      <c r="K3" s="428" t="s">
        <v>13</v>
      </c>
      <c r="L3" s="428" t="s">
        <v>14</v>
      </c>
      <c r="M3" s="428" t="s">
        <v>3453</v>
      </c>
      <c r="N3" s="428" t="s">
        <v>3454</v>
      </c>
      <c r="O3" s="428" t="s">
        <v>3455</v>
      </c>
      <c r="P3" s="428" t="s">
        <v>3456</v>
      </c>
      <c r="Q3" s="429" t="s">
        <v>3457</v>
      </c>
      <c r="R3" s="430" t="s">
        <v>3458</v>
      </c>
      <c r="S3" s="431" t="s">
        <v>3459</v>
      </c>
      <c r="T3" s="430" t="s">
        <v>3460</v>
      </c>
      <c r="U3" s="428" t="s">
        <v>3461</v>
      </c>
    </row>
    <row r="4" spans="1:21" ht="25" customHeight="1">
      <c r="A4" s="1086">
        <v>1</v>
      </c>
      <c r="B4" s="1080" t="s">
        <v>2743</v>
      </c>
      <c r="C4" s="1080" t="s">
        <v>3462</v>
      </c>
      <c r="D4" s="1080" t="s">
        <v>3463</v>
      </c>
      <c r="E4" s="1080" t="s">
        <v>2741</v>
      </c>
      <c r="F4" s="1080" t="s">
        <v>71</v>
      </c>
      <c r="G4" s="1080" t="s">
        <v>2742</v>
      </c>
      <c r="H4" s="1080" t="s">
        <v>3464</v>
      </c>
      <c r="I4" s="1080" t="s">
        <v>3465</v>
      </c>
      <c r="J4" s="1083">
        <v>45220</v>
      </c>
      <c r="K4" s="1083">
        <v>45230</v>
      </c>
      <c r="L4" s="1080" t="s">
        <v>2747</v>
      </c>
      <c r="M4" s="1080" t="s">
        <v>2747</v>
      </c>
      <c r="N4" s="1080" t="s">
        <v>1572</v>
      </c>
      <c r="O4" s="433" t="s">
        <v>3466</v>
      </c>
      <c r="P4" s="434"/>
      <c r="Q4" s="435"/>
      <c r="R4" s="436"/>
      <c r="S4" s="437"/>
      <c r="T4" s="436"/>
      <c r="U4" s="434"/>
    </row>
    <row r="5" spans="1:21" ht="25" customHeight="1">
      <c r="A5" s="1081"/>
      <c r="B5" s="1081"/>
      <c r="C5" s="1081"/>
      <c r="D5" s="1081"/>
      <c r="E5" s="1081"/>
      <c r="F5" s="1081"/>
      <c r="G5" s="1081"/>
      <c r="H5" s="1081"/>
      <c r="I5" s="1081"/>
      <c r="J5" s="1081"/>
      <c r="K5" s="1081"/>
      <c r="L5" s="1081"/>
      <c r="M5" s="1081"/>
      <c r="N5" s="1081"/>
      <c r="O5" s="432" t="s">
        <v>3467</v>
      </c>
      <c r="P5" s="1080" t="s">
        <v>3468</v>
      </c>
      <c r="Q5" s="438">
        <v>125000</v>
      </c>
      <c r="R5" s="438">
        <v>350000</v>
      </c>
      <c r="S5" s="438"/>
      <c r="T5" s="438">
        <f t="shared" ref="T5:T9" si="0">R5-Q5</f>
        <v>225000</v>
      </c>
      <c r="U5" s="439" t="s">
        <v>3469</v>
      </c>
    </row>
    <row r="6" spans="1:21">
      <c r="A6" s="1081"/>
      <c r="B6" s="1081"/>
      <c r="C6" s="1081"/>
      <c r="D6" s="1081"/>
      <c r="E6" s="1081"/>
      <c r="F6" s="1081"/>
      <c r="G6" s="1081"/>
      <c r="H6" s="1081"/>
      <c r="I6" s="1081"/>
      <c r="J6" s="1081"/>
      <c r="K6" s="1081"/>
      <c r="L6" s="1081"/>
      <c r="M6" s="1081"/>
      <c r="N6" s="1081"/>
      <c r="O6" s="432" t="s">
        <v>3470</v>
      </c>
      <c r="P6" s="1093"/>
      <c r="Q6" s="438">
        <v>100000</v>
      </c>
      <c r="R6" s="438">
        <v>250000</v>
      </c>
      <c r="S6" s="438"/>
      <c r="T6" s="438">
        <f t="shared" si="0"/>
        <v>150000</v>
      </c>
      <c r="U6" s="432" t="s">
        <v>2749</v>
      </c>
    </row>
    <row r="7" spans="1:21" ht="28">
      <c r="A7" s="1081"/>
      <c r="B7" s="1081"/>
      <c r="C7" s="1081"/>
      <c r="D7" s="1081"/>
      <c r="E7" s="1081"/>
      <c r="F7" s="1081"/>
      <c r="G7" s="1081"/>
      <c r="H7" s="1081"/>
      <c r="I7" s="1081"/>
      <c r="J7" s="1081"/>
      <c r="K7" s="1081"/>
      <c r="L7" s="1081"/>
      <c r="M7" s="1081"/>
      <c r="N7" s="1081"/>
      <c r="O7" s="432" t="s">
        <v>3471</v>
      </c>
      <c r="P7" s="432" t="s">
        <v>3472</v>
      </c>
      <c r="Q7" s="438">
        <v>10000</v>
      </c>
      <c r="R7" s="438">
        <v>0</v>
      </c>
      <c r="S7" s="438"/>
      <c r="T7" s="438">
        <f t="shared" si="0"/>
        <v>-10000</v>
      </c>
      <c r="U7" s="440" t="s">
        <v>3473</v>
      </c>
    </row>
    <row r="8" spans="1:21" ht="28">
      <c r="A8" s="1081"/>
      <c r="B8" s="1081"/>
      <c r="C8" s="1081"/>
      <c r="D8" s="1081"/>
      <c r="E8" s="1081"/>
      <c r="F8" s="1081"/>
      <c r="G8" s="1081"/>
      <c r="H8" s="1081"/>
      <c r="I8" s="1081"/>
      <c r="J8" s="1081"/>
      <c r="K8" s="1081"/>
      <c r="L8" s="1081"/>
      <c r="M8" s="1081"/>
      <c r="N8" s="1081"/>
      <c r="O8" s="432" t="s">
        <v>3474</v>
      </c>
      <c r="P8" s="441" t="s">
        <v>3475</v>
      </c>
      <c r="Q8" s="438">
        <v>2500</v>
      </c>
      <c r="R8" s="438">
        <v>0</v>
      </c>
      <c r="S8" s="438"/>
      <c r="T8" s="438">
        <f t="shared" si="0"/>
        <v>-2500</v>
      </c>
      <c r="U8" s="432"/>
    </row>
    <row r="9" spans="1:21">
      <c r="A9" s="1081"/>
      <c r="B9" s="1081"/>
      <c r="C9" s="1081"/>
      <c r="D9" s="1081"/>
      <c r="E9" s="1081"/>
      <c r="F9" s="1081"/>
      <c r="G9" s="1081"/>
      <c r="H9" s="1081"/>
      <c r="I9" s="1081"/>
      <c r="J9" s="1081"/>
      <c r="K9" s="1081"/>
      <c r="L9" s="1081"/>
      <c r="M9" s="1081"/>
      <c r="N9" s="1081"/>
      <c r="O9" s="432" t="s">
        <v>3476</v>
      </c>
      <c r="P9" s="432" t="s">
        <v>3477</v>
      </c>
      <c r="Q9" s="438">
        <v>1450000</v>
      </c>
      <c r="R9" s="438">
        <v>2375000</v>
      </c>
      <c r="S9" s="438"/>
      <c r="T9" s="438">
        <f t="shared" si="0"/>
        <v>925000</v>
      </c>
      <c r="U9" s="432"/>
    </row>
    <row r="10" spans="1:21" ht="28">
      <c r="A10" s="1081"/>
      <c r="B10" s="1081"/>
      <c r="C10" s="1081"/>
      <c r="D10" s="1081"/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433" t="s">
        <v>3478</v>
      </c>
      <c r="P10" s="434"/>
      <c r="Q10" s="442"/>
      <c r="R10" s="442"/>
      <c r="S10" s="442"/>
      <c r="T10" s="442"/>
      <c r="U10" s="434"/>
    </row>
    <row r="11" spans="1:21" ht="42">
      <c r="A11" s="1081"/>
      <c r="B11" s="1081"/>
      <c r="C11" s="1081"/>
      <c r="D11" s="1081"/>
      <c r="E11" s="1081"/>
      <c r="F11" s="1081"/>
      <c r="G11" s="1081"/>
      <c r="H11" s="1081"/>
      <c r="I11" s="1081"/>
      <c r="J11" s="1081"/>
      <c r="K11" s="1081"/>
      <c r="L11" s="1081"/>
      <c r="M11" s="1081"/>
      <c r="N11" s="1081"/>
      <c r="O11" s="432" t="s">
        <v>3479</v>
      </c>
      <c r="P11" s="432" t="s">
        <v>3477</v>
      </c>
      <c r="Q11" s="443">
        <v>765900</v>
      </c>
      <c r="R11" s="443">
        <v>765900</v>
      </c>
      <c r="S11" s="438"/>
      <c r="T11" s="438">
        <f t="shared" ref="T11:T15" si="1">R11-Q11</f>
        <v>0</v>
      </c>
      <c r="U11" s="1080" t="s">
        <v>3480</v>
      </c>
    </row>
    <row r="12" spans="1:21" ht="28">
      <c r="A12" s="1081"/>
      <c r="B12" s="1081"/>
      <c r="C12" s="1081"/>
      <c r="D12" s="1081"/>
      <c r="E12" s="1081"/>
      <c r="F12" s="1081"/>
      <c r="G12" s="1081"/>
      <c r="H12" s="1081"/>
      <c r="I12" s="1081"/>
      <c r="J12" s="1081"/>
      <c r="K12" s="1081"/>
      <c r="L12" s="1081"/>
      <c r="M12" s="1081"/>
      <c r="N12" s="1081"/>
      <c r="O12" s="432" t="s">
        <v>3481</v>
      </c>
      <c r="P12" s="1080" t="s">
        <v>3472</v>
      </c>
      <c r="Q12" s="443">
        <v>371396</v>
      </c>
      <c r="R12" s="443">
        <v>371396</v>
      </c>
      <c r="S12" s="438"/>
      <c r="T12" s="438">
        <f t="shared" si="1"/>
        <v>0</v>
      </c>
      <c r="U12" s="1080"/>
    </row>
    <row r="13" spans="1:21" ht="28">
      <c r="A13" s="1081"/>
      <c r="B13" s="1081"/>
      <c r="C13" s="1081"/>
      <c r="D13" s="1081"/>
      <c r="E13" s="1081"/>
      <c r="F13" s="1081"/>
      <c r="G13" s="1081"/>
      <c r="H13" s="1081"/>
      <c r="I13" s="1081"/>
      <c r="J13" s="1081"/>
      <c r="K13" s="1081"/>
      <c r="L13" s="1081"/>
      <c r="M13" s="1081"/>
      <c r="N13" s="1081"/>
      <c r="O13" s="432" t="s">
        <v>3482</v>
      </c>
      <c r="P13" s="1080"/>
      <c r="Q13" s="443">
        <v>1606320</v>
      </c>
      <c r="R13" s="443">
        <v>1606320</v>
      </c>
      <c r="S13" s="438"/>
      <c r="T13" s="438">
        <f t="shared" si="1"/>
        <v>0</v>
      </c>
      <c r="U13" s="1080"/>
    </row>
    <row r="14" spans="1:21">
      <c r="A14" s="1081"/>
      <c r="B14" s="1081"/>
      <c r="C14" s="1081"/>
      <c r="D14" s="1081"/>
      <c r="E14" s="1081"/>
      <c r="F14" s="1081"/>
      <c r="G14" s="1081"/>
      <c r="H14" s="1081"/>
      <c r="I14" s="1081"/>
      <c r="J14" s="1081"/>
      <c r="K14" s="1081"/>
      <c r="L14" s="1081"/>
      <c r="M14" s="1081"/>
      <c r="N14" s="1081"/>
      <c r="O14" s="432" t="s">
        <v>3483</v>
      </c>
      <c r="P14" s="432" t="s">
        <v>3477</v>
      </c>
      <c r="Q14" s="443">
        <v>36000</v>
      </c>
      <c r="R14" s="443">
        <v>36000</v>
      </c>
      <c r="S14" s="438"/>
      <c r="T14" s="438">
        <f t="shared" si="1"/>
        <v>0</v>
      </c>
      <c r="U14" s="1080"/>
    </row>
    <row r="15" spans="1:21" ht="28">
      <c r="A15" s="1081"/>
      <c r="B15" s="1081"/>
      <c r="C15" s="1081"/>
      <c r="D15" s="1081"/>
      <c r="E15" s="1081"/>
      <c r="F15" s="1081"/>
      <c r="G15" s="1081"/>
      <c r="H15" s="1081"/>
      <c r="I15" s="1081"/>
      <c r="J15" s="1081"/>
      <c r="K15" s="1081"/>
      <c r="L15" s="1081"/>
      <c r="M15" s="1081"/>
      <c r="N15" s="1081"/>
      <c r="O15" s="432" t="s">
        <v>3484</v>
      </c>
      <c r="P15" s="432" t="s">
        <v>3477</v>
      </c>
      <c r="Q15" s="443">
        <v>300000</v>
      </c>
      <c r="R15" s="443">
        <v>300000</v>
      </c>
      <c r="S15" s="438"/>
      <c r="T15" s="438">
        <f t="shared" si="1"/>
        <v>0</v>
      </c>
      <c r="U15" s="1080"/>
    </row>
    <row r="16" spans="1:21">
      <c r="A16" s="1081"/>
      <c r="B16" s="1081"/>
      <c r="C16" s="1081"/>
      <c r="D16" s="1081"/>
      <c r="E16" s="1081"/>
      <c r="F16" s="1081"/>
      <c r="G16" s="1081"/>
      <c r="H16" s="1081"/>
      <c r="I16" s="1081"/>
      <c r="J16" s="1081"/>
      <c r="K16" s="1081"/>
      <c r="L16" s="1081"/>
      <c r="M16" s="1081"/>
      <c r="N16" s="1081"/>
      <c r="O16" s="1089" t="s">
        <v>3242</v>
      </c>
      <c r="P16" s="1089"/>
      <c r="Q16" s="1087">
        <f>SUM(Q5:Q15)</f>
        <v>4767116</v>
      </c>
      <c r="R16" s="444">
        <f>SUM(R5:R15)</f>
        <v>6054616</v>
      </c>
      <c r="S16" s="444">
        <v>0</v>
      </c>
      <c r="T16" s="444">
        <f>SUM(T5:T9)</f>
        <v>1287500</v>
      </c>
      <c r="U16" s="440" t="s">
        <v>3485</v>
      </c>
    </row>
    <row r="17" spans="1:21" ht="13.4" customHeight="1">
      <c r="A17" s="1082"/>
      <c r="B17" s="1082"/>
      <c r="C17" s="1082"/>
      <c r="D17" s="1082"/>
      <c r="E17" s="1082"/>
      <c r="F17" s="1082"/>
      <c r="G17" s="1082"/>
      <c r="H17" s="1082"/>
      <c r="I17" s="1082"/>
      <c r="J17" s="1082"/>
      <c r="K17" s="1082"/>
      <c r="L17" s="1082"/>
      <c r="M17" s="1082"/>
      <c r="N17" s="1082"/>
      <c r="O17" s="1089"/>
      <c r="P17" s="1089"/>
      <c r="Q17" s="1094"/>
      <c r="R17" s="1087">
        <f>R16-S16</f>
        <v>6054616</v>
      </c>
      <c r="S17" s="1088"/>
      <c r="T17" s="444"/>
      <c r="U17" s="445">
        <v>6052116</v>
      </c>
    </row>
    <row r="18" spans="1:21" ht="25" customHeight="1">
      <c r="A18" s="1080">
        <v>2</v>
      </c>
      <c r="B18" s="1080" t="s">
        <v>2755</v>
      </c>
      <c r="C18" s="1080" t="s">
        <v>3486</v>
      </c>
      <c r="D18" s="1080" t="s">
        <v>3487</v>
      </c>
      <c r="E18" s="1080" t="s">
        <v>2752</v>
      </c>
      <c r="F18" s="1080" t="s">
        <v>71</v>
      </c>
      <c r="G18" s="1080" t="s">
        <v>2754</v>
      </c>
      <c r="H18" s="1080" t="s">
        <v>3488</v>
      </c>
      <c r="I18" s="1080" t="s">
        <v>3489</v>
      </c>
      <c r="J18" s="1083">
        <v>45223</v>
      </c>
      <c r="K18" s="1083">
        <v>45213</v>
      </c>
      <c r="L18" s="1083">
        <v>45223</v>
      </c>
      <c r="M18" s="1083" t="s">
        <v>3490</v>
      </c>
      <c r="N18" s="1080" t="s">
        <v>2336</v>
      </c>
      <c r="O18" s="433" t="s">
        <v>3466</v>
      </c>
      <c r="P18" s="434"/>
      <c r="Q18" s="435"/>
      <c r="R18" s="436"/>
      <c r="S18" s="437"/>
      <c r="T18" s="436"/>
      <c r="U18" s="434"/>
    </row>
    <row r="19" spans="1:21" ht="25" customHeight="1">
      <c r="A19" s="1081"/>
      <c r="B19" s="1081"/>
      <c r="C19" s="1081"/>
      <c r="D19" s="1081"/>
      <c r="E19" s="1081"/>
      <c r="F19" s="1081"/>
      <c r="G19" s="1081"/>
      <c r="H19" s="1081"/>
      <c r="I19" s="1081"/>
      <c r="J19" s="1081"/>
      <c r="K19" s="1081"/>
      <c r="L19" s="1081"/>
      <c r="M19" s="1081"/>
      <c r="N19" s="1081"/>
      <c r="O19" s="432" t="s">
        <v>3491</v>
      </c>
      <c r="P19" s="1080" t="s">
        <v>2760</v>
      </c>
      <c r="Q19" s="438">
        <v>200000</v>
      </c>
      <c r="R19" s="438">
        <v>450000</v>
      </c>
      <c r="S19" s="438">
        <f t="shared" ref="S19:S27" si="2">R19*2/100</f>
        <v>9000</v>
      </c>
      <c r="T19" s="438">
        <f t="shared" ref="T19:T27" si="3">R19-Q19</f>
        <v>250000</v>
      </c>
      <c r="U19" s="439" t="s">
        <v>3492</v>
      </c>
    </row>
    <row r="20" spans="1:21" ht="28">
      <c r="A20" s="1081"/>
      <c r="B20" s="1081"/>
      <c r="C20" s="1081"/>
      <c r="D20" s="1081"/>
      <c r="E20" s="1081"/>
      <c r="F20" s="1081"/>
      <c r="G20" s="1081"/>
      <c r="H20" s="1081"/>
      <c r="I20" s="1081"/>
      <c r="J20" s="1081"/>
      <c r="K20" s="1081"/>
      <c r="L20" s="1081"/>
      <c r="M20" s="1081"/>
      <c r="N20" s="1081"/>
      <c r="O20" s="432" t="s">
        <v>3493</v>
      </c>
      <c r="P20" s="1081"/>
      <c r="Q20" s="438">
        <v>0</v>
      </c>
      <c r="R20" s="438">
        <v>60000</v>
      </c>
      <c r="S20" s="438">
        <f t="shared" si="2"/>
        <v>1200</v>
      </c>
      <c r="T20" s="438">
        <f t="shared" si="3"/>
        <v>60000</v>
      </c>
      <c r="U20" s="432" t="s">
        <v>3494</v>
      </c>
    </row>
    <row r="21" spans="1:21">
      <c r="A21" s="1081"/>
      <c r="B21" s="1081"/>
      <c r="C21" s="1081"/>
      <c r="D21" s="1081"/>
      <c r="E21" s="1081"/>
      <c r="F21" s="1081"/>
      <c r="G21" s="1081"/>
      <c r="H21" s="1081"/>
      <c r="I21" s="1081"/>
      <c r="J21" s="1081"/>
      <c r="K21" s="1081"/>
      <c r="L21" s="1081"/>
      <c r="M21" s="1081"/>
      <c r="N21" s="1081"/>
      <c r="O21" s="432" t="s">
        <v>3470</v>
      </c>
      <c r="P21" s="1081"/>
      <c r="Q21" s="438">
        <v>200000</v>
      </c>
      <c r="R21" s="438">
        <v>350000</v>
      </c>
      <c r="S21" s="438">
        <f t="shared" si="2"/>
        <v>7000</v>
      </c>
      <c r="T21" s="438">
        <f t="shared" si="3"/>
        <v>150000</v>
      </c>
      <c r="U21" s="432" t="s">
        <v>3377</v>
      </c>
    </row>
    <row r="22" spans="1:21" ht="42">
      <c r="A22" s="1081"/>
      <c r="B22" s="1081"/>
      <c r="C22" s="1081"/>
      <c r="D22" s="1081"/>
      <c r="E22" s="1081"/>
      <c r="F22" s="1081"/>
      <c r="G22" s="1081"/>
      <c r="H22" s="1081"/>
      <c r="I22" s="1081"/>
      <c r="J22" s="1081"/>
      <c r="K22" s="1081"/>
      <c r="L22" s="1081"/>
      <c r="M22" s="1081"/>
      <c r="N22" s="1081"/>
      <c r="O22" s="432" t="s">
        <v>3495</v>
      </c>
      <c r="P22" s="1081"/>
      <c r="Q22" s="438">
        <v>2500000</v>
      </c>
      <c r="R22" s="438">
        <v>3550000</v>
      </c>
      <c r="S22" s="438">
        <f t="shared" si="2"/>
        <v>71000</v>
      </c>
      <c r="T22" s="438">
        <f t="shared" si="3"/>
        <v>1050000</v>
      </c>
      <c r="U22" s="432"/>
    </row>
    <row r="23" spans="1:21" ht="56">
      <c r="A23" s="1081"/>
      <c r="B23" s="1081"/>
      <c r="C23" s="1081"/>
      <c r="D23" s="1081"/>
      <c r="E23" s="1081"/>
      <c r="F23" s="1081"/>
      <c r="G23" s="1081"/>
      <c r="H23" s="1081"/>
      <c r="I23" s="1081"/>
      <c r="J23" s="1081"/>
      <c r="K23" s="1081"/>
      <c r="L23" s="1081"/>
      <c r="M23" s="1081"/>
      <c r="N23" s="1081"/>
      <c r="O23" s="432" t="s">
        <v>3496</v>
      </c>
      <c r="P23" s="1081"/>
      <c r="Q23" s="438">
        <v>0</v>
      </c>
      <c r="R23" s="438">
        <v>950000</v>
      </c>
      <c r="S23" s="438">
        <f t="shared" si="2"/>
        <v>19000</v>
      </c>
      <c r="T23" s="438">
        <f t="shared" si="3"/>
        <v>950000</v>
      </c>
      <c r="U23" s="432"/>
    </row>
    <row r="24" spans="1:21" ht="42">
      <c r="A24" s="1081"/>
      <c r="B24" s="1081"/>
      <c r="C24" s="1081"/>
      <c r="D24" s="1081"/>
      <c r="E24" s="1081"/>
      <c r="F24" s="1081"/>
      <c r="G24" s="1081"/>
      <c r="H24" s="1081"/>
      <c r="I24" s="1081"/>
      <c r="J24" s="1081"/>
      <c r="K24" s="1081"/>
      <c r="L24" s="1081"/>
      <c r="M24" s="1081"/>
      <c r="N24" s="1081"/>
      <c r="O24" s="432" t="s">
        <v>3497</v>
      </c>
      <c r="P24" s="1081"/>
      <c r="Q24" s="438">
        <v>660000</v>
      </c>
      <c r="R24" s="438">
        <v>1575000</v>
      </c>
      <c r="S24" s="438">
        <f t="shared" si="2"/>
        <v>31500</v>
      </c>
      <c r="T24" s="438">
        <f t="shared" si="3"/>
        <v>915000</v>
      </c>
      <c r="U24" s="432"/>
    </row>
    <row r="25" spans="1:21" ht="42">
      <c r="A25" s="1081"/>
      <c r="B25" s="1081"/>
      <c r="C25" s="1081"/>
      <c r="D25" s="1081"/>
      <c r="E25" s="1081"/>
      <c r="F25" s="1081"/>
      <c r="G25" s="1081"/>
      <c r="H25" s="1081"/>
      <c r="I25" s="1081"/>
      <c r="J25" s="1081"/>
      <c r="K25" s="1081"/>
      <c r="L25" s="1081"/>
      <c r="M25" s="1081"/>
      <c r="N25" s="1081"/>
      <c r="O25" s="432" t="s">
        <v>3498</v>
      </c>
      <c r="P25" s="1081"/>
      <c r="Q25" s="438">
        <v>550000</v>
      </c>
      <c r="R25" s="438">
        <v>850000</v>
      </c>
      <c r="S25" s="438">
        <f t="shared" si="2"/>
        <v>17000</v>
      </c>
      <c r="T25" s="438">
        <f t="shared" si="3"/>
        <v>300000</v>
      </c>
      <c r="U25" s="432"/>
    </row>
    <row r="26" spans="1:21" ht="42">
      <c r="A26" s="1081"/>
      <c r="B26" s="1081"/>
      <c r="C26" s="1081"/>
      <c r="D26" s="1081"/>
      <c r="E26" s="1081"/>
      <c r="F26" s="1081"/>
      <c r="G26" s="1081"/>
      <c r="H26" s="1081"/>
      <c r="I26" s="1081"/>
      <c r="J26" s="1081"/>
      <c r="K26" s="1081"/>
      <c r="L26" s="1081"/>
      <c r="M26" s="1081"/>
      <c r="N26" s="1081"/>
      <c r="O26" s="432" t="s">
        <v>3499</v>
      </c>
      <c r="P26" s="1082"/>
      <c r="Q26" s="438">
        <v>30000</v>
      </c>
      <c r="R26" s="438">
        <v>250000</v>
      </c>
      <c r="S26" s="438">
        <f t="shared" si="2"/>
        <v>5000</v>
      </c>
      <c r="T26" s="438">
        <f t="shared" si="3"/>
        <v>220000</v>
      </c>
      <c r="U26" s="432"/>
    </row>
    <row r="27" spans="1:21" ht="28">
      <c r="A27" s="1081"/>
      <c r="B27" s="1081"/>
      <c r="C27" s="1081"/>
      <c r="D27" s="1081"/>
      <c r="E27" s="1081"/>
      <c r="F27" s="1081"/>
      <c r="G27" s="1081"/>
      <c r="H27" s="1081"/>
      <c r="I27" s="1081"/>
      <c r="J27" s="1081"/>
      <c r="K27" s="1081"/>
      <c r="L27" s="1081"/>
      <c r="M27" s="1081"/>
      <c r="N27" s="1081"/>
      <c r="O27" s="432" t="s">
        <v>3500</v>
      </c>
      <c r="P27" s="441" t="s">
        <v>3472</v>
      </c>
      <c r="Q27" s="438">
        <v>100000</v>
      </c>
      <c r="R27" s="438">
        <v>0</v>
      </c>
      <c r="S27" s="438">
        <f t="shared" si="2"/>
        <v>0</v>
      </c>
      <c r="T27" s="438">
        <f t="shared" si="3"/>
        <v>-100000</v>
      </c>
      <c r="U27" s="432"/>
    </row>
    <row r="28" spans="1:21" ht="28">
      <c r="A28" s="1081"/>
      <c r="B28" s="1081"/>
      <c r="C28" s="1081"/>
      <c r="D28" s="1081"/>
      <c r="E28" s="1081"/>
      <c r="F28" s="1081"/>
      <c r="G28" s="1081"/>
      <c r="H28" s="1081"/>
      <c r="I28" s="1081"/>
      <c r="J28" s="1081"/>
      <c r="K28" s="1081"/>
      <c r="L28" s="1081"/>
      <c r="M28" s="1081"/>
      <c r="N28" s="1081"/>
      <c r="O28" s="433" t="s">
        <v>3478</v>
      </c>
      <c r="P28" s="434"/>
      <c r="Q28" s="442"/>
      <c r="R28" s="442"/>
      <c r="S28" s="442"/>
      <c r="T28" s="442"/>
      <c r="U28" s="442"/>
    </row>
    <row r="29" spans="1:21" ht="28">
      <c r="A29" s="1081"/>
      <c r="B29" s="1081"/>
      <c r="C29" s="1081"/>
      <c r="D29" s="1081"/>
      <c r="E29" s="1081"/>
      <c r="F29" s="1081"/>
      <c r="G29" s="1081"/>
      <c r="H29" s="1081"/>
      <c r="I29" s="1081"/>
      <c r="J29" s="1081"/>
      <c r="K29" s="1081"/>
      <c r="L29" s="1081"/>
      <c r="M29" s="1081"/>
      <c r="N29" s="1081"/>
      <c r="O29" s="432" t="s">
        <v>3501</v>
      </c>
      <c r="P29" s="1080" t="s">
        <v>2760</v>
      </c>
      <c r="Q29" s="438">
        <v>2544051</v>
      </c>
      <c r="R29" s="438">
        <v>2544051</v>
      </c>
      <c r="S29" s="438">
        <v>0</v>
      </c>
      <c r="T29" s="438">
        <f t="shared" ref="T29:T32" si="4">R29-Q29</f>
        <v>0</v>
      </c>
      <c r="U29" s="1080" t="s">
        <v>3480</v>
      </c>
    </row>
    <row r="30" spans="1:21" ht="42">
      <c r="A30" s="1081"/>
      <c r="B30" s="1081"/>
      <c r="C30" s="1081"/>
      <c r="D30" s="1081"/>
      <c r="E30" s="1081"/>
      <c r="F30" s="1081"/>
      <c r="G30" s="1081"/>
      <c r="H30" s="1081"/>
      <c r="I30" s="1081"/>
      <c r="J30" s="1081"/>
      <c r="K30" s="1081"/>
      <c r="L30" s="1081"/>
      <c r="M30" s="1081"/>
      <c r="N30" s="1081"/>
      <c r="O30" s="432" t="s">
        <v>3479</v>
      </c>
      <c r="P30" s="1080"/>
      <c r="Q30" s="438">
        <v>466200</v>
      </c>
      <c r="R30" s="438">
        <v>466200</v>
      </c>
      <c r="S30" s="438">
        <v>0</v>
      </c>
      <c r="T30" s="438">
        <f t="shared" si="4"/>
        <v>0</v>
      </c>
      <c r="U30" s="1080"/>
    </row>
    <row r="31" spans="1:21">
      <c r="A31" s="1081"/>
      <c r="B31" s="1081"/>
      <c r="C31" s="1081"/>
      <c r="D31" s="1081"/>
      <c r="E31" s="1081"/>
      <c r="F31" s="1081"/>
      <c r="G31" s="1081"/>
      <c r="H31" s="1081"/>
      <c r="I31" s="1081"/>
      <c r="J31" s="1081"/>
      <c r="K31" s="1081"/>
      <c r="L31" s="1081"/>
      <c r="M31" s="1081"/>
      <c r="N31" s="1081"/>
      <c r="O31" s="432" t="s">
        <v>3502</v>
      </c>
      <c r="P31" s="1080"/>
      <c r="Q31" s="438">
        <v>1995780</v>
      </c>
      <c r="R31" s="438">
        <v>1995780</v>
      </c>
      <c r="S31" s="438">
        <v>0</v>
      </c>
      <c r="T31" s="438">
        <f t="shared" si="4"/>
        <v>0</v>
      </c>
      <c r="U31" s="1080"/>
    </row>
    <row r="32" spans="1:21" ht="28">
      <c r="A32" s="1081"/>
      <c r="B32" s="1081"/>
      <c r="C32" s="1081"/>
      <c r="D32" s="1081"/>
      <c r="E32" s="1081"/>
      <c r="F32" s="1081"/>
      <c r="G32" s="1081"/>
      <c r="H32" s="1081"/>
      <c r="I32" s="1081"/>
      <c r="J32" s="1081"/>
      <c r="K32" s="1081"/>
      <c r="L32" s="1081"/>
      <c r="M32" s="1081"/>
      <c r="N32" s="1081"/>
      <c r="O32" s="432" t="s">
        <v>3503</v>
      </c>
      <c r="P32" s="1080"/>
      <c r="Q32" s="438">
        <v>15857820</v>
      </c>
      <c r="R32" s="438">
        <v>15857820</v>
      </c>
      <c r="S32" s="438">
        <v>0</v>
      </c>
      <c r="T32" s="438">
        <f t="shared" si="4"/>
        <v>0</v>
      </c>
      <c r="U32" s="1080"/>
    </row>
    <row r="33" spans="1:21">
      <c r="A33" s="1081"/>
      <c r="B33" s="1081"/>
      <c r="C33" s="1081"/>
      <c r="D33" s="1081"/>
      <c r="E33" s="1081"/>
      <c r="F33" s="1081"/>
      <c r="G33" s="1081"/>
      <c r="H33" s="1081"/>
      <c r="I33" s="1081"/>
      <c r="J33" s="1081"/>
      <c r="K33" s="1081"/>
      <c r="L33" s="1081"/>
      <c r="M33" s="1081"/>
      <c r="N33" s="1081"/>
      <c r="O33" s="432" t="s">
        <v>3504</v>
      </c>
      <c r="P33" s="1080"/>
      <c r="Q33" s="438">
        <v>27750</v>
      </c>
      <c r="R33" s="438">
        <v>27750</v>
      </c>
      <c r="S33" s="438">
        <v>0</v>
      </c>
      <c r="T33" s="438">
        <f t="shared" ref="T33:T41" si="5">R33-Q33</f>
        <v>0</v>
      </c>
      <c r="U33" s="1080"/>
    </row>
    <row r="34" spans="1:21" ht="28">
      <c r="A34" s="1081"/>
      <c r="B34" s="1081"/>
      <c r="C34" s="1081"/>
      <c r="D34" s="1081"/>
      <c r="E34" s="1081"/>
      <c r="F34" s="1081"/>
      <c r="G34" s="1081"/>
      <c r="H34" s="1081"/>
      <c r="I34" s="1081"/>
      <c r="J34" s="1081"/>
      <c r="K34" s="1081"/>
      <c r="L34" s="1081"/>
      <c r="M34" s="1081"/>
      <c r="N34" s="1081"/>
      <c r="O34" s="432" t="s">
        <v>3505</v>
      </c>
      <c r="P34" s="1080"/>
      <c r="Q34" s="438">
        <v>10000</v>
      </c>
      <c r="R34" s="438">
        <v>10000</v>
      </c>
      <c r="S34" s="438">
        <v>0</v>
      </c>
      <c r="T34" s="438">
        <f t="shared" si="5"/>
        <v>0</v>
      </c>
      <c r="U34" s="1080"/>
    </row>
    <row r="35" spans="1:21" ht="13.4" customHeight="1">
      <c r="A35" s="1081"/>
      <c r="B35" s="1081"/>
      <c r="C35" s="1081"/>
      <c r="D35" s="1081"/>
      <c r="E35" s="1081"/>
      <c r="F35" s="1081"/>
      <c r="G35" s="1081"/>
      <c r="H35" s="1081"/>
      <c r="I35" s="1081"/>
      <c r="J35" s="1081"/>
      <c r="K35" s="1081"/>
      <c r="L35" s="1081"/>
      <c r="M35" s="1081"/>
      <c r="N35" s="1081"/>
      <c r="O35" s="1089" t="s">
        <v>3242</v>
      </c>
      <c r="P35" s="1089"/>
      <c r="Q35" s="1087">
        <f t="shared" ref="Q35:T35" si="6">SUM(Q19:Q34)</f>
        <v>25141601</v>
      </c>
      <c r="R35" s="444">
        <f t="shared" si="6"/>
        <v>28936601</v>
      </c>
      <c r="S35" s="444">
        <f t="shared" si="6"/>
        <v>160700</v>
      </c>
      <c r="T35" s="444">
        <f t="shared" si="6"/>
        <v>3795000</v>
      </c>
      <c r="U35" s="440"/>
    </row>
    <row r="36" spans="1:21" ht="13.4" customHeight="1">
      <c r="A36" s="1082"/>
      <c r="B36" s="1082"/>
      <c r="C36" s="1082"/>
      <c r="D36" s="1082"/>
      <c r="E36" s="1082"/>
      <c r="F36" s="1082"/>
      <c r="G36" s="1082"/>
      <c r="H36" s="1082"/>
      <c r="I36" s="1082"/>
      <c r="J36" s="1082"/>
      <c r="K36" s="1082"/>
      <c r="L36" s="1082"/>
      <c r="M36" s="1082"/>
      <c r="N36" s="1082"/>
      <c r="O36" s="1089"/>
      <c r="P36" s="1089"/>
      <c r="Q36" s="1094"/>
      <c r="R36" s="1087">
        <v>6319040</v>
      </c>
      <c r="S36" s="1088"/>
      <c r="T36" s="444">
        <f>T35-S35</f>
        <v>3634300</v>
      </c>
      <c r="U36" s="440"/>
    </row>
    <row r="37" spans="1:21" ht="50.15" customHeight="1">
      <c r="A37" s="1080">
        <v>3</v>
      </c>
      <c r="B37" s="1080" t="s">
        <v>2767</v>
      </c>
      <c r="C37" s="1080" t="s">
        <v>3506</v>
      </c>
      <c r="D37" s="1080" t="s">
        <v>3507</v>
      </c>
      <c r="E37" s="1080" t="s">
        <v>2764</v>
      </c>
      <c r="F37" s="1080" t="s">
        <v>3508</v>
      </c>
      <c r="G37" s="1080" t="s">
        <v>3509</v>
      </c>
      <c r="H37" s="1080" t="s">
        <v>3510</v>
      </c>
      <c r="I37" s="1080" t="s">
        <v>3511</v>
      </c>
      <c r="J37" s="1083">
        <v>45218</v>
      </c>
      <c r="K37" s="1080" t="s">
        <v>3512</v>
      </c>
      <c r="L37" s="1080" t="s">
        <v>40</v>
      </c>
      <c r="M37" s="1080" t="s">
        <v>40</v>
      </c>
      <c r="N37" s="1080" t="s">
        <v>3513</v>
      </c>
      <c r="O37" s="432" t="s">
        <v>3514</v>
      </c>
      <c r="P37" s="1080" t="s">
        <v>3515</v>
      </c>
      <c r="Q37" s="438">
        <v>7048145</v>
      </c>
      <c r="R37" s="438">
        <v>1065300</v>
      </c>
      <c r="S37" s="438"/>
      <c r="T37" s="438">
        <f t="shared" si="5"/>
        <v>-5982845</v>
      </c>
      <c r="U37" s="432" t="s">
        <v>3516</v>
      </c>
    </row>
    <row r="38" spans="1:21" ht="42">
      <c r="A38" s="1081"/>
      <c r="B38" s="1081"/>
      <c r="C38" s="1081"/>
      <c r="D38" s="1081"/>
      <c r="E38" s="1081"/>
      <c r="F38" s="1081"/>
      <c r="G38" s="1081"/>
      <c r="H38" s="1081"/>
      <c r="I38" s="1081"/>
      <c r="J38" s="1081"/>
      <c r="K38" s="1081"/>
      <c r="L38" s="1081"/>
      <c r="M38" s="1081"/>
      <c r="N38" s="1081"/>
      <c r="O38" s="432" t="s">
        <v>3517</v>
      </c>
      <c r="P38" s="1082"/>
      <c r="Q38" s="438">
        <v>80000</v>
      </c>
      <c r="R38" s="438">
        <v>1431000</v>
      </c>
      <c r="S38" s="438"/>
      <c r="T38" s="438">
        <f t="shared" si="5"/>
        <v>1351000</v>
      </c>
      <c r="U38" s="432" t="s">
        <v>3518</v>
      </c>
    </row>
    <row r="39" spans="1:21" ht="42">
      <c r="A39" s="1081"/>
      <c r="B39" s="1081"/>
      <c r="C39" s="1081"/>
      <c r="D39" s="1081"/>
      <c r="E39" s="1081"/>
      <c r="F39" s="1081"/>
      <c r="G39" s="1081"/>
      <c r="H39" s="1081"/>
      <c r="I39" s="1081"/>
      <c r="J39" s="1081"/>
      <c r="K39" s="1081"/>
      <c r="L39" s="1081"/>
      <c r="M39" s="1081"/>
      <c r="N39" s="1081"/>
      <c r="O39" s="432" t="s">
        <v>3519</v>
      </c>
      <c r="P39" s="432"/>
      <c r="Q39" s="438"/>
      <c r="R39" s="438">
        <v>874500</v>
      </c>
      <c r="S39" s="438"/>
      <c r="T39" s="438">
        <f t="shared" si="5"/>
        <v>874500</v>
      </c>
      <c r="U39" s="446" t="s">
        <v>3520</v>
      </c>
    </row>
    <row r="40" spans="1:21" ht="28">
      <c r="A40" s="1081"/>
      <c r="B40" s="1081"/>
      <c r="C40" s="1081"/>
      <c r="D40" s="1081"/>
      <c r="E40" s="1081"/>
      <c r="F40" s="1081"/>
      <c r="G40" s="1081"/>
      <c r="H40" s="1081"/>
      <c r="I40" s="1081"/>
      <c r="J40" s="1081"/>
      <c r="K40" s="1081"/>
      <c r="L40" s="1081"/>
      <c r="M40" s="1081"/>
      <c r="N40" s="1081"/>
      <c r="O40" s="432" t="s">
        <v>3521</v>
      </c>
      <c r="P40" s="447"/>
      <c r="Q40" s="448"/>
      <c r="R40" s="438">
        <v>7234500</v>
      </c>
      <c r="S40" s="438"/>
      <c r="T40" s="438">
        <f t="shared" si="5"/>
        <v>7234500</v>
      </c>
      <c r="U40" s="432"/>
    </row>
    <row r="41" spans="1:21" ht="28">
      <c r="A41" s="1081"/>
      <c r="B41" s="1081"/>
      <c r="C41" s="1081"/>
      <c r="D41" s="1081"/>
      <c r="E41" s="1081"/>
      <c r="F41" s="1081"/>
      <c r="G41" s="1081"/>
      <c r="H41" s="1081"/>
      <c r="I41" s="1081"/>
      <c r="J41" s="1081"/>
      <c r="K41" s="1081"/>
      <c r="L41" s="1081"/>
      <c r="M41" s="1081"/>
      <c r="N41" s="1081"/>
      <c r="O41" s="432" t="s">
        <v>3522</v>
      </c>
      <c r="P41" s="432"/>
      <c r="Q41" s="438"/>
      <c r="R41" s="438">
        <v>7234500</v>
      </c>
      <c r="S41" s="438"/>
      <c r="T41" s="438">
        <f t="shared" si="5"/>
        <v>7234500</v>
      </c>
      <c r="U41" s="432"/>
    </row>
    <row r="42" spans="1:21" ht="28">
      <c r="A42" s="1082"/>
      <c r="B42" s="1082"/>
      <c r="C42" s="1082"/>
      <c r="D42" s="1082"/>
      <c r="E42" s="1082"/>
      <c r="F42" s="1082"/>
      <c r="G42" s="1082"/>
      <c r="H42" s="1082"/>
      <c r="I42" s="1082"/>
      <c r="J42" s="1082"/>
      <c r="K42" s="1082"/>
      <c r="L42" s="1082"/>
      <c r="M42" s="1082"/>
      <c r="N42" s="1082"/>
      <c r="O42" s="1089" t="s">
        <v>3242</v>
      </c>
      <c r="P42" s="1089"/>
      <c r="Q42" s="444">
        <v>7128145</v>
      </c>
      <c r="R42" s="444">
        <v>17839800</v>
      </c>
      <c r="S42" s="444"/>
      <c r="T42" s="444">
        <v>10711655</v>
      </c>
      <c r="U42" s="440" t="s">
        <v>3523</v>
      </c>
    </row>
    <row r="43" spans="1:21" ht="25" customHeight="1">
      <c r="A43" s="1080">
        <v>4</v>
      </c>
      <c r="B43" s="1080" t="s">
        <v>2772</v>
      </c>
      <c r="C43" s="1080" t="s">
        <v>3486</v>
      </c>
      <c r="D43" s="1080" t="s">
        <v>3487</v>
      </c>
      <c r="E43" s="1080" t="s">
        <v>2770</v>
      </c>
      <c r="F43" s="1080" t="s">
        <v>71</v>
      </c>
      <c r="G43" s="1080" t="s">
        <v>2754</v>
      </c>
      <c r="H43" s="1080" t="s">
        <v>3488</v>
      </c>
      <c r="I43" s="1080" t="s">
        <v>3524</v>
      </c>
      <c r="J43" s="1083">
        <v>45229</v>
      </c>
      <c r="K43" s="1083">
        <v>45215</v>
      </c>
      <c r="L43" s="1083">
        <v>45223</v>
      </c>
      <c r="M43" s="1083">
        <v>45225</v>
      </c>
      <c r="N43" s="1080" t="s">
        <v>2336</v>
      </c>
      <c r="O43" s="433" t="s">
        <v>3466</v>
      </c>
      <c r="P43" s="434"/>
      <c r="Q43" s="435"/>
      <c r="R43" s="436"/>
      <c r="S43" s="437"/>
      <c r="T43" s="436"/>
      <c r="U43" s="434"/>
    </row>
    <row r="44" spans="1:21" ht="25" customHeight="1">
      <c r="A44" s="1081"/>
      <c r="B44" s="1081"/>
      <c r="C44" s="1081"/>
      <c r="D44" s="1081"/>
      <c r="E44" s="1081"/>
      <c r="F44" s="1081"/>
      <c r="G44" s="1081"/>
      <c r="H44" s="1081"/>
      <c r="I44" s="1081"/>
      <c r="J44" s="1081"/>
      <c r="K44" s="1081"/>
      <c r="L44" s="1081"/>
      <c r="M44" s="1081"/>
      <c r="N44" s="1081"/>
      <c r="O44" s="432" t="s">
        <v>3491</v>
      </c>
      <c r="P44" s="1080" t="s">
        <v>3525</v>
      </c>
      <c r="Q44" s="438">
        <v>125000</v>
      </c>
      <c r="R44" s="438">
        <v>350000</v>
      </c>
      <c r="S44" s="438">
        <f t="shared" ref="S44:S50" si="7">R44*2/100</f>
        <v>7000</v>
      </c>
      <c r="T44" s="438">
        <f t="shared" ref="T44:T50" si="8">R44-Q44</f>
        <v>225000</v>
      </c>
      <c r="U44" s="439" t="s">
        <v>3526</v>
      </c>
    </row>
    <row r="45" spans="1:21" ht="25" customHeight="1">
      <c r="A45" s="1081"/>
      <c r="B45" s="1081"/>
      <c r="C45" s="1081"/>
      <c r="D45" s="1081"/>
      <c r="E45" s="1081"/>
      <c r="F45" s="1081"/>
      <c r="G45" s="1081"/>
      <c r="H45" s="1081"/>
      <c r="I45" s="1081"/>
      <c r="J45" s="1081"/>
      <c r="K45" s="1081"/>
      <c r="L45" s="1081"/>
      <c r="M45" s="1081"/>
      <c r="N45" s="1081"/>
      <c r="O45" s="432" t="s">
        <v>3527</v>
      </c>
      <c r="P45" s="1093"/>
      <c r="Q45" s="438">
        <v>150000</v>
      </c>
      <c r="R45" s="438">
        <v>0</v>
      </c>
      <c r="S45" s="438">
        <f t="shared" si="7"/>
        <v>0</v>
      </c>
      <c r="T45" s="438">
        <f t="shared" si="8"/>
        <v>-150000</v>
      </c>
      <c r="U45" s="432" t="s">
        <v>2776</v>
      </c>
    </row>
    <row r="46" spans="1:21" ht="28">
      <c r="A46" s="1081"/>
      <c r="B46" s="1081"/>
      <c r="C46" s="1081"/>
      <c r="D46" s="1081"/>
      <c r="E46" s="1081"/>
      <c r="F46" s="1081"/>
      <c r="G46" s="1081"/>
      <c r="H46" s="1081"/>
      <c r="I46" s="1081"/>
      <c r="J46" s="1081"/>
      <c r="K46" s="1081"/>
      <c r="L46" s="1081"/>
      <c r="M46" s="1081"/>
      <c r="N46" s="1081"/>
      <c r="O46" s="432" t="s">
        <v>3493</v>
      </c>
      <c r="P46" s="1081"/>
      <c r="Q46" s="438">
        <v>0</v>
      </c>
      <c r="R46" s="438">
        <v>48000</v>
      </c>
      <c r="S46" s="438">
        <f t="shared" si="7"/>
        <v>960</v>
      </c>
      <c r="T46" s="438">
        <f t="shared" si="8"/>
        <v>48000</v>
      </c>
      <c r="U46" s="432" t="s">
        <v>2758</v>
      </c>
    </row>
    <row r="47" spans="1:21">
      <c r="A47" s="1081"/>
      <c r="B47" s="1081"/>
      <c r="C47" s="1081"/>
      <c r="D47" s="1081"/>
      <c r="E47" s="1081"/>
      <c r="F47" s="1081"/>
      <c r="G47" s="1081"/>
      <c r="H47" s="1081"/>
      <c r="I47" s="1081"/>
      <c r="J47" s="1081"/>
      <c r="K47" s="1081"/>
      <c r="L47" s="1081"/>
      <c r="M47" s="1081"/>
      <c r="N47" s="1081"/>
      <c r="O47" s="432" t="s">
        <v>3470</v>
      </c>
      <c r="P47" s="1082"/>
      <c r="Q47" s="438">
        <v>100000</v>
      </c>
      <c r="R47" s="438">
        <v>300000</v>
      </c>
      <c r="S47" s="438">
        <f t="shared" si="7"/>
        <v>6000</v>
      </c>
      <c r="T47" s="438">
        <f t="shared" si="8"/>
        <v>200000</v>
      </c>
      <c r="U47" s="432"/>
    </row>
    <row r="48" spans="1:21" ht="28">
      <c r="A48" s="1081"/>
      <c r="B48" s="1081"/>
      <c r="C48" s="1081"/>
      <c r="D48" s="1081"/>
      <c r="E48" s="1081"/>
      <c r="F48" s="1081"/>
      <c r="G48" s="1081"/>
      <c r="H48" s="1081"/>
      <c r="I48" s="1081"/>
      <c r="J48" s="1081"/>
      <c r="K48" s="1081"/>
      <c r="L48" s="1081"/>
      <c r="M48" s="1081"/>
      <c r="N48" s="1081"/>
      <c r="O48" s="432" t="s">
        <v>3528</v>
      </c>
      <c r="P48" s="432" t="s">
        <v>3477</v>
      </c>
      <c r="Q48" s="438">
        <v>1500000</v>
      </c>
      <c r="R48" s="438">
        <v>1900000</v>
      </c>
      <c r="S48" s="438">
        <f t="shared" si="7"/>
        <v>38000</v>
      </c>
      <c r="T48" s="438">
        <f t="shared" si="8"/>
        <v>400000</v>
      </c>
      <c r="U48" s="432"/>
    </row>
    <row r="49" spans="1:21" ht="42">
      <c r="A49" s="1081"/>
      <c r="B49" s="1081"/>
      <c r="C49" s="1081"/>
      <c r="D49" s="1081"/>
      <c r="E49" s="1081"/>
      <c r="F49" s="1081"/>
      <c r="G49" s="1081"/>
      <c r="H49" s="1081"/>
      <c r="I49" s="1081"/>
      <c r="J49" s="1081"/>
      <c r="K49" s="1081"/>
      <c r="L49" s="1081"/>
      <c r="M49" s="1081"/>
      <c r="N49" s="1081"/>
      <c r="O49" s="432" t="s">
        <v>3529</v>
      </c>
      <c r="P49" s="432" t="s">
        <v>3530</v>
      </c>
      <c r="Q49" s="438">
        <v>80000</v>
      </c>
      <c r="R49" s="438">
        <v>250000</v>
      </c>
      <c r="S49" s="438">
        <f t="shared" si="7"/>
        <v>5000</v>
      </c>
      <c r="T49" s="438">
        <f t="shared" si="8"/>
        <v>170000</v>
      </c>
      <c r="U49" s="432"/>
    </row>
    <row r="50" spans="1:21" ht="28">
      <c r="A50" s="1081"/>
      <c r="B50" s="1081"/>
      <c r="C50" s="1081"/>
      <c r="D50" s="1081"/>
      <c r="E50" s="1081"/>
      <c r="F50" s="1081"/>
      <c r="G50" s="1081"/>
      <c r="H50" s="1081"/>
      <c r="I50" s="1081"/>
      <c r="J50" s="1081"/>
      <c r="K50" s="1081"/>
      <c r="L50" s="1081"/>
      <c r="M50" s="1081"/>
      <c r="N50" s="1081"/>
      <c r="O50" s="432" t="s">
        <v>3531</v>
      </c>
      <c r="P50" s="432" t="s">
        <v>3532</v>
      </c>
      <c r="Q50" s="438">
        <v>150000</v>
      </c>
      <c r="R50" s="438">
        <v>0</v>
      </c>
      <c r="S50" s="438">
        <f t="shared" si="7"/>
        <v>0</v>
      </c>
      <c r="T50" s="438">
        <f t="shared" si="8"/>
        <v>-150000</v>
      </c>
      <c r="U50" s="432"/>
    </row>
    <row r="51" spans="1:21" ht="28">
      <c r="A51" s="1081"/>
      <c r="B51" s="1081"/>
      <c r="C51" s="1081"/>
      <c r="D51" s="1081"/>
      <c r="E51" s="1081"/>
      <c r="F51" s="1081"/>
      <c r="G51" s="1081"/>
      <c r="H51" s="1081"/>
      <c r="I51" s="1081"/>
      <c r="J51" s="1081"/>
      <c r="K51" s="1081"/>
      <c r="L51" s="1081"/>
      <c r="M51" s="1081"/>
      <c r="N51" s="1081"/>
      <c r="O51" s="433" t="s">
        <v>3478</v>
      </c>
      <c r="P51" s="434"/>
      <c r="Q51" s="442"/>
      <c r="R51" s="442"/>
      <c r="S51" s="442"/>
      <c r="T51" s="442"/>
      <c r="U51" s="434"/>
    </row>
    <row r="52" spans="1:21" ht="42">
      <c r="A52" s="1081"/>
      <c r="B52" s="1081"/>
      <c r="C52" s="1081"/>
      <c r="D52" s="1081"/>
      <c r="E52" s="1081"/>
      <c r="F52" s="1081"/>
      <c r="G52" s="1081"/>
      <c r="H52" s="1081"/>
      <c r="I52" s="1081"/>
      <c r="J52" s="1081"/>
      <c r="K52" s="1081"/>
      <c r="L52" s="1081"/>
      <c r="M52" s="1081"/>
      <c r="N52" s="1081"/>
      <c r="O52" s="432" t="s">
        <v>3479</v>
      </c>
      <c r="P52" s="432" t="s">
        <v>3533</v>
      </c>
      <c r="Q52" s="438">
        <v>699500</v>
      </c>
      <c r="R52" s="438">
        <v>699500</v>
      </c>
      <c r="S52" s="438">
        <v>0</v>
      </c>
      <c r="T52" s="438">
        <f>R52-Q52</f>
        <v>0</v>
      </c>
      <c r="U52" s="1080" t="s">
        <v>3480</v>
      </c>
    </row>
    <row r="53" spans="1:21" ht="28">
      <c r="A53" s="1081"/>
      <c r="B53" s="1081"/>
      <c r="C53" s="1081"/>
      <c r="D53" s="1081"/>
      <c r="E53" s="1081"/>
      <c r="F53" s="1081"/>
      <c r="G53" s="1081"/>
      <c r="H53" s="1081"/>
      <c r="I53" s="1081"/>
      <c r="J53" s="1081"/>
      <c r="K53" s="1081"/>
      <c r="L53" s="1081"/>
      <c r="M53" s="1081"/>
      <c r="N53" s="1081"/>
      <c r="O53" s="432" t="s">
        <v>3534</v>
      </c>
      <c r="P53" s="432" t="s">
        <v>3535</v>
      </c>
      <c r="Q53" s="438">
        <v>2777321</v>
      </c>
      <c r="R53" s="438">
        <v>2777321</v>
      </c>
      <c r="S53" s="438">
        <v>0</v>
      </c>
      <c r="T53" s="438">
        <f>R53-Q53</f>
        <v>0</v>
      </c>
      <c r="U53" s="1080"/>
    </row>
    <row r="54" spans="1:21" ht="28">
      <c r="A54" s="1081"/>
      <c r="B54" s="1081"/>
      <c r="C54" s="1081"/>
      <c r="D54" s="1081"/>
      <c r="E54" s="1081"/>
      <c r="F54" s="1081"/>
      <c r="G54" s="1081"/>
      <c r="H54" s="1081"/>
      <c r="I54" s="1081"/>
      <c r="J54" s="1081"/>
      <c r="K54" s="1081"/>
      <c r="L54" s="1081"/>
      <c r="M54" s="1081"/>
      <c r="N54" s="1081"/>
      <c r="O54" s="432" t="s">
        <v>3482</v>
      </c>
      <c r="P54" s="432" t="s">
        <v>3535</v>
      </c>
      <c r="Q54" s="438">
        <v>1827877</v>
      </c>
      <c r="R54" s="438">
        <v>1827877</v>
      </c>
      <c r="S54" s="438">
        <v>0</v>
      </c>
      <c r="T54" s="438">
        <f t="shared" ref="T54:T63" si="9">R54-Q54</f>
        <v>0</v>
      </c>
      <c r="U54" s="1080"/>
    </row>
    <row r="55" spans="1:21" ht="28">
      <c r="A55" s="1081"/>
      <c r="B55" s="1081"/>
      <c r="C55" s="1081"/>
      <c r="D55" s="1081"/>
      <c r="E55" s="1081"/>
      <c r="F55" s="1081"/>
      <c r="G55" s="1081"/>
      <c r="H55" s="1081"/>
      <c r="I55" s="1081"/>
      <c r="J55" s="1081"/>
      <c r="K55" s="1081"/>
      <c r="L55" s="1081"/>
      <c r="M55" s="1081"/>
      <c r="N55" s="1081"/>
      <c r="O55" s="432" t="s">
        <v>3536</v>
      </c>
      <c r="P55" s="432" t="s">
        <v>3477</v>
      </c>
      <c r="Q55" s="438">
        <v>150000</v>
      </c>
      <c r="R55" s="438">
        <v>150000</v>
      </c>
      <c r="S55" s="438">
        <v>0</v>
      </c>
      <c r="T55" s="438">
        <f t="shared" si="9"/>
        <v>0</v>
      </c>
      <c r="U55" s="1080"/>
    </row>
    <row r="56" spans="1:21" ht="13.4" customHeight="1">
      <c r="A56" s="1081"/>
      <c r="B56" s="1081"/>
      <c r="C56" s="1081"/>
      <c r="D56" s="1081"/>
      <c r="E56" s="1081"/>
      <c r="F56" s="1081"/>
      <c r="G56" s="1081"/>
      <c r="H56" s="1081"/>
      <c r="I56" s="1081"/>
      <c r="J56" s="1081"/>
      <c r="K56" s="1081"/>
      <c r="L56" s="1081"/>
      <c r="M56" s="1081"/>
      <c r="N56" s="1081"/>
      <c r="O56" s="1089" t="s">
        <v>3242</v>
      </c>
      <c r="P56" s="1089"/>
      <c r="Q56" s="1087">
        <f t="shared" ref="Q56:T56" si="10">SUM(Q44:Q55)</f>
        <v>7559698</v>
      </c>
      <c r="R56" s="444">
        <f t="shared" si="10"/>
        <v>8302698</v>
      </c>
      <c r="S56" s="444">
        <f t="shared" si="10"/>
        <v>56960</v>
      </c>
      <c r="T56" s="444">
        <f t="shared" si="10"/>
        <v>743000</v>
      </c>
      <c r="U56" s="440"/>
    </row>
    <row r="57" spans="1:21" ht="13.4" customHeight="1">
      <c r="A57" s="1082"/>
      <c r="B57" s="1082"/>
      <c r="C57" s="1082"/>
      <c r="D57" s="1082"/>
      <c r="E57" s="1082"/>
      <c r="F57" s="1082"/>
      <c r="G57" s="1082"/>
      <c r="H57" s="1082"/>
      <c r="I57" s="1082"/>
      <c r="J57" s="1082"/>
      <c r="K57" s="1082"/>
      <c r="L57" s="1082"/>
      <c r="M57" s="1082"/>
      <c r="N57" s="1082"/>
      <c r="O57" s="1089"/>
      <c r="P57" s="1089"/>
      <c r="Q57" s="1094"/>
      <c r="R57" s="1084">
        <f>R56-S56</f>
        <v>8245738</v>
      </c>
      <c r="S57" s="1085"/>
      <c r="T57" s="444">
        <f>T56-S56</f>
        <v>686040</v>
      </c>
      <c r="U57" s="440"/>
    </row>
    <row r="58" spans="1:21" ht="25" customHeight="1">
      <c r="A58" s="1080">
        <v>5</v>
      </c>
      <c r="B58" s="1080" t="s">
        <v>2779</v>
      </c>
      <c r="C58" s="1080" t="s">
        <v>3486</v>
      </c>
      <c r="D58" s="1080" t="s">
        <v>3487</v>
      </c>
      <c r="E58" s="1080" t="s">
        <v>2777</v>
      </c>
      <c r="F58" s="1080" t="s">
        <v>71</v>
      </c>
      <c r="G58" s="1080" t="s">
        <v>2778</v>
      </c>
      <c r="H58" s="1080" t="s">
        <v>3488</v>
      </c>
      <c r="I58" s="1080" t="s">
        <v>3524</v>
      </c>
      <c r="J58" s="1083">
        <v>45215</v>
      </c>
      <c r="K58" s="1083">
        <v>45230</v>
      </c>
      <c r="L58" s="1083">
        <v>44937</v>
      </c>
      <c r="M58" s="1083">
        <v>44937</v>
      </c>
      <c r="N58" s="1080" t="s">
        <v>2336</v>
      </c>
      <c r="O58" s="433" t="s">
        <v>3466</v>
      </c>
      <c r="P58" s="434"/>
      <c r="Q58" s="435"/>
      <c r="R58" s="436"/>
      <c r="S58" s="437"/>
      <c r="T58" s="436"/>
      <c r="U58" s="434"/>
    </row>
    <row r="59" spans="1:21" ht="25" customHeight="1">
      <c r="A59" s="1081"/>
      <c r="B59" s="1081"/>
      <c r="C59" s="1081"/>
      <c r="D59" s="1081"/>
      <c r="E59" s="1081"/>
      <c r="F59" s="1081"/>
      <c r="G59" s="1081"/>
      <c r="H59" s="1081"/>
      <c r="I59" s="1081"/>
      <c r="J59" s="1081"/>
      <c r="K59" s="1081"/>
      <c r="L59" s="1081"/>
      <c r="M59" s="1081"/>
      <c r="N59" s="1081"/>
      <c r="O59" s="432" t="s">
        <v>3491</v>
      </c>
      <c r="P59" s="1080" t="s">
        <v>3525</v>
      </c>
      <c r="Q59" s="438">
        <v>125000</v>
      </c>
      <c r="R59" s="438">
        <v>350000</v>
      </c>
      <c r="S59" s="438">
        <f t="shared" ref="S59:S63" si="11">R59*2/100</f>
        <v>7000</v>
      </c>
      <c r="T59" s="438">
        <f t="shared" si="9"/>
        <v>225000</v>
      </c>
      <c r="U59" s="439" t="s">
        <v>3537</v>
      </c>
    </row>
    <row r="60" spans="1:21" ht="28">
      <c r="A60" s="1081"/>
      <c r="B60" s="1081"/>
      <c r="C60" s="1081"/>
      <c r="D60" s="1081"/>
      <c r="E60" s="1081"/>
      <c r="F60" s="1081"/>
      <c r="G60" s="1081"/>
      <c r="H60" s="1081"/>
      <c r="I60" s="1081"/>
      <c r="J60" s="1081"/>
      <c r="K60" s="1081"/>
      <c r="L60" s="1081"/>
      <c r="M60" s="1081"/>
      <c r="N60" s="1081"/>
      <c r="O60" s="432" t="s">
        <v>3493</v>
      </c>
      <c r="P60" s="1081"/>
      <c r="Q60" s="438">
        <v>0</v>
      </c>
      <c r="R60" s="438">
        <v>48000</v>
      </c>
      <c r="S60" s="438">
        <f t="shared" si="11"/>
        <v>960</v>
      </c>
      <c r="T60" s="438">
        <f t="shared" si="9"/>
        <v>48000</v>
      </c>
      <c r="U60" s="432"/>
    </row>
    <row r="61" spans="1:21">
      <c r="A61" s="1081"/>
      <c r="B61" s="1081"/>
      <c r="C61" s="1081"/>
      <c r="D61" s="1081"/>
      <c r="E61" s="1081"/>
      <c r="F61" s="1081"/>
      <c r="G61" s="1081"/>
      <c r="H61" s="1081"/>
      <c r="I61" s="1081"/>
      <c r="J61" s="1081"/>
      <c r="K61" s="1081"/>
      <c r="L61" s="1081"/>
      <c r="M61" s="1081"/>
      <c r="N61" s="1081"/>
      <c r="O61" s="432" t="s">
        <v>3470</v>
      </c>
      <c r="P61" s="1082"/>
      <c r="Q61" s="438">
        <v>100000</v>
      </c>
      <c r="R61" s="438">
        <v>300000</v>
      </c>
      <c r="S61" s="438">
        <f t="shared" si="11"/>
        <v>6000</v>
      </c>
      <c r="T61" s="438">
        <f t="shared" si="9"/>
        <v>200000</v>
      </c>
      <c r="U61" s="432"/>
    </row>
    <row r="62" spans="1:21" ht="28">
      <c r="A62" s="1081"/>
      <c r="B62" s="1081"/>
      <c r="C62" s="1081"/>
      <c r="D62" s="1081"/>
      <c r="E62" s="1081"/>
      <c r="F62" s="1081"/>
      <c r="G62" s="1081"/>
      <c r="H62" s="1081"/>
      <c r="I62" s="1081"/>
      <c r="J62" s="1081"/>
      <c r="K62" s="1081"/>
      <c r="L62" s="1081"/>
      <c r="M62" s="1081"/>
      <c r="N62" s="1081"/>
      <c r="O62" s="432" t="s">
        <v>3528</v>
      </c>
      <c r="P62" s="432" t="s">
        <v>3477</v>
      </c>
      <c r="Q62" s="438">
        <v>1500000</v>
      </c>
      <c r="R62" s="438">
        <v>1900000</v>
      </c>
      <c r="S62" s="438">
        <f t="shared" si="11"/>
        <v>38000</v>
      </c>
      <c r="T62" s="438">
        <f t="shared" si="9"/>
        <v>400000</v>
      </c>
      <c r="U62" s="432"/>
    </row>
    <row r="63" spans="1:21" ht="28">
      <c r="A63" s="1081"/>
      <c r="B63" s="1081"/>
      <c r="C63" s="1081"/>
      <c r="D63" s="1081"/>
      <c r="E63" s="1081"/>
      <c r="F63" s="1081"/>
      <c r="G63" s="1081"/>
      <c r="H63" s="1081"/>
      <c r="I63" s="1081"/>
      <c r="J63" s="1081"/>
      <c r="K63" s="1081"/>
      <c r="L63" s="1081"/>
      <c r="M63" s="1081"/>
      <c r="N63" s="1081"/>
      <c r="O63" s="432" t="s">
        <v>3531</v>
      </c>
      <c r="P63" s="432" t="s">
        <v>3532</v>
      </c>
      <c r="Q63" s="438">
        <v>150000</v>
      </c>
      <c r="R63" s="438">
        <v>0</v>
      </c>
      <c r="S63" s="438">
        <f t="shared" si="11"/>
        <v>0</v>
      </c>
      <c r="T63" s="438">
        <f t="shared" si="9"/>
        <v>-150000</v>
      </c>
      <c r="U63" s="432"/>
    </row>
    <row r="64" spans="1:21" ht="28">
      <c r="A64" s="1081"/>
      <c r="B64" s="1081"/>
      <c r="C64" s="1081"/>
      <c r="D64" s="1081"/>
      <c r="E64" s="1081"/>
      <c r="F64" s="1081"/>
      <c r="G64" s="1081"/>
      <c r="H64" s="1081"/>
      <c r="I64" s="1081"/>
      <c r="J64" s="1081"/>
      <c r="K64" s="1081"/>
      <c r="L64" s="1081"/>
      <c r="M64" s="1081"/>
      <c r="N64" s="1081"/>
      <c r="O64" s="433" t="s">
        <v>3478</v>
      </c>
      <c r="P64" s="434"/>
      <c r="Q64" s="442"/>
      <c r="R64" s="442"/>
      <c r="S64" s="442"/>
      <c r="T64" s="442"/>
      <c r="U64" s="442"/>
    </row>
    <row r="65" spans="1:21" ht="28">
      <c r="A65" s="1081"/>
      <c r="B65" s="1081"/>
      <c r="C65" s="1081"/>
      <c r="D65" s="1081"/>
      <c r="E65" s="1081"/>
      <c r="F65" s="1081"/>
      <c r="G65" s="1081"/>
      <c r="H65" s="1081"/>
      <c r="I65" s="1081"/>
      <c r="J65" s="1081"/>
      <c r="K65" s="1081"/>
      <c r="L65" s="1081"/>
      <c r="M65" s="1081"/>
      <c r="N65" s="1081"/>
      <c r="O65" s="432" t="s">
        <v>3479</v>
      </c>
      <c r="P65" s="432" t="s">
        <v>3477</v>
      </c>
      <c r="Q65" s="438">
        <v>699500</v>
      </c>
      <c r="R65" s="438">
        <v>699500</v>
      </c>
      <c r="S65" s="438">
        <v>0</v>
      </c>
      <c r="T65" s="438">
        <f t="shared" ref="T65:T68" si="12">R65-Q65</f>
        <v>0</v>
      </c>
      <c r="U65" s="432"/>
    </row>
    <row r="66" spans="1:21" ht="28">
      <c r="A66" s="1081"/>
      <c r="B66" s="1081"/>
      <c r="C66" s="1081"/>
      <c r="D66" s="1081"/>
      <c r="E66" s="1081"/>
      <c r="F66" s="1081"/>
      <c r="G66" s="1081"/>
      <c r="H66" s="1081"/>
      <c r="I66" s="1081"/>
      <c r="J66" s="1081"/>
      <c r="K66" s="1081"/>
      <c r="L66" s="1081"/>
      <c r="M66" s="1081"/>
      <c r="N66" s="1081"/>
      <c r="O66" s="432" t="s">
        <v>3534</v>
      </c>
      <c r="P66" s="432" t="s">
        <v>3535</v>
      </c>
      <c r="Q66" s="438">
        <v>512921</v>
      </c>
      <c r="R66" s="438">
        <v>512921</v>
      </c>
      <c r="S66" s="438">
        <v>0</v>
      </c>
      <c r="T66" s="438">
        <f t="shared" si="12"/>
        <v>0</v>
      </c>
      <c r="U66" s="432"/>
    </row>
    <row r="67" spans="1:21" ht="28">
      <c r="A67" s="1081"/>
      <c r="B67" s="1081"/>
      <c r="C67" s="1081"/>
      <c r="D67" s="1081"/>
      <c r="E67" s="1081"/>
      <c r="F67" s="1081"/>
      <c r="G67" s="1081"/>
      <c r="H67" s="1081"/>
      <c r="I67" s="1081"/>
      <c r="J67" s="1081"/>
      <c r="K67" s="1081"/>
      <c r="L67" s="1081"/>
      <c r="M67" s="1081"/>
      <c r="N67" s="1081"/>
      <c r="O67" s="432" t="s">
        <v>3482</v>
      </c>
      <c r="P67" s="432" t="s">
        <v>3535</v>
      </c>
      <c r="Q67" s="438">
        <v>1849291</v>
      </c>
      <c r="R67" s="438">
        <v>1849291</v>
      </c>
      <c r="S67" s="438">
        <v>0</v>
      </c>
      <c r="T67" s="438">
        <f t="shared" si="12"/>
        <v>0</v>
      </c>
      <c r="U67" s="432"/>
    </row>
    <row r="68" spans="1:21" ht="28">
      <c r="A68" s="1081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432" t="s">
        <v>3536</v>
      </c>
      <c r="P68" s="432" t="s">
        <v>3477</v>
      </c>
      <c r="Q68" s="438">
        <v>150000</v>
      </c>
      <c r="R68" s="438">
        <v>150000</v>
      </c>
      <c r="S68" s="438">
        <v>0</v>
      </c>
      <c r="T68" s="438">
        <f t="shared" si="12"/>
        <v>0</v>
      </c>
      <c r="U68" s="432"/>
    </row>
    <row r="69" spans="1:21" ht="13.4" customHeight="1">
      <c r="A69" s="1081"/>
      <c r="B69" s="1081"/>
      <c r="C69" s="1081"/>
      <c r="D69" s="1081"/>
      <c r="E69" s="1081"/>
      <c r="F69" s="1081"/>
      <c r="G69" s="1081"/>
      <c r="H69" s="1081"/>
      <c r="I69" s="1081"/>
      <c r="J69" s="1081"/>
      <c r="K69" s="1081"/>
      <c r="L69" s="1081"/>
      <c r="M69" s="1081"/>
      <c r="N69" s="1081"/>
      <c r="O69" s="1089" t="s">
        <v>3242</v>
      </c>
      <c r="P69" s="1089"/>
      <c r="Q69" s="1087">
        <f t="shared" ref="Q69:T69" si="13">SUM(Q59:Q68)</f>
        <v>5086712</v>
      </c>
      <c r="R69" s="444">
        <f t="shared" si="13"/>
        <v>5809712</v>
      </c>
      <c r="S69" s="444">
        <f t="shared" si="13"/>
        <v>51960</v>
      </c>
      <c r="T69" s="444">
        <f t="shared" si="13"/>
        <v>723000</v>
      </c>
      <c r="U69" s="440"/>
    </row>
    <row r="70" spans="1:21" ht="13.4" customHeight="1">
      <c r="A70" s="1082"/>
      <c r="B70" s="1082"/>
      <c r="C70" s="1082"/>
      <c r="D70" s="1082"/>
      <c r="E70" s="1082"/>
      <c r="F70" s="1082"/>
      <c r="G70" s="1082"/>
      <c r="H70" s="1082"/>
      <c r="I70" s="1082"/>
      <c r="J70" s="1082"/>
      <c r="K70" s="1082"/>
      <c r="L70" s="1082"/>
      <c r="M70" s="1082"/>
      <c r="N70" s="1082"/>
      <c r="O70" s="1089"/>
      <c r="P70" s="1089"/>
      <c r="Q70" s="1094"/>
      <c r="R70" s="1084">
        <f>R69-S69</f>
        <v>5757752</v>
      </c>
      <c r="S70" s="1085"/>
      <c r="T70" s="444">
        <f>T69-S69</f>
        <v>671040</v>
      </c>
      <c r="U70" s="440"/>
    </row>
    <row r="71" spans="1:21">
      <c r="A71" s="425"/>
      <c r="B71" s="425"/>
      <c r="C71" s="425"/>
      <c r="D71" s="425"/>
      <c r="E71" s="425"/>
      <c r="F71" s="425"/>
      <c r="G71" s="425"/>
      <c r="H71" s="425"/>
      <c r="I71" s="425"/>
      <c r="J71" s="425"/>
      <c r="K71" s="425"/>
      <c r="L71" s="425"/>
      <c r="M71" s="425"/>
      <c r="N71" s="425"/>
      <c r="O71" s="425"/>
      <c r="P71" s="425"/>
      <c r="Q71" s="426"/>
      <c r="R71" s="426"/>
      <c r="S71" s="426"/>
      <c r="T71" s="426"/>
      <c r="U71" s="425"/>
    </row>
    <row r="72" spans="1:21" ht="13.4" customHeight="1">
      <c r="A72" s="425"/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5"/>
      <c r="Q72" s="426"/>
      <c r="R72" s="1078" t="s">
        <v>3538</v>
      </c>
      <c r="S72" s="1079"/>
      <c r="T72" s="449"/>
      <c r="U72" s="425"/>
    </row>
    <row r="73" spans="1:21" ht="13.4" customHeight="1">
      <c r="A73" s="425"/>
      <c r="B73" s="425"/>
      <c r="C73" s="425"/>
      <c r="D73" s="425"/>
      <c r="E73" s="425"/>
      <c r="F73" s="425"/>
      <c r="G73" s="425"/>
      <c r="H73" s="425"/>
      <c r="I73" s="425"/>
      <c r="J73" s="425"/>
      <c r="K73" s="425"/>
      <c r="L73" s="425"/>
      <c r="M73" s="425"/>
      <c r="N73" s="425"/>
      <c r="O73" s="425"/>
      <c r="P73" s="425"/>
      <c r="Q73" s="426"/>
      <c r="R73" s="1078" t="s">
        <v>3539</v>
      </c>
      <c r="S73" s="1079"/>
      <c r="T73" s="449"/>
      <c r="U73" s="425"/>
    </row>
    <row r="74" spans="1:21" ht="13.4" customHeight="1">
      <c r="A74" s="425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  <c r="N74" s="425"/>
      <c r="O74" s="425"/>
      <c r="P74" s="425"/>
      <c r="Q74" s="426"/>
      <c r="R74" s="1078" t="s">
        <v>3540</v>
      </c>
      <c r="S74" s="1079"/>
      <c r="T74" s="450"/>
      <c r="U74" s="425"/>
    </row>
    <row r="75" spans="1:21" ht="25" customHeight="1">
      <c r="A75" s="425"/>
      <c r="B75" s="425"/>
      <c r="C75" s="425"/>
      <c r="D75" s="425"/>
      <c r="E75" s="425"/>
      <c r="F75" s="425"/>
      <c r="G75" s="425"/>
      <c r="H75" s="425"/>
      <c r="I75" s="425"/>
      <c r="J75" s="425"/>
      <c r="K75" s="425"/>
      <c r="L75" s="425"/>
      <c r="M75" s="425"/>
      <c r="N75" s="425"/>
      <c r="O75" s="425"/>
      <c r="P75" s="425"/>
      <c r="Q75" s="426"/>
      <c r="R75" s="1078" t="s">
        <v>3541</v>
      </c>
      <c r="S75" s="1079"/>
      <c r="T75" s="451"/>
      <c r="U75" s="452"/>
    </row>
    <row r="76" spans="1:21" ht="13.4" customHeight="1">
      <c r="A76" s="425"/>
      <c r="B76" s="425"/>
      <c r="C76" s="425"/>
      <c r="D76" s="425"/>
      <c r="E76" s="425"/>
      <c r="F76" s="425"/>
      <c r="G76" s="425"/>
      <c r="H76" s="425"/>
      <c r="I76" s="425"/>
      <c r="J76" s="425"/>
      <c r="K76" s="425"/>
      <c r="L76" s="425"/>
      <c r="M76" s="425"/>
      <c r="N76" s="425"/>
      <c r="O76" s="425"/>
      <c r="P76" s="425"/>
      <c r="Q76" s="426"/>
      <c r="R76" s="1078"/>
      <c r="S76" s="1079"/>
      <c r="T76" s="451"/>
      <c r="U76" s="425"/>
    </row>
    <row r="77" spans="1:21" ht="13.4" customHeight="1">
      <c r="A77" s="425"/>
      <c r="B77" s="425"/>
      <c r="C77" s="425"/>
      <c r="D77" s="425"/>
      <c r="E77" s="425"/>
      <c r="F77" s="425"/>
      <c r="G77" s="425"/>
      <c r="H77" s="425"/>
      <c r="I77" s="425"/>
      <c r="J77" s="425"/>
      <c r="K77" s="425"/>
      <c r="L77" s="425"/>
      <c r="M77" s="425"/>
      <c r="N77" s="425"/>
      <c r="O77" s="425"/>
      <c r="P77" s="425"/>
      <c r="Q77" s="426"/>
      <c r="R77" s="1078"/>
      <c r="S77" s="1079"/>
      <c r="T77" s="449"/>
      <c r="U77" s="425"/>
    </row>
  </sheetData>
  <mergeCells count="101">
    <mergeCell ref="R74:S74"/>
    <mergeCell ref="C37:C42"/>
    <mergeCell ref="B58:B70"/>
    <mergeCell ref="R70:S70"/>
    <mergeCell ref="R75:S75"/>
    <mergeCell ref="U11:U15"/>
    <mergeCell ref="U29:U34"/>
    <mergeCell ref="U52:U55"/>
    <mergeCell ref="P44:P47"/>
    <mergeCell ref="Q16:Q17"/>
    <mergeCell ref="R73:S73"/>
    <mergeCell ref="Q56:Q57"/>
    <mergeCell ref="P12:P13"/>
    <mergeCell ref="N37:N42"/>
    <mergeCell ref="L43:L57"/>
    <mergeCell ref="O69:P70"/>
    <mergeCell ref="R77:S77"/>
    <mergeCell ref="A43:A57"/>
    <mergeCell ref="R36:S36"/>
    <mergeCell ref="F43:F57"/>
    <mergeCell ref="C18:C36"/>
    <mergeCell ref="G4:G17"/>
    <mergeCell ref="D58:D70"/>
    <mergeCell ref="C4:C17"/>
    <mergeCell ref="E18:E36"/>
    <mergeCell ref="E43:E57"/>
    <mergeCell ref="E58:E70"/>
    <mergeCell ref="F58:F70"/>
    <mergeCell ref="D37:D42"/>
    <mergeCell ref="I4:I17"/>
    <mergeCell ref="J18:J36"/>
    <mergeCell ref="I43:I57"/>
    <mergeCell ref="L18:L36"/>
    <mergeCell ref="J37:J42"/>
    <mergeCell ref="F18:F36"/>
    <mergeCell ref="Q69:Q70"/>
    <mergeCell ref="N43:N57"/>
    <mergeCell ref="P37:P38"/>
    <mergeCell ref="P29:P34"/>
    <mergeCell ref="Q35:Q36"/>
    <mergeCell ref="A1:U1"/>
    <mergeCell ref="B18:B36"/>
    <mergeCell ref="A2:E2"/>
    <mergeCell ref="H37:H42"/>
    <mergeCell ref="I18:I36"/>
    <mergeCell ref="P5:P6"/>
    <mergeCell ref="K37:K42"/>
    <mergeCell ref="G43:G57"/>
    <mergeCell ref="E4:E17"/>
    <mergeCell ref="D18:D36"/>
    <mergeCell ref="H43:H57"/>
    <mergeCell ref="M37:M42"/>
    <mergeCell ref="K4:K17"/>
    <mergeCell ref="M4:M17"/>
    <mergeCell ref="N4:N17"/>
    <mergeCell ref="M18:M36"/>
    <mergeCell ref="M43:M57"/>
    <mergeCell ref="K18:K36"/>
    <mergeCell ref="J43:J57"/>
    <mergeCell ref="H4:H17"/>
    <mergeCell ref="O16:P17"/>
    <mergeCell ref="O35:P36"/>
    <mergeCell ref="O56:P57"/>
    <mergeCell ref="B43:B57"/>
    <mergeCell ref="A18:A36"/>
    <mergeCell ref="H18:H36"/>
    <mergeCell ref="K43:K57"/>
    <mergeCell ref="J4:J17"/>
    <mergeCell ref="M58:M70"/>
    <mergeCell ref="P19:P26"/>
    <mergeCell ref="L37:L42"/>
    <mergeCell ref="N18:N36"/>
    <mergeCell ref="O42:P42"/>
    <mergeCell ref="N58:N70"/>
    <mergeCell ref="G58:G70"/>
    <mergeCell ref="H58:H70"/>
    <mergeCell ref="I58:I70"/>
    <mergeCell ref="R76:S76"/>
    <mergeCell ref="B37:B42"/>
    <mergeCell ref="A58:A70"/>
    <mergeCell ref="L4:L17"/>
    <mergeCell ref="K58:K70"/>
    <mergeCell ref="I37:I42"/>
    <mergeCell ref="D4:D17"/>
    <mergeCell ref="G37:G42"/>
    <mergeCell ref="G18:G36"/>
    <mergeCell ref="E37:E42"/>
    <mergeCell ref="F4:F17"/>
    <mergeCell ref="F37:F42"/>
    <mergeCell ref="A37:A42"/>
    <mergeCell ref="R72:S72"/>
    <mergeCell ref="C43:C57"/>
    <mergeCell ref="R57:S57"/>
    <mergeCell ref="C58:C70"/>
    <mergeCell ref="L58:L70"/>
    <mergeCell ref="J58:J70"/>
    <mergeCell ref="A4:A17"/>
    <mergeCell ref="R17:S17"/>
    <mergeCell ref="D43:D57"/>
    <mergeCell ref="B4:B17"/>
    <mergeCell ref="P59:P61"/>
  </mergeCells>
  <pageMargins left="0.75" right="0.75" top="1" bottom="1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171"/>
  <sheetViews>
    <sheetView zoomScale="85" zoomScaleNormal="85" workbookViewId="0">
      <pane xSplit="4" ySplit="2" topLeftCell="E128" activePane="bottomRight" state="frozen"/>
      <selection pane="topRight"/>
      <selection pane="bottomLeft"/>
      <selection pane="bottomRight" activeCell="G134" sqref="G134"/>
    </sheetView>
  </sheetViews>
  <sheetFormatPr defaultColWidth="9" defaultRowHeight="14"/>
  <cols>
    <col min="1" max="1" width="3.5" customWidth="1"/>
    <col min="2" max="2" width="28.58203125" customWidth="1"/>
    <col min="3" max="3" width="19" customWidth="1"/>
    <col min="4" max="4" width="26" customWidth="1"/>
    <col min="5" max="5" width="28.83203125" customWidth="1"/>
    <col min="6" max="6" width="16.83203125" customWidth="1"/>
    <col min="7" max="12" width="16.83203125" style="600" customWidth="1"/>
    <col min="13" max="13" width="16.83203125" customWidth="1"/>
    <col min="14" max="14" width="16.33203125" customWidth="1"/>
    <col min="23" max="23" width="14" customWidth="1"/>
  </cols>
  <sheetData>
    <row r="1" spans="1:16" ht="25">
      <c r="A1" s="1096" t="s">
        <v>3542</v>
      </c>
      <c r="B1" s="1096"/>
      <c r="C1" s="1096"/>
      <c r="D1" s="1096"/>
      <c r="E1" s="1096"/>
      <c r="F1" s="1096"/>
      <c r="G1" s="1096"/>
      <c r="H1" s="1096"/>
      <c r="I1" s="1096"/>
      <c r="J1" s="1096"/>
      <c r="K1" s="1096"/>
      <c r="L1" s="1096"/>
      <c r="M1" s="1096"/>
      <c r="N1" s="1096"/>
    </row>
    <row r="2" spans="1:16" ht="15.5">
      <c r="A2" s="453" t="s">
        <v>1</v>
      </c>
      <c r="B2" s="453" t="s">
        <v>3543</v>
      </c>
      <c r="C2" s="453" t="s">
        <v>3544</v>
      </c>
      <c r="D2" s="453" t="s">
        <v>3545</v>
      </c>
      <c r="E2" s="453" t="s">
        <v>3546</v>
      </c>
      <c r="F2" s="453" t="s">
        <v>3547</v>
      </c>
      <c r="G2" s="595" t="s">
        <v>3457</v>
      </c>
      <c r="H2" s="595" t="s">
        <v>3548</v>
      </c>
      <c r="I2" s="595" t="s">
        <v>3549</v>
      </c>
      <c r="J2" s="595" t="s">
        <v>3550</v>
      </c>
      <c r="K2" s="596" t="s">
        <v>3551</v>
      </c>
      <c r="L2" s="595" t="s">
        <v>3552</v>
      </c>
      <c r="M2" s="454" t="s">
        <v>3553</v>
      </c>
      <c r="N2" s="454" t="s">
        <v>3554</v>
      </c>
    </row>
    <row r="3" spans="1:16" ht="17.5">
      <c r="A3" s="455" t="s">
        <v>3555</v>
      </c>
      <c r="B3" s="455"/>
      <c r="C3" s="455"/>
      <c r="D3" s="455"/>
      <c r="E3" s="455"/>
      <c r="F3" s="455"/>
      <c r="G3" s="564"/>
      <c r="H3" s="564"/>
      <c r="I3" s="564"/>
      <c r="J3" s="597"/>
      <c r="K3" s="564"/>
      <c r="L3" s="564"/>
      <c r="M3" s="456"/>
      <c r="N3" s="456"/>
    </row>
    <row r="4" spans="1:16">
      <c r="A4" s="202">
        <v>1</v>
      </c>
      <c r="B4" s="202" t="s">
        <v>2740</v>
      </c>
      <c r="C4" s="202" t="s">
        <v>2743</v>
      </c>
      <c r="D4" s="202" t="s">
        <v>2741</v>
      </c>
      <c r="E4" s="202" t="s">
        <v>2753</v>
      </c>
      <c r="F4" s="202" t="s">
        <v>2749</v>
      </c>
      <c r="G4" s="559">
        <v>4766816</v>
      </c>
      <c r="H4" s="559">
        <v>2975000</v>
      </c>
      <c r="I4" s="559">
        <v>3079616</v>
      </c>
      <c r="J4" s="560">
        <v>0</v>
      </c>
      <c r="K4" s="559">
        <f t="shared" ref="K4:K9" si="0">H4+I4</f>
        <v>6054616</v>
      </c>
      <c r="L4" s="559">
        <f t="shared" ref="L4:L9" si="1">H4+I4-J4-G4</f>
        <v>1287800</v>
      </c>
      <c r="M4" s="457">
        <v>45611</v>
      </c>
      <c r="N4" s="457">
        <v>45611</v>
      </c>
      <c r="O4" t="s">
        <v>3330</v>
      </c>
      <c r="P4" t="s">
        <v>40</v>
      </c>
    </row>
    <row r="5" spans="1:16" s="458" customFormat="1">
      <c r="A5" s="1097">
        <v>2</v>
      </c>
      <c r="B5" s="1097" t="s">
        <v>2751</v>
      </c>
      <c r="C5" s="1097" t="s">
        <v>2755</v>
      </c>
      <c r="D5" s="1097" t="s">
        <v>2752</v>
      </c>
      <c r="E5" s="202" t="s">
        <v>2753</v>
      </c>
      <c r="F5" s="202" t="s">
        <v>2762</v>
      </c>
      <c r="G5" s="559">
        <v>25141601</v>
      </c>
      <c r="H5" s="559">
        <v>7935000</v>
      </c>
      <c r="I5" s="559">
        <v>20901601</v>
      </c>
      <c r="J5" s="560">
        <v>0</v>
      </c>
      <c r="K5" s="559">
        <f t="shared" si="0"/>
        <v>28836601</v>
      </c>
      <c r="L5" s="559">
        <f t="shared" si="1"/>
        <v>3695000</v>
      </c>
      <c r="M5" s="457">
        <v>45643</v>
      </c>
      <c r="N5" s="457">
        <v>45295</v>
      </c>
      <c r="O5" s="458" t="s">
        <v>3330</v>
      </c>
      <c r="P5" s="459" t="s">
        <v>3556</v>
      </c>
    </row>
    <row r="6" spans="1:16" s="458" customFormat="1">
      <c r="A6" s="1097"/>
      <c r="B6" s="1097"/>
      <c r="C6" s="1097"/>
      <c r="D6" s="1097"/>
      <c r="E6" s="202" t="s">
        <v>3557</v>
      </c>
      <c r="F6" s="202" t="s">
        <v>3558</v>
      </c>
      <c r="G6" s="559">
        <v>2544051</v>
      </c>
      <c r="H6" s="559">
        <v>0</v>
      </c>
      <c r="I6" s="559">
        <v>2544051</v>
      </c>
      <c r="J6" s="560">
        <v>0</v>
      </c>
      <c r="K6" s="559">
        <f t="shared" si="0"/>
        <v>2544051</v>
      </c>
      <c r="L6" s="559">
        <f t="shared" si="1"/>
        <v>0</v>
      </c>
      <c r="M6" s="457">
        <v>45643</v>
      </c>
      <c r="N6" s="457">
        <v>45295</v>
      </c>
      <c r="O6" s="458" t="s">
        <v>3330</v>
      </c>
      <c r="P6" s="459" t="s">
        <v>3556</v>
      </c>
    </row>
    <row r="7" spans="1:16">
      <c r="A7" s="202">
        <v>3</v>
      </c>
      <c r="B7" s="202" t="s">
        <v>2763</v>
      </c>
      <c r="C7" s="202" t="s">
        <v>2767</v>
      </c>
      <c r="D7" s="202" t="s">
        <v>2764</v>
      </c>
      <c r="E7" s="202" t="s">
        <v>2765</v>
      </c>
      <c r="F7" s="202" t="s">
        <v>2769</v>
      </c>
      <c r="G7" s="559">
        <v>7128145</v>
      </c>
      <c r="H7" s="559">
        <v>17839800</v>
      </c>
      <c r="I7" s="559">
        <v>0</v>
      </c>
      <c r="J7" s="560">
        <v>0</v>
      </c>
      <c r="K7" s="559">
        <f t="shared" si="0"/>
        <v>17839800</v>
      </c>
      <c r="L7" s="559">
        <f t="shared" si="1"/>
        <v>10711655</v>
      </c>
      <c r="M7" s="457">
        <v>45581</v>
      </c>
      <c r="N7" s="457">
        <v>45581</v>
      </c>
      <c r="O7" t="s">
        <v>3330</v>
      </c>
      <c r="P7" t="s">
        <v>40</v>
      </c>
    </row>
    <row r="8" spans="1:16" s="458" customFormat="1">
      <c r="A8" s="202">
        <v>4</v>
      </c>
      <c r="B8" s="202" t="s">
        <v>2751</v>
      </c>
      <c r="C8" s="202" t="s">
        <v>2772</v>
      </c>
      <c r="D8" s="202" t="s">
        <v>2770</v>
      </c>
      <c r="E8" s="202" t="s">
        <v>2753</v>
      </c>
      <c r="F8" s="202" t="s">
        <v>2776</v>
      </c>
      <c r="G8" s="559">
        <v>7559698</v>
      </c>
      <c r="H8" s="559">
        <v>2860000</v>
      </c>
      <c r="I8" s="559">
        <v>5455698</v>
      </c>
      <c r="J8" s="560">
        <v>0</v>
      </c>
      <c r="K8" s="559">
        <f t="shared" si="0"/>
        <v>8315698</v>
      </c>
      <c r="L8" s="559">
        <f t="shared" si="1"/>
        <v>756000</v>
      </c>
      <c r="M8" s="457">
        <v>45620</v>
      </c>
      <c r="N8" s="457">
        <v>45306</v>
      </c>
      <c r="O8" s="458" t="s">
        <v>3330</v>
      </c>
      <c r="P8" s="459" t="s">
        <v>3559</v>
      </c>
    </row>
    <row r="9" spans="1:16" s="458" customFormat="1">
      <c r="A9" s="202">
        <v>5</v>
      </c>
      <c r="B9" s="202" t="s">
        <v>2751</v>
      </c>
      <c r="C9" s="202" t="s">
        <v>2779</v>
      </c>
      <c r="D9" s="202" t="s">
        <v>2777</v>
      </c>
      <c r="E9" s="202" t="s">
        <v>2753</v>
      </c>
      <c r="F9" s="202" t="s">
        <v>2781</v>
      </c>
      <c r="G9" s="559">
        <v>5136712</v>
      </c>
      <c r="H9" s="559">
        <v>2598000</v>
      </c>
      <c r="I9" s="559">
        <v>3211712</v>
      </c>
      <c r="J9" s="560">
        <v>0</v>
      </c>
      <c r="K9" s="559">
        <f t="shared" si="0"/>
        <v>5809712</v>
      </c>
      <c r="L9" s="559">
        <f t="shared" si="1"/>
        <v>673000</v>
      </c>
      <c r="M9" s="457">
        <v>45303</v>
      </c>
      <c r="N9" s="457">
        <v>45306</v>
      </c>
      <c r="O9" s="458" t="s">
        <v>3330</v>
      </c>
      <c r="P9" s="459" t="s">
        <v>3559</v>
      </c>
    </row>
    <row r="10" spans="1:16" s="460" customFormat="1">
      <c r="A10" s="1095" t="s">
        <v>3560</v>
      </c>
      <c r="B10" s="1095"/>
      <c r="C10" s="1095"/>
      <c r="D10" s="1095"/>
      <c r="E10" s="1095"/>
      <c r="F10" s="1095"/>
      <c r="G10" s="461"/>
      <c r="H10" s="561">
        <f>SUM(H4:H9)</f>
        <v>34207800</v>
      </c>
      <c r="I10" s="561"/>
      <c r="J10" s="562"/>
      <c r="K10" s="561"/>
      <c r="L10" s="461">
        <f>SUM(L4:L9)</f>
        <v>17123455</v>
      </c>
      <c r="M10" s="464"/>
      <c r="N10" s="464"/>
    </row>
    <row r="11" spans="1:16" s="458" customFormat="1" ht="17.5">
      <c r="A11" s="455" t="s">
        <v>3561</v>
      </c>
      <c r="B11" s="455"/>
      <c r="C11" s="455"/>
      <c r="D11" s="455"/>
      <c r="E11" s="455"/>
      <c r="F11" s="455"/>
      <c r="G11" s="563"/>
      <c r="H11" s="564"/>
      <c r="I11" s="564"/>
      <c r="J11" s="565"/>
      <c r="K11" s="564"/>
      <c r="L11" s="563"/>
      <c r="M11" s="456"/>
      <c r="N11" s="456"/>
    </row>
    <row r="12" spans="1:16">
      <c r="A12" s="202">
        <v>1</v>
      </c>
      <c r="B12" s="202" t="s">
        <v>2783</v>
      </c>
      <c r="C12" s="202" t="s">
        <v>2787</v>
      </c>
      <c r="D12" s="202" t="s">
        <v>2784</v>
      </c>
      <c r="E12" s="202" t="s">
        <v>2785</v>
      </c>
      <c r="F12" s="202" t="s">
        <v>2794</v>
      </c>
      <c r="G12" s="559">
        <v>15765647</v>
      </c>
      <c r="H12" s="559">
        <v>16410575</v>
      </c>
      <c r="I12" s="559">
        <v>5849472</v>
      </c>
      <c r="J12" s="560">
        <v>0</v>
      </c>
      <c r="K12" s="559">
        <f t="shared" ref="K12:K14" si="2">H12+I12</f>
        <v>22260047</v>
      </c>
      <c r="L12" s="559">
        <f t="shared" ref="L12:L14" si="3">H12+I12-J12-G12</f>
        <v>6494400</v>
      </c>
      <c r="M12" s="457">
        <v>45653</v>
      </c>
      <c r="N12" s="457">
        <v>45627</v>
      </c>
      <c r="O12" t="s">
        <v>3330</v>
      </c>
      <c r="P12" t="s">
        <v>40</v>
      </c>
    </row>
    <row r="13" spans="1:16">
      <c r="A13" s="202">
        <v>2</v>
      </c>
      <c r="B13" s="202" t="s">
        <v>2803</v>
      </c>
      <c r="C13" s="202" t="s">
        <v>2807</v>
      </c>
      <c r="D13" s="202" t="s">
        <v>2804</v>
      </c>
      <c r="E13" s="202" t="s">
        <v>2805</v>
      </c>
      <c r="F13" s="202" t="s">
        <v>2814</v>
      </c>
      <c r="G13" s="559">
        <v>3354238</v>
      </c>
      <c r="H13" s="559">
        <v>3700000</v>
      </c>
      <c r="I13" s="559">
        <v>0</v>
      </c>
      <c r="J13" s="560">
        <f t="shared" ref="J13" si="4">H13*2/100</f>
        <v>74000</v>
      </c>
      <c r="K13" s="559">
        <f t="shared" si="2"/>
        <v>3700000</v>
      </c>
      <c r="L13" s="559">
        <f t="shared" si="3"/>
        <v>271762</v>
      </c>
      <c r="M13" s="457">
        <v>45623</v>
      </c>
      <c r="N13" s="457">
        <v>45625</v>
      </c>
      <c r="O13" t="s">
        <v>3330</v>
      </c>
      <c r="P13" t="s">
        <v>40</v>
      </c>
    </row>
    <row r="14" spans="1:16">
      <c r="A14" s="202">
        <v>3</v>
      </c>
      <c r="B14" s="202" t="s">
        <v>2795</v>
      </c>
      <c r="C14" s="202" t="s">
        <v>2799</v>
      </c>
      <c r="D14" s="202" t="s">
        <v>2796</v>
      </c>
      <c r="E14" s="202" t="s">
        <v>3562</v>
      </c>
      <c r="F14" s="202" t="s">
        <v>3563</v>
      </c>
      <c r="G14" s="559">
        <v>2337100</v>
      </c>
      <c r="H14" s="559">
        <v>2627100</v>
      </c>
      <c r="I14" s="559">
        <v>0</v>
      </c>
      <c r="J14" s="560">
        <v>0</v>
      </c>
      <c r="K14" s="559">
        <f t="shared" si="2"/>
        <v>2627100</v>
      </c>
      <c r="L14" s="559">
        <f t="shared" si="3"/>
        <v>290000</v>
      </c>
      <c r="M14" s="457">
        <v>45623</v>
      </c>
      <c r="N14" s="457">
        <v>45623</v>
      </c>
      <c r="O14" t="s">
        <v>3330</v>
      </c>
      <c r="P14" t="s">
        <v>40</v>
      </c>
    </row>
    <row r="15" spans="1:16" s="460" customFormat="1">
      <c r="A15" s="1095" t="s">
        <v>3560</v>
      </c>
      <c r="B15" s="1095"/>
      <c r="C15" s="1095"/>
      <c r="D15" s="1095"/>
      <c r="E15" s="1095"/>
      <c r="F15" s="1095"/>
      <c r="G15" s="461"/>
      <c r="H15" s="561">
        <f t="shared" ref="H15:L15" si="5">SUM(H12:H14)</f>
        <v>22737675</v>
      </c>
      <c r="I15" s="561"/>
      <c r="J15" s="562">
        <f t="shared" si="5"/>
        <v>74000</v>
      </c>
      <c r="K15" s="561"/>
      <c r="L15" s="461">
        <f t="shared" si="5"/>
        <v>7056162</v>
      </c>
      <c r="M15" s="464"/>
      <c r="N15" s="464"/>
    </row>
    <row r="16" spans="1:16" ht="17.5">
      <c r="A16" s="455" t="s">
        <v>3564</v>
      </c>
      <c r="B16" s="455"/>
      <c r="C16" s="455"/>
      <c r="D16" s="455"/>
      <c r="E16" s="455"/>
      <c r="F16" s="455"/>
      <c r="G16" s="563"/>
      <c r="H16" s="564"/>
      <c r="I16" s="564"/>
      <c r="J16" s="565"/>
      <c r="K16" s="564"/>
      <c r="L16" s="563"/>
      <c r="M16" s="456"/>
      <c r="N16" s="456"/>
    </row>
    <row r="17" spans="1:23" s="465" customFormat="1">
      <c r="A17" s="466">
        <v>1</v>
      </c>
      <c r="B17" s="466" t="s">
        <v>2751</v>
      </c>
      <c r="C17" s="466" t="s">
        <v>2820</v>
      </c>
      <c r="D17" s="466" t="s">
        <v>2817</v>
      </c>
      <c r="E17" s="466" t="s">
        <v>2753</v>
      </c>
      <c r="F17" s="466" t="s">
        <v>3565</v>
      </c>
      <c r="G17" s="598">
        <v>37077496</v>
      </c>
      <c r="H17" s="598">
        <v>14010000</v>
      </c>
      <c r="I17" s="598">
        <v>27497496</v>
      </c>
      <c r="J17" s="599">
        <v>0</v>
      </c>
      <c r="K17" s="559">
        <f>H17+I17</f>
        <v>41507496</v>
      </c>
      <c r="L17" s="559">
        <f t="shared" ref="L17:L29" si="6">H17+I17-J17-G17</f>
        <v>4430000</v>
      </c>
      <c r="M17" s="457">
        <v>45309</v>
      </c>
      <c r="N17" s="457">
        <v>45351</v>
      </c>
      <c r="O17" s="465" t="s">
        <v>3330</v>
      </c>
      <c r="P17" s="459" t="s">
        <v>3566</v>
      </c>
    </row>
    <row r="18" spans="1:23" s="458" customFormat="1">
      <c r="A18" s="202">
        <v>2</v>
      </c>
      <c r="B18" s="202" t="s">
        <v>2751</v>
      </c>
      <c r="C18" s="202" t="s">
        <v>2837</v>
      </c>
      <c r="D18" s="202" t="s">
        <v>2835</v>
      </c>
      <c r="E18" s="202" t="s">
        <v>2753</v>
      </c>
      <c r="F18" s="202" t="s">
        <v>3567</v>
      </c>
      <c r="G18" s="559">
        <v>5416900</v>
      </c>
      <c r="H18" s="559">
        <v>2798000</v>
      </c>
      <c r="I18" s="559">
        <v>3741910</v>
      </c>
      <c r="J18" s="560">
        <v>0</v>
      </c>
      <c r="K18" s="559">
        <f t="shared" ref="K18:K29" si="7">H18+I18</f>
        <v>6539910</v>
      </c>
      <c r="L18" s="559">
        <f t="shared" si="6"/>
        <v>1123010</v>
      </c>
      <c r="M18" s="457">
        <v>45309</v>
      </c>
      <c r="N18" s="457">
        <v>45370</v>
      </c>
      <c r="O18" s="458" t="s">
        <v>3330</v>
      </c>
      <c r="P18" s="459" t="s">
        <v>3568</v>
      </c>
      <c r="S18"/>
    </row>
    <row r="19" spans="1:23" s="458" customFormat="1">
      <c r="A19" s="202">
        <v>3</v>
      </c>
      <c r="B19" s="202" t="s">
        <v>2751</v>
      </c>
      <c r="C19" s="202" t="s">
        <v>2844</v>
      </c>
      <c r="D19" s="202" t="s">
        <v>2842</v>
      </c>
      <c r="E19" s="202" t="s">
        <v>2753</v>
      </c>
      <c r="F19" s="202" t="s">
        <v>3569</v>
      </c>
      <c r="G19" s="559">
        <v>39270634</v>
      </c>
      <c r="H19" s="559">
        <v>14010000</v>
      </c>
      <c r="I19" s="559">
        <v>29690634</v>
      </c>
      <c r="J19" s="560">
        <v>0</v>
      </c>
      <c r="K19" s="559">
        <f t="shared" si="7"/>
        <v>43700634</v>
      </c>
      <c r="L19" s="559">
        <f t="shared" si="6"/>
        <v>4430000</v>
      </c>
      <c r="M19" s="457">
        <v>45309</v>
      </c>
      <c r="N19" s="457">
        <v>45351</v>
      </c>
      <c r="O19" s="458" t="s">
        <v>3330</v>
      </c>
      <c r="P19" s="459" t="s">
        <v>3566</v>
      </c>
    </row>
    <row r="20" spans="1:23" s="458" customFormat="1">
      <c r="A20" s="202">
        <v>4</v>
      </c>
      <c r="B20" s="202" t="s">
        <v>3570</v>
      </c>
      <c r="C20" s="202" t="s">
        <v>2860</v>
      </c>
      <c r="D20" s="202" t="s">
        <v>2857</v>
      </c>
      <c r="E20" s="202" t="s">
        <v>2753</v>
      </c>
      <c r="F20" s="202" t="s">
        <v>2867</v>
      </c>
      <c r="G20" s="559">
        <v>17533812</v>
      </c>
      <c r="H20" s="559">
        <v>15900000</v>
      </c>
      <c r="I20" s="559">
        <v>10428953</v>
      </c>
      <c r="J20" s="560">
        <v>0</v>
      </c>
      <c r="K20" s="559">
        <f t="shared" si="7"/>
        <v>26328953</v>
      </c>
      <c r="L20" s="559">
        <f t="shared" si="6"/>
        <v>8795141</v>
      </c>
      <c r="M20" s="457">
        <v>45301</v>
      </c>
      <c r="N20" s="457">
        <v>45308</v>
      </c>
      <c r="O20" s="458" t="s">
        <v>3330</v>
      </c>
      <c r="P20" s="458" t="s">
        <v>40</v>
      </c>
    </row>
    <row r="21" spans="1:23" s="458" customFormat="1">
      <c r="A21" s="202">
        <v>5</v>
      </c>
      <c r="B21" s="202" t="s">
        <v>2751</v>
      </c>
      <c r="C21" s="202" t="s">
        <v>2870</v>
      </c>
      <c r="D21" s="202" t="s">
        <v>2868</v>
      </c>
      <c r="E21" s="202" t="s">
        <v>2753</v>
      </c>
      <c r="F21" s="202" t="s">
        <v>3571</v>
      </c>
      <c r="G21" s="559">
        <v>9555011</v>
      </c>
      <c r="H21" s="559">
        <v>4960000</v>
      </c>
      <c r="I21" s="559">
        <v>6020011</v>
      </c>
      <c r="J21" s="560">
        <v>0</v>
      </c>
      <c r="K21" s="559">
        <f t="shared" si="7"/>
        <v>10980011</v>
      </c>
      <c r="L21" s="559">
        <f t="shared" si="6"/>
        <v>1425000</v>
      </c>
      <c r="M21" s="457">
        <v>45309</v>
      </c>
      <c r="N21" s="457">
        <v>45335</v>
      </c>
      <c r="O21" s="458" t="s">
        <v>3330</v>
      </c>
      <c r="P21" s="459" t="s">
        <v>3572</v>
      </c>
      <c r="T21" s="459"/>
      <c r="W21" s="457"/>
    </row>
    <row r="22" spans="1:23" s="458" customFormat="1">
      <c r="A22" s="202">
        <v>6</v>
      </c>
      <c r="B22" s="202" t="s">
        <v>2751</v>
      </c>
      <c r="C22" s="202" t="s">
        <v>2876</v>
      </c>
      <c r="D22" s="202" t="s">
        <v>2874</v>
      </c>
      <c r="E22" s="202" t="s">
        <v>2753</v>
      </c>
      <c r="F22" s="202" t="s">
        <v>3573</v>
      </c>
      <c r="G22" s="559">
        <v>3395940</v>
      </c>
      <c r="H22" s="559">
        <v>11298000</v>
      </c>
      <c r="I22" s="559">
        <v>26249490</v>
      </c>
      <c r="J22" s="560">
        <v>0</v>
      </c>
      <c r="K22" s="559">
        <f t="shared" si="7"/>
        <v>37547490</v>
      </c>
      <c r="L22" s="559">
        <f t="shared" si="6"/>
        <v>34151550</v>
      </c>
      <c r="M22" s="457">
        <v>45332</v>
      </c>
      <c r="N22" s="457">
        <v>45335</v>
      </c>
      <c r="O22" s="458" t="s">
        <v>3330</v>
      </c>
      <c r="P22" s="459" t="s">
        <v>3572</v>
      </c>
      <c r="T22" s="459"/>
      <c r="W22" s="457"/>
    </row>
    <row r="23" spans="1:23" s="458" customFormat="1">
      <c r="A23" s="202">
        <v>7</v>
      </c>
      <c r="B23" s="202" t="s">
        <v>2751</v>
      </c>
      <c r="C23" s="202" t="s">
        <v>2889</v>
      </c>
      <c r="D23" s="202" t="s">
        <v>2886</v>
      </c>
      <c r="E23" s="202" t="s">
        <v>2753</v>
      </c>
      <c r="F23" s="202" t="s">
        <v>2895</v>
      </c>
      <c r="G23" s="559">
        <v>10162087</v>
      </c>
      <c r="H23" s="559">
        <v>8155000</v>
      </c>
      <c r="I23" s="559">
        <v>6918537</v>
      </c>
      <c r="J23" s="560">
        <v>0</v>
      </c>
      <c r="K23" s="559">
        <f t="shared" si="7"/>
        <v>15073537</v>
      </c>
      <c r="L23" s="559">
        <f t="shared" si="6"/>
        <v>4911450</v>
      </c>
      <c r="M23" s="457">
        <v>45319</v>
      </c>
      <c r="N23" s="457">
        <v>45370</v>
      </c>
      <c r="O23" s="458" t="s">
        <v>3330</v>
      </c>
      <c r="P23" s="459" t="s">
        <v>3568</v>
      </c>
    </row>
    <row r="24" spans="1:23">
      <c r="A24" s="202">
        <v>8</v>
      </c>
      <c r="B24" s="202" t="s">
        <v>3047</v>
      </c>
      <c r="C24" s="202" t="s">
        <v>2924</v>
      </c>
      <c r="D24" s="202" t="s">
        <v>2921</v>
      </c>
      <c r="E24" s="202" t="s">
        <v>3574</v>
      </c>
      <c r="F24" s="202" t="s">
        <v>2930</v>
      </c>
      <c r="G24" s="559">
        <v>12500000</v>
      </c>
      <c r="H24" s="559">
        <v>17120000</v>
      </c>
      <c r="I24" s="559">
        <v>0</v>
      </c>
      <c r="J24" s="560">
        <v>0</v>
      </c>
      <c r="K24" s="559">
        <f t="shared" si="7"/>
        <v>17120000</v>
      </c>
      <c r="L24" s="559">
        <f t="shared" si="6"/>
        <v>4620000</v>
      </c>
      <c r="M24" s="457">
        <v>45631</v>
      </c>
      <c r="N24" s="457">
        <v>45631</v>
      </c>
      <c r="O24" t="s">
        <v>3330</v>
      </c>
      <c r="P24" t="s">
        <v>40</v>
      </c>
    </row>
    <row r="25" spans="1:23" s="458" customFormat="1">
      <c r="A25" s="202">
        <v>9</v>
      </c>
      <c r="B25" s="202" t="s">
        <v>2803</v>
      </c>
      <c r="C25" s="202" t="s">
        <v>2936</v>
      </c>
      <c r="D25" s="202" t="s">
        <v>2934</v>
      </c>
      <c r="E25" s="202" t="s">
        <v>2805</v>
      </c>
      <c r="F25" s="202" t="s">
        <v>2943</v>
      </c>
      <c r="G25" s="559">
        <v>3344448</v>
      </c>
      <c r="H25" s="559">
        <v>3700000</v>
      </c>
      <c r="I25" s="559">
        <v>0</v>
      </c>
      <c r="J25" s="560">
        <f>H25*2/100</f>
        <v>74000</v>
      </c>
      <c r="K25" s="559">
        <f t="shared" si="7"/>
        <v>3700000</v>
      </c>
      <c r="L25" s="559">
        <f t="shared" si="6"/>
        <v>281552</v>
      </c>
      <c r="M25" s="457">
        <v>45292</v>
      </c>
      <c r="N25" s="457">
        <v>45293</v>
      </c>
      <c r="O25" s="458" t="s">
        <v>3330</v>
      </c>
      <c r="P25" s="458" t="s">
        <v>40</v>
      </c>
    </row>
    <row r="26" spans="1:23" s="458" customFormat="1">
      <c r="A26" s="202">
        <v>10</v>
      </c>
      <c r="B26" s="202" t="s">
        <v>3575</v>
      </c>
      <c r="C26" s="202" t="s">
        <v>2949</v>
      </c>
      <c r="D26" s="202" t="s">
        <v>2945</v>
      </c>
      <c r="E26" s="202" t="s">
        <v>3576</v>
      </c>
      <c r="F26" s="202" t="s">
        <v>2955</v>
      </c>
      <c r="G26" s="559">
        <v>18349549</v>
      </c>
      <c r="H26" s="559">
        <v>35380500</v>
      </c>
      <c r="I26" s="559">
        <v>2176524</v>
      </c>
      <c r="J26" s="560">
        <f>H26*2/100</f>
        <v>707610</v>
      </c>
      <c r="K26" s="559">
        <f t="shared" si="7"/>
        <v>37557024</v>
      </c>
      <c r="L26" s="559">
        <f t="shared" si="6"/>
        <v>18499865</v>
      </c>
      <c r="M26" s="457">
        <v>45313</v>
      </c>
      <c r="N26" s="457">
        <v>45366</v>
      </c>
      <c r="O26" s="458" t="s">
        <v>3330</v>
      </c>
      <c r="P26" s="458" t="s">
        <v>3577</v>
      </c>
    </row>
    <row r="27" spans="1:23" s="458" customFormat="1">
      <c r="A27" s="202">
        <v>11</v>
      </c>
      <c r="B27" s="202" t="s">
        <v>2751</v>
      </c>
      <c r="C27" s="202" t="s">
        <v>2899</v>
      </c>
      <c r="D27" s="202" t="s">
        <v>2897</v>
      </c>
      <c r="E27" s="202" t="s">
        <v>2753</v>
      </c>
      <c r="F27" s="202" t="s">
        <v>2902</v>
      </c>
      <c r="G27" s="559">
        <v>64433695</v>
      </c>
      <c r="H27" s="559">
        <v>35497000</v>
      </c>
      <c r="I27" s="559">
        <v>45168695</v>
      </c>
      <c r="J27" s="560">
        <v>0</v>
      </c>
      <c r="K27" s="559">
        <f t="shared" si="7"/>
        <v>80665695</v>
      </c>
      <c r="L27" s="559">
        <f t="shared" si="6"/>
        <v>16232000</v>
      </c>
      <c r="M27" s="457">
        <v>45315</v>
      </c>
      <c r="N27" s="457">
        <v>45351</v>
      </c>
      <c r="O27" s="458" t="s">
        <v>3330</v>
      </c>
      <c r="P27" s="459" t="s">
        <v>3566</v>
      </c>
    </row>
    <row r="28" spans="1:23" s="458" customFormat="1">
      <c r="A28" s="202">
        <v>12</v>
      </c>
      <c r="B28" s="202" t="s">
        <v>2751</v>
      </c>
      <c r="C28" s="202" t="s">
        <v>2914</v>
      </c>
      <c r="D28" s="202" t="s">
        <v>2912</v>
      </c>
      <c r="E28" s="202" t="s">
        <v>2753</v>
      </c>
      <c r="F28" s="202" t="s">
        <v>2915</v>
      </c>
      <c r="G28" s="559">
        <v>30709348</v>
      </c>
      <c r="H28" s="559">
        <v>18397000</v>
      </c>
      <c r="I28" s="559">
        <v>22739348</v>
      </c>
      <c r="J28" s="560">
        <v>0</v>
      </c>
      <c r="K28" s="559">
        <f t="shared" si="7"/>
        <v>41136348</v>
      </c>
      <c r="L28" s="559">
        <f t="shared" si="6"/>
        <v>10427000</v>
      </c>
      <c r="M28" s="457">
        <v>45315</v>
      </c>
      <c r="N28" s="457">
        <v>45370</v>
      </c>
      <c r="O28" s="458" t="s">
        <v>3330</v>
      </c>
      <c r="P28" s="459" t="s">
        <v>3568</v>
      </c>
    </row>
    <row r="29" spans="1:23" s="458" customFormat="1">
      <c r="A29" s="202">
        <v>13</v>
      </c>
      <c r="B29" s="202" t="s">
        <v>3144</v>
      </c>
      <c r="C29" s="202" t="s">
        <v>2961</v>
      </c>
      <c r="D29" s="202" t="s">
        <v>2958</v>
      </c>
      <c r="E29" s="202" t="s">
        <v>2753</v>
      </c>
      <c r="F29" s="202" t="s">
        <v>2967</v>
      </c>
      <c r="G29" s="559">
        <v>1100000</v>
      </c>
      <c r="H29" s="559">
        <v>1350000</v>
      </c>
      <c r="I29" s="559">
        <v>0</v>
      </c>
      <c r="J29" s="560">
        <v>0</v>
      </c>
      <c r="K29" s="559">
        <f t="shared" si="7"/>
        <v>1350000</v>
      </c>
      <c r="L29" s="559">
        <f t="shared" si="6"/>
        <v>250000</v>
      </c>
      <c r="M29" s="457">
        <v>45334</v>
      </c>
      <c r="N29" s="457" t="s">
        <v>3578</v>
      </c>
      <c r="O29" s="458" t="s">
        <v>3330</v>
      </c>
      <c r="P29" s="458" t="s">
        <v>40</v>
      </c>
    </row>
    <row r="30" spans="1:23" s="460" customFormat="1" ht="12.65" customHeight="1">
      <c r="A30" s="1095" t="s">
        <v>3560</v>
      </c>
      <c r="B30" s="1095"/>
      <c r="C30" s="1095"/>
      <c r="D30" s="1095"/>
      <c r="E30" s="1095"/>
      <c r="F30" s="1095"/>
      <c r="G30" s="461"/>
      <c r="H30" s="561">
        <f t="shared" ref="H30:J30" si="8">SUM(H17:H29)</f>
        <v>182575500</v>
      </c>
      <c r="I30" s="561">
        <f t="shared" si="8"/>
        <v>180631598</v>
      </c>
      <c r="J30" s="562">
        <f t="shared" si="8"/>
        <v>781610</v>
      </c>
      <c r="K30" s="561"/>
      <c r="L30" s="461">
        <f>SUM(L17:L29)</f>
        <v>109576568</v>
      </c>
      <c r="M30" s="464"/>
      <c r="N30" s="464"/>
    </row>
    <row r="31" spans="1:23" ht="17.5">
      <c r="A31" s="455" t="s">
        <v>3579</v>
      </c>
      <c r="B31" s="455"/>
      <c r="C31" s="455"/>
      <c r="D31" s="455"/>
      <c r="E31" s="455"/>
      <c r="F31" s="455"/>
      <c r="G31" s="563"/>
      <c r="H31" s="564"/>
      <c r="I31" s="564"/>
      <c r="J31" s="565"/>
      <c r="K31" s="564"/>
      <c r="L31" s="563"/>
      <c r="M31" s="456"/>
      <c r="N31" s="456"/>
    </row>
    <row r="32" spans="1:23" s="458" customFormat="1">
      <c r="A32" s="202">
        <v>1</v>
      </c>
      <c r="B32" s="202" t="s">
        <v>2969</v>
      </c>
      <c r="C32" s="202" t="s">
        <v>2972</v>
      </c>
      <c r="D32" s="202" t="s">
        <v>3580</v>
      </c>
      <c r="E32" s="202" t="s">
        <v>3581</v>
      </c>
      <c r="F32" s="202" t="s">
        <v>3582</v>
      </c>
      <c r="G32" s="559">
        <v>810000</v>
      </c>
      <c r="H32" s="559">
        <v>1250000</v>
      </c>
      <c r="I32" s="559">
        <v>0</v>
      </c>
      <c r="J32" s="560">
        <v>0</v>
      </c>
      <c r="K32" s="559">
        <f t="shared" ref="K32:K44" si="9">H32+I32</f>
        <v>1250000</v>
      </c>
      <c r="L32" s="559">
        <f t="shared" ref="L32:L44" si="10">H32+I32-J32-G32</f>
        <v>440000</v>
      </c>
      <c r="M32" s="457">
        <v>45296</v>
      </c>
      <c r="N32" s="457">
        <v>45310</v>
      </c>
      <c r="O32" s="458" t="s">
        <v>3330</v>
      </c>
      <c r="P32" s="458" t="s">
        <v>40</v>
      </c>
    </row>
    <row r="33" spans="1:20" s="458" customFormat="1">
      <c r="A33" s="202">
        <v>2</v>
      </c>
      <c r="B33" s="202" t="s">
        <v>2751</v>
      </c>
      <c r="C33" s="202" t="s">
        <v>2978</v>
      </c>
      <c r="D33" s="202" t="s">
        <v>2976</v>
      </c>
      <c r="E33" s="202" t="s">
        <v>2753</v>
      </c>
      <c r="F33" s="202" t="s">
        <v>2982</v>
      </c>
      <c r="G33" s="559">
        <v>19991656</v>
      </c>
      <c r="H33" s="559">
        <v>8360000</v>
      </c>
      <c r="I33" s="559">
        <v>14921656</v>
      </c>
      <c r="J33" s="560">
        <v>0</v>
      </c>
      <c r="K33" s="559">
        <f t="shared" si="9"/>
        <v>23281656</v>
      </c>
      <c r="L33" s="559">
        <f t="shared" si="10"/>
        <v>3290000</v>
      </c>
      <c r="M33" s="457">
        <v>45348</v>
      </c>
      <c r="N33" s="457">
        <v>45370</v>
      </c>
      <c r="O33" s="458" t="s">
        <v>3330</v>
      </c>
      <c r="P33" s="459" t="s">
        <v>3568</v>
      </c>
    </row>
    <row r="34" spans="1:20" s="458" customFormat="1">
      <c r="A34" s="202">
        <v>3</v>
      </c>
      <c r="B34" s="202" t="s">
        <v>2751</v>
      </c>
      <c r="C34" s="202" t="s">
        <v>2988</v>
      </c>
      <c r="D34" s="202" t="s">
        <v>2986</v>
      </c>
      <c r="E34" s="202" t="s">
        <v>2753</v>
      </c>
      <c r="F34" s="202" t="s">
        <v>2990</v>
      </c>
      <c r="G34" s="559">
        <v>10028528</v>
      </c>
      <c r="H34" s="559">
        <v>4610000</v>
      </c>
      <c r="I34" s="559">
        <v>6978528</v>
      </c>
      <c r="J34" s="560">
        <v>0</v>
      </c>
      <c r="K34" s="559">
        <f t="shared" si="9"/>
        <v>11588528</v>
      </c>
      <c r="L34" s="559">
        <f t="shared" si="10"/>
        <v>1560000</v>
      </c>
      <c r="M34" s="457">
        <v>45348</v>
      </c>
      <c r="N34" s="457">
        <v>45370</v>
      </c>
      <c r="O34" s="458" t="s">
        <v>3330</v>
      </c>
      <c r="P34" s="459" t="s">
        <v>3568</v>
      </c>
    </row>
    <row r="35" spans="1:20" s="458" customFormat="1">
      <c r="A35" s="202">
        <v>4</v>
      </c>
      <c r="B35" s="202" t="s">
        <v>2751</v>
      </c>
      <c r="C35" s="202" t="s">
        <v>3583</v>
      </c>
      <c r="D35" s="202" t="s">
        <v>2992</v>
      </c>
      <c r="E35" s="202" t="s">
        <v>2753</v>
      </c>
      <c r="F35" s="202" t="s">
        <v>3584</v>
      </c>
      <c r="G35" s="559">
        <v>5419044</v>
      </c>
      <c r="H35" s="559">
        <v>2710000</v>
      </c>
      <c r="I35" s="559">
        <v>3619044</v>
      </c>
      <c r="J35" s="560">
        <v>0</v>
      </c>
      <c r="K35" s="559">
        <f t="shared" si="9"/>
        <v>6329044</v>
      </c>
      <c r="L35" s="559">
        <f t="shared" si="10"/>
        <v>910000</v>
      </c>
      <c r="M35" s="457">
        <v>45348</v>
      </c>
      <c r="N35" s="457">
        <v>45370</v>
      </c>
      <c r="O35" s="458" t="s">
        <v>3330</v>
      </c>
      <c r="P35" s="459" t="s">
        <v>3568</v>
      </c>
    </row>
    <row r="36" spans="1:20" s="458" customFormat="1">
      <c r="A36" s="202">
        <v>5</v>
      </c>
      <c r="B36" s="202" t="s">
        <v>2751</v>
      </c>
      <c r="C36" s="202" t="s">
        <v>2999</v>
      </c>
      <c r="D36" s="202" t="s">
        <v>2997</v>
      </c>
      <c r="E36" s="202" t="s">
        <v>2753</v>
      </c>
      <c r="F36" s="202" t="s">
        <v>3002</v>
      </c>
      <c r="G36" s="559">
        <v>12926250</v>
      </c>
      <c r="H36" s="559">
        <v>9860000</v>
      </c>
      <c r="I36" s="559">
        <v>7325788</v>
      </c>
      <c r="J36" s="560">
        <v>0</v>
      </c>
      <c r="K36" s="559">
        <f t="shared" si="9"/>
        <v>17185788</v>
      </c>
      <c r="L36" s="559">
        <f t="shared" si="10"/>
        <v>4259538</v>
      </c>
      <c r="M36" s="457">
        <v>45339</v>
      </c>
      <c r="N36" s="457">
        <v>45378</v>
      </c>
      <c r="O36" s="458" t="s">
        <v>3330</v>
      </c>
      <c r="P36" s="459" t="s">
        <v>3585</v>
      </c>
    </row>
    <row r="37" spans="1:20" s="458" customFormat="1">
      <c r="A37" s="202">
        <v>6</v>
      </c>
      <c r="B37" s="202" t="s">
        <v>2751</v>
      </c>
      <c r="C37" s="202" t="s">
        <v>3009</v>
      </c>
      <c r="D37" s="202" t="s">
        <v>3007</v>
      </c>
      <c r="E37" s="202" t="s">
        <v>2753</v>
      </c>
      <c r="F37" s="202" t="s">
        <v>3011</v>
      </c>
      <c r="G37" s="559">
        <v>6491750</v>
      </c>
      <c r="H37" s="559">
        <v>6160000</v>
      </c>
      <c r="I37" s="559">
        <v>2876679</v>
      </c>
      <c r="J37" s="560">
        <v>0</v>
      </c>
      <c r="K37" s="559">
        <f t="shared" si="9"/>
        <v>9036679</v>
      </c>
      <c r="L37" s="559">
        <f t="shared" si="10"/>
        <v>2544929</v>
      </c>
      <c r="M37" s="457">
        <v>45338</v>
      </c>
      <c r="N37" s="457" t="s">
        <v>3586</v>
      </c>
      <c r="P37" s="459" t="s">
        <v>3587</v>
      </c>
      <c r="T37" s="467"/>
    </row>
    <row r="38" spans="1:20" s="458" customFormat="1">
      <c r="A38" s="202">
        <v>7</v>
      </c>
      <c r="B38" s="202" t="s">
        <v>2751</v>
      </c>
      <c r="C38" s="202" t="s">
        <v>3016</v>
      </c>
      <c r="D38" s="202" t="s">
        <v>3014</v>
      </c>
      <c r="E38" s="202" t="s">
        <v>2753</v>
      </c>
      <c r="F38" s="202" t="s">
        <v>3018</v>
      </c>
      <c r="G38" s="559">
        <v>10561015</v>
      </c>
      <c r="H38" s="559">
        <v>12210000</v>
      </c>
      <c r="I38" s="559">
        <v>7446060</v>
      </c>
      <c r="J38" s="560">
        <v>0</v>
      </c>
      <c r="K38" s="559">
        <f t="shared" si="9"/>
        <v>19656060</v>
      </c>
      <c r="L38" s="559">
        <f t="shared" si="10"/>
        <v>9095045</v>
      </c>
      <c r="M38" s="457">
        <v>45337</v>
      </c>
      <c r="N38" s="457">
        <v>45378</v>
      </c>
      <c r="O38" s="458" t="s">
        <v>3330</v>
      </c>
      <c r="P38" s="459" t="s">
        <v>3585</v>
      </c>
    </row>
    <row r="39" spans="1:20" s="458" customFormat="1">
      <c r="A39" s="202">
        <v>8</v>
      </c>
      <c r="B39" s="202" t="s">
        <v>2803</v>
      </c>
      <c r="C39" s="202" t="s">
        <v>3041</v>
      </c>
      <c r="D39" s="468" t="s">
        <v>3039</v>
      </c>
      <c r="E39" s="202" t="s">
        <v>2805</v>
      </c>
      <c r="F39" s="202" t="s">
        <v>3046</v>
      </c>
      <c r="G39" s="559">
        <v>3573000</v>
      </c>
      <c r="H39" s="559">
        <v>3700000</v>
      </c>
      <c r="I39" s="559">
        <v>0</v>
      </c>
      <c r="J39" s="560">
        <f t="shared" ref="J39:J42" si="11">H39*2/100</f>
        <v>74000</v>
      </c>
      <c r="K39" s="559">
        <f t="shared" si="9"/>
        <v>3700000</v>
      </c>
      <c r="L39" s="559">
        <f t="shared" si="10"/>
        <v>53000</v>
      </c>
      <c r="M39" s="457">
        <v>45302</v>
      </c>
      <c r="N39" s="457">
        <v>45317</v>
      </c>
      <c r="O39" s="458" t="s">
        <v>3330</v>
      </c>
      <c r="P39" s="458" t="s">
        <v>40</v>
      </c>
    </row>
    <row r="40" spans="1:20" s="458" customFormat="1">
      <c r="A40" s="202">
        <v>9</v>
      </c>
      <c r="B40" s="202" t="s">
        <v>3021</v>
      </c>
      <c r="C40" s="202" t="s">
        <v>3025</v>
      </c>
      <c r="D40" s="202" t="s">
        <v>3022</v>
      </c>
      <c r="E40" s="202" t="s">
        <v>2753</v>
      </c>
      <c r="F40" s="202" t="s">
        <v>3588</v>
      </c>
      <c r="G40" s="559">
        <v>9610000</v>
      </c>
      <c r="H40" s="559">
        <v>17038000</v>
      </c>
      <c r="I40" s="559">
        <v>0</v>
      </c>
      <c r="J40" s="560">
        <v>0</v>
      </c>
      <c r="K40" s="559">
        <f t="shared" si="9"/>
        <v>17038000</v>
      </c>
      <c r="L40" s="559">
        <f t="shared" si="10"/>
        <v>7428000</v>
      </c>
      <c r="M40" s="457">
        <v>45316</v>
      </c>
      <c r="N40" s="457">
        <v>45317</v>
      </c>
      <c r="O40" s="458" t="s">
        <v>3330</v>
      </c>
      <c r="P40" s="458" t="s">
        <v>40</v>
      </c>
    </row>
    <row r="41" spans="1:20" s="458" customFormat="1">
      <c r="A41" s="202">
        <v>10</v>
      </c>
      <c r="B41" s="202" t="s">
        <v>3047</v>
      </c>
      <c r="C41" s="202" t="s">
        <v>3050</v>
      </c>
      <c r="D41" s="202" t="s">
        <v>3048</v>
      </c>
      <c r="E41" s="202" t="s">
        <v>3581</v>
      </c>
      <c r="F41" s="202" t="s">
        <v>3589</v>
      </c>
      <c r="G41" s="559">
        <v>3200000</v>
      </c>
      <c r="H41" s="559">
        <v>4150000</v>
      </c>
      <c r="I41" s="559">
        <v>50000</v>
      </c>
      <c r="J41" s="560">
        <f t="shared" si="11"/>
        <v>83000</v>
      </c>
      <c r="K41" s="559">
        <f t="shared" si="9"/>
        <v>4200000</v>
      </c>
      <c r="L41" s="559">
        <f t="shared" si="10"/>
        <v>917000</v>
      </c>
      <c r="M41" s="457">
        <v>45330</v>
      </c>
      <c r="N41" s="457">
        <v>45364</v>
      </c>
      <c r="O41" s="458" t="s">
        <v>3330</v>
      </c>
      <c r="P41" s="458" t="s">
        <v>40</v>
      </c>
    </row>
    <row r="42" spans="1:20" s="458" customFormat="1">
      <c r="A42" s="202">
        <v>11</v>
      </c>
      <c r="B42" s="202" t="s">
        <v>3047</v>
      </c>
      <c r="C42" s="202" t="s">
        <v>3058</v>
      </c>
      <c r="D42" s="202" t="s">
        <v>3056</v>
      </c>
      <c r="E42" s="202" t="s">
        <v>2805</v>
      </c>
      <c r="F42" s="202" t="s">
        <v>3590</v>
      </c>
      <c r="G42" s="559">
        <v>9041314</v>
      </c>
      <c r="H42" s="559">
        <v>5256000</v>
      </c>
      <c r="I42" s="559">
        <v>5231314</v>
      </c>
      <c r="J42" s="560">
        <f t="shared" si="11"/>
        <v>105120</v>
      </c>
      <c r="K42" s="559">
        <f t="shared" si="9"/>
        <v>10487314</v>
      </c>
      <c r="L42" s="559">
        <f t="shared" si="10"/>
        <v>1340880</v>
      </c>
      <c r="M42" s="457">
        <v>45330</v>
      </c>
      <c r="N42" s="457">
        <v>45364</v>
      </c>
      <c r="O42" s="458" t="s">
        <v>3330</v>
      </c>
      <c r="P42" s="458" t="s">
        <v>40</v>
      </c>
    </row>
    <row r="43" spans="1:20" s="458" customFormat="1">
      <c r="A43" s="202">
        <v>12</v>
      </c>
      <c r="B43" s="202" t="s">
        <v>3144</v>
      </c>
      <c r="C43" s="202" t="s">
        <v>3063</v>
      </c>
      <c r="D43" s="202" t="s">
        <v>3061</v>
      </c>
      <c r="E43" s="202" t="s">
        <v>3591</v>
      </c>
      <c r="F43" s="202" t="s">
        <v>3067</v>
      </c>
      <c r="G43" s="559">
        <v>1050000</v>
      </c>
      <c r="H43" s="559">
        <v>1250000</v>
      </c>
      <c r="I43" s="559">
        <v>0</v>
      </c>
      <c r="J43" s="560">
        <v>0</v>
      </c>
      <c r="K43" s="559">
        <f t="shared" si="9"/>
        <v>1250000</v>
      </c>
      <c r="L43" s="559">
        <f t="shared" si="10"/>
        <v>200000</v>
      </c>
      <c r="M43" s="457">
        <v>45316</v>
      </c>
      <c r="N43" s="457">
        <v>45352</v>
      </c>
      <c r="O43" s="458" t="s">
        <v>3330</v>
      </c>
      <c r="P43" s="458" t="s">
        <v>40</v>
      </c>
    </row>
    <row r="44" spans="1:20" s="458" customFormat="1">
      <c r="A44" s="202">
        <v>13</v>
      </c>
      <c r="B44" s="202" t="s">
        <v>3030</v>
      </c>
      <c r="C44" s="202" t="s">
        <v>3034</v>
      </c>
      <c r="D44" s="202" t="s">
        <v>3031</v>
      </c>
      <c r="E44" s="202" t="s">
        <v>2785</v>
      </c>
      <c r="F44" s="202" t="s">
        <v>3592</v>
      </c>
      <c r="G44" s="559">
        <v>25723089</v>
      </c>
      <c r="H44" s="559">
        <v>20174000</v>
      </c>
      <c r="I44" s="559">
        <v>12565089</v>
      </c>
      <c r="J44" s="560">
        <f>H44*2/100</f>
        <v>403480</v>
      </c>
      <c r="K44" s="559">
        <f t="shared" si="9"/>
        <v>32739089</v>
      </c>
      <c r="L44" s="559">
        <f t="shared" si="10"/>
        <v>6612520</v>
      </c>
      <c r="M44" s="457">
        <v>45323</v>
      </c>
      <c r="N44" s="457">
        <v>45357</v>
      </c>
      <c r="O44" s="458" t="s">
        <v>3330</v>
      </c>
      <c r="P44" s="458" t="s">
        <v>40</v>
      </c>
    </row>
    <row r="45" spans="1:20" s="460" customFormat="1">
      <c r="A45" s="1095" t="s">
        <v>3560</v>
      </c>
      <c r="B45" s="1095"/>
      <c r="C45" s="1095"/>
      <c r="D45" s="1095"/>
      <c r="E45" s="1095"/>
      <c r="F45" s="1095"/>
      <c r="G45" s="461"/>
      <c r="H45" s="561">
        <f>SUM(H32:H42)</f>
        <v>75304000</v>
      </c>
      <c r="I45" s="561"/>
      <c r="J45" s="562">
        <f>SUM(J40:J42)</f>
        <v>188120</v>
      </c>
      <c r="K45" s="561"/>
      <c r="L45" s="461">
        <f>SUM(L32:L44)</f>
        <v>38650912</v>
      </c>
      <c r="M45" s="464"/>
      <c r="N45" s="464"/>
    </row>
    <row r="46" spans="1:20" s="458" customFormat="1" ht="17.5">
      <c r="A46" s="455" t="s">
        <v>3593</v>
      </c>
      <c r="B46" s="455"/>
      <c r="C46" s="455"/>
      <c r="D46" s="455"/>
      <c r="E46" s="455"/>
      <c r="F46" s="455"/>
      <c r="G46" s="563"/>
      <c r="H46" s="564"/>
      <c r="I46" s="564"/>
      <c r="J46" s="565"/>
      <c r="K46" s="564"/>
      <c r="L46" s="563"/>
      <c r="M46" s="456"/>
      <c r="N46" s="456"/>
      <c r="O46"/>
      <c r="P46"/>
      <c r="Q46"/>
      <c r="R46"/>
    </row>
    <row r="47" spans="1:20" s="458" customFormat="1">
      <c r="A47" s="202">
        <v>1</v>
      </c>
      <c r="B47" s="202" t="s">
        <v>2751</v>
      </c>
      <c r="C47" s="202" t="s">
        <v>3073</v>
      </c>
      <c r="D47" s="202" t="s">
        <v>3069</v>
      </c>
      <c r="E47" s="202" t="s">
        <v>2753</v>
      </c>
      <c r="F47" s="202" t="s">
        <v>3594</v>
      </c>
      <c r="G47" s="559">
        <v>6268188</v>
      </c>
      <c r="H47" s="559">
        <v>5132500</v>
      </c>
      <c r="I47" s="559">
        <v>5445188</v>
      </c>
      <c r="J47" s="560">
        <v>0</v>
      </c>
      <c r="K47" s="559">
        <f t="shared" ref="K47:K63" si="12">H47+I47</f>
        <v>10577688</v>
      </c>
      <c r="L47" s="559">
        <f t="shared" ref="L47:L59" si="13">H47+I47-J47-G47</f>
        <v>4309500</v>
      </c>
      <c r="M47" s="457">
        <v>45356</v>
      </c>
      <c r="N47" s="457">
        <v>45432</v>
      </c>
      <c r="O47" s="458" t="s">
        <v>3330</v>
      </c>
      <c r="P47" s="459" t="s">
        <v>3595</v>
      </c>
    </row>
    <row r="48" spans="1:20" s="458" customFormat="1">
      <c r="A48" s="202">
        <v>2</v>
      </c>
      <c r="B48" s="202" t="s">
        <v>3144</v>
      </c>
      <c r="C48" s="202" t="s">
        <v>3148</v>
      </c>
      <c r="D48" s="202" t="s">
        <v>3145</v>
      </c>
      <c r="E48" s="202" t="s">
        <v>3581</v>
      </c>
      <c r="F48" s="202" t="s">
        <v>3153</v>
      </c>
      <c r="G48" s="559">
        <v>1100000</v>
      </c>
      <c r="H48" s="559">
        <v>1250000</v>
      </c>
      <c r="I48" s="559">
        <v>0</v>
      </c>
      <c r="J48" s="560">
        <v>0</v>
      </c>
      <c r="K48" s="559">
        <f t="shared" si="12"/>
        <v>1250000</v>
      </c>
      <c r="L48" s="559">
        <f t="shared" si="13"/>
        <v>150000</v>
      </c>
      <c r="M48" s="457">
        <v>45342</v>
      </c>
      <c r="N48" s="457">
        <v>45352</v>
      </c>
      <c r="O48" s="458" t="s">
        <v>3330</v>
      </c>
      <c r="P48" s="458" t="s">
        <v>40</v>
      </c>
    </row>
    <row r="49" spans="1:16" s="458" customFormat="1">
      <c r="A49" s="202">
        <v>3</v>
      </c>
      <c r="B49" s="202" t="s">
        <v>3144</v>
      </c>
      <c r="C49" s="202" t="s">
        <v>3156</v>
      </c>
      <c r="D49" s="202" t="s">
        <v>3154</v>
      </c>
      <c r="E49" s="202" t="s">
        <v>3581</v>
      </c>
      <c r="F49" s="202" t="s">
        <v>3157</v>
      </c>
      <c r="G49" s="559">
        <v>3300000</v>
      </c>
      <c r="H49" s="559">
        <v>3750000</v>
      </c>
      <c r="I49" s="559">
        <v>0</v>
      </c>
      <c r="J49" s="560">
        <v>0</v>
      </c>
      <c r="K49" s="559">
        <f t="shared" si="12"/>
        <v>3750000</v>
      </c>
      <c r="L49" s="559">
        <f t="shared" si="13"/>
        <v>450000</v>
      </c>
      <c r="M49" s="457">
        <v>45342</v>
      </c>
      <c r="N49" s="457">
        <v>45352</v>
      </c>
      <c r="O49" s="458" t="s">
        <v>3330</v>
      </c>
      <c r="P49" s="458" t="s">
        <v>40</v>
      </c>
    </row>
    <row r="50" spans="1:16" s="458" customFormat="1">
      <c r="A50" s="202">
        <v>4</v>
      </c>
      <c r="B50" s="202" t="s">
        <v>2751</v>
      </c>
      <c r="C50" s="202" t="s">
        <v>3080</v>
      </c>
      <c r="D50" s="202" t="s">
        <v>3077</v>
      </c>
      <c r="E50" s="202" t="s">
        <v>2753</v>
      </c>
      <c r="F50" s="202" t="s">
        <v>3596</v>
      </c>
      <c r="G50" s="559">
        <v>14683350</v>
      </c>
      <c r="H50" s="559">
        <v>6136000</v>
      </c>
      <c r="I50" s="559">
        <v>13877452</v>
      </c>
      <c r="J50" s="560">
        <v>0</v>
      </c>
      <c r="K50" s="559">
        <f t="shared" si="12"/>
        <v>20013452</v>
      </c>
      <c r="L50" s="559">
        <f t="shared" si="13"/>
        <v>5330102</v>
      </c>
      <c r="M50" s="457">
        <v>45357</v>
      </c>
      <c r="N50" s="457">
        <v>45378</v>
      </c>
      <c r="O50" s="458" t="s">
        <v>3330</v>
      </c>
      <c r="P50" s="459" t="s">
        <v>3585</v>
      </c>
    </row>
    <row r="51" spans="1:16" s="458" customFormat="1">
      <c r="A51" s="202">
        <v>5</v>
      </c>
      <c r="B51" s="202" t="s">
        <v>3144</v>
      </c>
      <c r="C51" s="202" t="s">
        <v>3181</v>
      </c>
      <c r="D51" s="202" t="s">
        <v>3178</v>
      </c>
      <c r="E51" s="202" t="s">
        <v>3581</v>
      </c>
      <c r="F51" s="202" t="s">
        <v>3184</v>
      </c>
      <c r="G51" s="559">
        <v>1100000</v>
      </c>
      <c r="H51" s="559">
        <v>1250000</v>
      </c>
      <c r="I51" s="559">
        <v>0</v>
      </c>
      <c r="J51" s="560">
        <v>0</v>
      </c>
      <c r="K51" s="559">
        <f>H51+K46</f>
        <v>1250000</v>
      </c>
      <c r="L51" s="559">
        <f t="shared" si="13"/>
        <v>150000</v>
      </c>
      <c r="M51" s="457">
        <v>45343</v>
      </c>
      <c r="N51" s="457">
        <v>45352</v>
      </c>
      <c r="O51" s="458" t="s">
        <v>3330</v>
      </c>
      <c r="P51" s="458" t="s">
        <v>40</v>
      </c>
    </row>
    <row r="52" spans="1:16" s="458" customFormat="1">
      <c r="A52" s="202">
        <v>6</v>
      </c>
      <c r="B52" s="202" t="s">
        <v>3185</v>
      </c>
      <c r="C52" s="202" t="s">
        <v>3187</v>
      </c>
      <c r="D52" s="202" t="s">
        <v>3597</v>
      </c>
      <c r="E52" s="202" t="s">
        <v>3581</v>
      </c>
      <c r="F52" s="202" t="s">
        <v>3191</v>
      </c>
      <c r="G52" s="559">
        <v>2210000</v>
      </c>
      <c r="H52" s="559">
        <v>2856000</v>
      </c>
      <c r="I52" s="559">
        <v>0</v>
      </c>
      <c r="J52" s="560">
        <v>0</v>
      </c>
      <c r="K52" s="559">
        <f t="shared" si="12"/>
        <v>2856000</v>
      </c>
      <c r="L52" s="559">
        <f t="shared" si="13"/>
        <v>646000</v>
      </c>
      <c r="M52" s="457">
        <v>45343</v>
      </c>
      <c r="N52" s="457">
        <v>45400</v>
      </c>
      <c r="O52" s="458" t="s">
        <v>3330</v>
      </c>
      <c r="P52" s="458" t="s">
        <v>40</v>
      </c>
    </row>
    <row r="53" spans="1:16" s="458" customFormat="1">
      <c r="A53" s="202">
        <v>7</v>
      </c>
      <c r="B53" s="202" t="s">
        <v>2751</v>
      </c>
      <c r="C53" s="202" t="s">
        <v>3088</v>
      </c>
      <c r="D53" s="202" t="s">
        <v>3086</v>
      </c>
      <c r="E53" s="202" t="s">
        <v>2753</v>
      </c>
      <c r="F53" s="202" t="s">
        <v>3598</v>
      </c>
      <c r="G53" s="559">
        <v>10457023</v>
      </c>
      <c r="H53" s="559">
        <v>8298000</v>
      </c>
      <c r="I53" s="559">
        <v>8277023</v>
      </c>
      <c r="J53" s="560">
        <v>0</v>
      </c>
      <c r="K53" s="559">
        <f t="shared" si="12"/>
        <v>16575023</v>
      </c>
      <c r="L53" s="559">
        <f t="shared" si="13"/>
        <v>6118000</v>
      </c>
      <c r="M53" s="457">
        <v>45396</v>
      </c>
      <c r="N53" s="457">
        <v>45432</v>
      </c>
      <c r="O53" s="458" t="s">
        <v>3330</v>
      </c>
      <c r="P53" s="459" t="s">
        <v>3595</v>
      </c>
    </row>
    <row r="54" spans="1:16" s="458" customFormat="1">
      <c r="A54" s="202">
        <v>8</v>
      </c>
      <c r="B54" s="202" t="s">
        <v>2751</v>
      </c>
      <c r="C54" s="202" t="s">
        <v>3094</v>
      </c>
      <c r="D54" s="202" t="s">
        <v>3092</v>
      </c>
      <c r="E54" s="202" t="s">
        <v>2753</v>
      </c>
      <c r="F54" s="202" t="s">
        <v>3599</v>
      </c>
      <c r="G54" s="559">
        <v>2844600</v>
      </c>
      <c r="H54" s="559">
        <v>2586000</v>
      </c>
      <c r="I54" s="559">
        <v>1255188</v>
      </c>
      <c r="J54" s="560">
        <v>0</v>
      </c>
      <c r="K54" s="559">
        <f t="shared" si="12"/>
        <v>3841188</v>
      </c>
      <c r="L54" s="559">
        <f t="shared" si="13"/>
        <v>996588</v>
      </c>
      <c r="M54" s="457">
        <v>45367</v>
      </c>
      <c r="N54" s="457">
        <v>45378</v>
      </c>
      <c r="O54" s="458" t="s">
        <v>3330</v>
      </c>
      <c r="P54" s="459" t="s">
        <v>3585</v>
      </c>
    </row>
    <row r="55" spans="1:16" s="458" customFormat="1">
      <c r="A55" s="202">
        <v>9</v>
      </c>
      <c r="B55" s="202" t="s">
        <v>2751</v>
      </c>
      <c r="C55" s="202" t="s">
        <v>3099</v>
      </c>
      <c r="D55" s="202" t="s">
        <v>3097</v>
      </c>
      <c r="E55" s="202" t="s">
        <v>2753</v>
      </c>
      <c r="F55" s="202" t="s">
        <v>3600</v>
      </c>
      <c r="G55" s="559">
        <v>5721100</v>
      </c>
      <c r="H55" s="559">
        <v>4786000</v>
      </c>
      <c r="I55" s="559">
        <v>2559216</v>
      </c>
      <c r="J55" s="560">
        <v>0</v>
      </c>
      <c r="K55" s="559">
        <f t="shared" si="12"/>
        <v>7345216</v>
      </c>
      <c r="L55" s="559">
        <f t="shared" si="13"/>
        <v>1624116</v>
      </c>
      <c r="M55" s="457">
        <v>45364</v>
      </c>
      <c r="N55" s="457">
        <v>45378</v>
      </c>
      <c r="O55" s="458" t="s">
        <v>3330</v>
      </c>
      <c r="P55" s="459" t="s">
        <v>3585</v>
      </c>
    </row>
    <row r="56" spans="1:16" s="458" customFormat="1">
      <c r="A56" s="202">
        <v>10</v>
      </c>
      <c r="B56" s="202" t="s">
        <v>2751</v>
      </c>
      <c r="C56" s="202" t="s">
        <v>3106</v>
      </c>
      <c r="D56" s="202" t="s">
        <v>3104</v>
      </c>
      <c r="E56" s="202" t="s">
        <v>2753</v>
      </c>
      <c r="F56" s="202" t="s">
        <v>3601</v>
      </c>
      <c r="G56" s="559">
        <v>12427200</v>
      </c>
      <c r="H56" s="559">
        <v>7986000</v>
      </c>
      <c r="I56" s="559">
        <v>8106784</v>
      </c>
      <c r="J56" s="560">
        <v>0</v>
      </c>
      <c r="K56" s="559">
        <f t="shared" si="12"/>
        <v>16092784</v>
      </c>
      <c r="L56" s="559">
        <f t="shared" si="13"/>
        <v>3665584</v>
      </c>
      <c r="M56" s="457">
        <v>45366</v>
      </c>
      <c r="N56" s="457">
        <v>45378</v>
      </c>
      <c r="O56" s="458" t="s">
        <v>3330</v>
      </c>
      <c r="P56" s="459" t="s">
        <v>3585</v>
      </c>
    </row>
    <row r="57" spans="1:16" s="458" customFormat="1">
      <c r="A57" s="202">
        <v>11</v>
      </c>
      <c r="B57" s="202" t="s">
        <v>3111</v>
      </c>
      <c r="C57" s="202" t="s">
        <v>3115</v>
      </c>
      <c r="D57" s="202" t="s">
        <v>3112</v>
      </c>
      <c r="E57" s="202" t="s">
        <v>3581</v>
      </c>
      <c r="F57" s="202" t="s">
        <v>3602</v>
      </c>
      <c r="G57" s="559">
        <v>2510000</v>
      </c>
      <c r="H57" s="559">
        <v>3550000</v>
      </c>
      <c r="I57" s="559">
        <v>0</v>
      </c>
      <c r="J57" s="560">
        <v>0</v>
      </c>
      <c r="K57" s="559">
        <f t="shared" si="12"/>
        <v>3550000</v>
      </c>
      <c r="L57" s="559">
        <f t="shared" si="13"/>
        <v>1040000</v>
      </c>
      <c r="M57" s="457">
        <v>45338</v>
      </c>
      <c r="N57" s="457">
        <v>45339</v>
      </c>
      <c r="O57" s="458" t="s">
        <v>3330</v>
      </c>
      <c r="P57" s="458" t="s">
        <v>40</v>
      </c>
    </row>
    <row r="58" spans="1:16" s="458" customFormat="1">
      <c r="A58" s="202">
        <v>12</v>
      </c>
      <c r="B58" s="202" t="s">
        <v>3119</v>
      </c>
      <c r="C58" s="202" t="s">
        <v>3125</v>
      </c>
      <c r="D58" s="202" t="s">
        <v>3120</v>
      </c>
      <c r="E58" s="202" t="s">
        <v>3581</v>
      </c>
      <c r="F58" s="202" t="s">
        <v>3128</v>
      </c>
      <c r="G58" s="559">
        <v>2455300</v>
      </c>
      <c r="H58" s="559">
        <v>3055300</v>
      </c>
      <c r="I58" s="559">
        <v>0</v>
      </c>
      <c r="J58" s="560">
        <v>0</v>
      </c>
      <c r="K58" s="559">
        <f t="shared" si="12"/>
        <v>3055300</v>
      </c>
      <c r="L58" s="559">
        <f t="shared" si="13"/>
        <v>600000</v>
      </c>
      <c r="M58" s="457">
        <v>45344</v>
      </c>
      <c r="N58" s="457">
        <v>45347</v>
      </c>
      <c r="O58" s="458" t="s">
        <v>3330</v>
      </c>
      <c r="P58" s="458" t="s">
        <v>40</v>
      </c>
    </row>
    <row r="59" spans="1:16" s="458" customFormat="1">
      <c r="A59" s="202">
        <v>13</v>
      </c>
      <c r="B59" s="202" t="s">
        <v>3119</v>
      </c>
      <c r="C59" s="202" t="s">
        <v>3132</v>
      </c>
      <c r="D59" s="202" t="s">
        <v>3129</v>
      </c>
      <c r="E59" s="202" t="s">
        <v>3581</v>
      </c>
      <c r="F59" s="202" t="s">
        <v>3133</v>
      </c>
      <c r="G59" s="559">
        <v>4920600</v>
      </c>
      <c r="H59" s="559">
        <v>6110600</v>
      </c>
      <c r="I59" s="559">
        <v>0</v>
      </c>
      <c r="J59" s="560">
        <v>0</v>
      </c>
      <c r="K59" s="559">
        <f t="shared" si="12"/>
        <v>6110600</v>
      </c>
      <c r="L59" s="559">
        <f t="shared" si="13"/>
        <v>1190000</v>
      </c>
      <c r="M59" s="457">
        <v>45344</v>
      </c>
      <c r="N59" s="457">
        <v>45347</v>
      </c>
      <c r="O59" s="458" t="s">
        <v>3330</v>
      </c>
      <c r="P59" s="458" t="s">
        <v>40</v>
      </c>
    </row>
    <row r="60" spans="1:16" s="458" customFormat="1">
      <c r="A60" s="202">
        <v>14</v>
      </c>
      <c r="B60" s="202" t="s">
        <v>3167</v>
      </c>
      <c r="C60" s="202" t="s">
        <v>3173</v>
      </c>
      <c r="D60" s="202" t="s">
        <v>3168</v>
      </c>
      <c r="E60" s="202" t="s">
        <v>3603</v>
      </c>
      <c r="F60" s="202" t="s">
        <v>3177</v>
      </c>
      <c r="G60" s="559">
        <v>1029300</v>
      </c>
      <c r="H60" s="559">
        <v>2663188</v>
      </c>
      <c r="I60" s="559">
        <v>1254226</v>
      </c>
      <c r="J60" s="236">
        <v>0</v>
      </c>
      <c r="K60" s="559">
        <f t="shared" si="12"/>
        <v>3917414</v>
      </c>
      <c r="L60" s="559">
        <f>H60+I60-J88-G60</f>
        <v>2888114</v>
      </c>
      <c r="M60" s="457">
        <v>45373</v>
      </c>
      <c r="N60" s="457">
        <v>45369</v>
      </c>
      <c r="O60" s="458" t="s">
        <v>3330</v>
      </c>
      <c r="P60" s="458" t="s">
        <v>40</v>
      </c>
    </row>
    <row r="61" spans="1:16" s="458" customFormat="1">
      <c r="A61" s="202">
        <v>15</v>
      </c>
      <c r="B61" s="202" t="s">
        <v>2751</v>
      </c>
      <c r="C61" s="202" t="s">
        <v>3137</v>
      </c>
      <c r="D61" s="202" t="s">
        <v>3135</v>
      </c>
      <c r="E61" s="202" t="s">
        <v>2753</v>
      </c>
      <c r="F61" s="202" t="s">
        <v>3604</v>
      </c>
      <c r="G61" s="559">
        <v>4248700</v>
      </c>
      <c r="H61" s="559">
        <v>4298000</v>
      </c>
      <c r="I61" s="559">
        <v>1744032</v>
      </c>
      <c r="J61" s="560">
        <v>0</v>
      </c>
      <c r="K61" s="559">
        <f t="shared" si="12"/>
        <v>6042032</v>
      </c>
      <c r="L61" s="559">
        <f t="shared" ref="L61:L63" si="14">H61+I61-J61-G61</f>
        <v>1793332</v>
      </c>
      <c r="M61" s="457">
        <v>45383</v>
      </c>
      <c r="N61" s="457">
        <v>45432</v>
      </c>
      <c r="O61" s="458" t="s">
        <v>3330</v>
      </c>
      <c r="P61" s="459" t="s">
        <v>3595</v>
      </c>
    </row>
    <row r="62" spans="1:16" s="458" customFormat="1">
      <c r="A62" s="202">
        <v>16</v>
      </c>
      <c r="B62" s="202" t="s">
        <v>2751</v>
      </c>
      <c r="C62" s="202" t="s">
        <v>3141</v>
      </c>
      <c r="D62" s="202" t="s">
        <v>3139</v>
      </c>
      <c r="E62" s="202" t="s">
        <v>2753</v>
      </c>
      <c r="F62" s="202" t="s">
        <v>3605</v>
      </c>
      <c r="G62" s="559">
        <v>21022750</v>
      </c>
      <c r="H62" s="559">
        <v>6448000</v>
      </c>
      <c r="I62" s="559">
        <v>18542560</v>
      </c>
      <c r="J62" s="560">
        <v>0</v>
      </c>
      <c r="K62" s="559">
        <f t="shared" si="12"/>
        <v>24990560</v>
      </c>
      <c r="L62" s="559">
        <f t="shared" si="14"/>
        <v>3967810</v>
      </c>
      <c r="M62" s="457">
        <v>45383</v>
      </c>
      <c r="N62" s="457">
        <v>45432</v>
      </c>
      <c r="O62" s="458" t="s">
        <v>3330</v>
      </c>
      <c r="P62" s="459" t="s">
        <v>3595</v>
      </c>
    </row>
    <row r="63" spans="1:16" s="458" customFormat="1">
      <c r="A63" s="202">
        <v>17</v>
      </c>
      <c r="B63" s="202" t="s">
        <v>2803</v>
      </c>
      <c r="C63" s="202" t="s">
        <v>3162</v>
      </c>
      <c r="D63" s="202" t="s">
        <v>3160</v>
      </c>
      <c r="E63" s="202" t="s">
        <v>3581</v>
      </c>
      <c r="F63" s="202" t="s">
        <v>3166</v>
      </c>
      <c r="G63" s="559">
        <v>3262258</v>
      </c>
      <c r="H63" s="559">
        <v>3700000</v>
      </c>
      <c r="I63" s="559">
        <v>0</v>
      </c>
      <c r="J63" s="560">
        <v>74000</v>
      </c>
      <c r="K63" s="559">
        <f t="shared" si="12"/>
        <v>3700000</v>
      </c>
      <c r="L63" s="559">
        <f t="shared" si="14"/>
        <v>363742</v>
      </c>
      <c r="M63" s="457">
        <v>45358</v>
      </c>
      <c r="N63" s="457">
        <v>45365</v>
      </c>
      <c r="O63" s="458" t="s">
        <v>3330</v>
      </c>
      <c r="P63" s="458" t="s">
        <v>40</v>
      </c>
    </row>
    <row r="64" spans="1:16" s="458" customFormat="1">
      <c r="A64" s="1095" t="s">
        <v>3560</v>
      </c>
      <c r="B64" s="1095"/>
      <c r="C64" s="1095"/>
      <c r="D64" s="1095"/>
      <c r="E64" s="1095"/>
      <c r="F64" s="1095"/>
      <c r="G64" s="461"/>
      <c r="H64" s="561">
        <f>SUM(H47:H57)</f>
        <v>47580500</v>
      </c>
      <c r="I64" s="561"/>
      <c r="J64" s="562">
        <f>SUM(J55:J57)</f>
        <v>0</v>
      </c>
      <c r="K64" s="561"/>
      <c r="L64" s="461">
        <f>SUM(L47:L63)</f>
        <v>35282888</v>
      </c>
      <c r="M64" s="464"/>
      <c r="N64" s="464"/>
    </row>
    <row r="65" spans="1:18" s="458" customFormat="1">
      <c r="A65" s="202"/>
      <c r="B65" s="202"/>
      <c r="C65" s="202"/>
      <c r="D65" s="202"/>
      <c r="E65" s="202"/>
      <c r="F65" s="202"/>
      <c r="G65" s="559"/>
      <c r="H65" s="559"/>
      <c r="I65" s="559"/>
      <c r="J65" s="560"/>
      <c r="K65" s="559"/>
      <c r="L65" s="559"/>
      <c r="M65" s="457"/>
      <c r="N65" s="457"/>
    </row>
    <row r="66" spans="1:18" s="458" customFormat="1" ht="17.5">
      <c r="A66" s="455" t="s">
        <v>3606</v>
      </c>
      <c r="B66" s="455"/>
      <c r="C66" s="455"/>
      <c r="D66" s="455"/>
      <c r="E66" s="455"/>
      <c r="F66" s="455"/>
      <c r="G66" s="563"/>
      <c r="H66" s="564"/>
      <c r="I66" s="564"/>
      <c r="J66" s="565"/>
      <c r="K66" s="564"/>
      <c r="L66" s="563"/>
      <c r="M66" s="456"/>
      <c r="N66" s="456"/>
    </row>
    <row r="67" spans="1:18" s="458" customFormat="1">
      <c r="A67" s="202"/>
      <c r="B67" s="202" t="s">
        <v>3144</v>
      </c>
      <c r="C67" s="202" t="s">
        <v>3196</v>
      </c>
      <c r="D67" s="202" t="s">
        <v>3193</v>
      </c>
      <c r="E67" s="202" t="s">
        <v>3581</v>
      </c>
      <c r="F67" s="202" t="s">
        <v>3201</v>
      </c>
      <c r="G67" s="559">
        <v>2100000</v>
      </c>
      <c r="H67" s="559">
        <v>2500000</v>
      </c>
      <c r="I67" s="559">
        <v>0</v>
      </c>
      <c r="J67" s="560">
        <v>0</v>
      </c>
      <c r="K67" s="559">
        <f t="shared" ref="K67:K72" si="15">H67+I67</f>
        <v>2500000</v>
      </c>
      <c r="L67" s="559">
        <f t="shared" ref="L67:L72" si="16">H67+I67-J67-G67</f>
        <v>400000</v>
      </c>
      <c r="M67" s="457">
        <v>45379</v>
      </c>
      <c r="N67" s="457">
        <v>41724</v>
      </c>
      <c r="O67" s="458" t="s">
        <v>3330</v>
      </c>
      <c r="P67" s="467" t="s">
        <v>3607</v>
      </c>
    </row>
    <row r="68" spans="1:18" s="458" customFormat="1">
      <c r="A68" s="202"/>
      <c r="B68" s="202" t="s">
        <v>3144</v>
      </c>
      <c r="C68" s="202" t="s">
        <v>3608</v>
      </c>
      <c r="D68" s="202" t="s">
        <v>3203</v>
      </c>
      <c r="E68" s="202" t="s">
        <v>3581</v>
      </c>
      <c r="F68" s="202" t="s">
        <v>3209</v>
      </c>
      <c r="G68" s="559">
        <v>1600000</v>
      </c>
      <c r="H68" s="559">
        <v>3400000</v>
      </c>
      <c r="I68" s="559">
        <v>0</v>
      </c>
      <c r="J68" s="560">
        <v>0</v>
      </c>
      <c r="K68" s="559">
        <f t="shared" si="15"/>
        <v>3400000</v>
      </c>
      <c r="L68" s="559">
        <f t="shared" si="16"/>
        <v>1800000</v>
      </c>
      <c r="M68" s="457">
        <v>45379</v>
      </c>
      <c r="N68" s="457">
        <v>41724</v>
      </c>
      <c r="O68" s="458" t="s">
        <v>3330</v>
      </c>
      <c r="P68" s="467" t="s">
        <v>3607</v>
      </c>
    </row>
    <row r="69" spans="1:18" s="458" customFormat="1">
      <c r="A69" s="202"/>
      <c r="B69" s="202" t="s">
        <v>3144</v>
      </c>
      <c r="C69" s="202" t="s">
        <v>3609</v>
      </c>
      <c r="D69" s="202" t="s">
        <v>3610</v>
      </c>
      <c r="E69" s="202" t="s">
        <v>3581</v>
      </c>
      <c r="F69" s="202" t="s">
        <v>3611</v>
      </c>
      <c r="G69" s="559">
        <v>2100000</v>
      </c>
      <c r="H69" s="559">
        <v>2500000</v>
      </c>
      <c r="I69" s="559">
        <v>0</v>
      </c>
      <c r="J69" s="560">
        <v>0</v>
      </c>
      <c r="K69" s="559">
        <f t="shared" si="15"/>
        <v>2500000</v>
      </c>
      <c r="L69" s="559">
        <f t="shared" si="16"/>
        <v>400000</v>
      </c>
      <c r="M69" s="457">
        <v>45391</v>
      </c>
      <c r="N69" s="457">
        <v>45387</v>
      </c>
      <c r="O69" s="458" t="s">
        <v>3330</v>
      </c>
    </row>
    <row r="70" spans="1:18" s="458" customFormat="1">
      <c r="A70" s="202"/>
      <c r="B70" s="202" t="s">
        <v>2740</v>
      </c>
      <c r="C70" s="202" t="s">
        <v>3612</v>
      </c>
      <c r="D70" s="202" t="s">
        <v>3613</v>
      </c>
      <c r="E70" s="202" t="s">
        <v>2753</v>
      </c>
      <c r="F70" s="202" t="s">
        <v>3083</v>
      </c>
      <c r="G70" s="559">
        <v>6451616</v>
      </c>
      <c r="H70" s="559">
        <v>3275000</v>
      </c>
      <c r="I70" s="559">
        <v>4650116</v>
      </c>
      <c r="J70" s="560">
        <v>0</v>
      </c>
      <c r="K70" s="559">
        <f t="shared" si="15"/>
        <v>7925116</v>
      </c>
      <c r="L70" s="559">
        <f t="shared" si="16"/>
        <v>1473500</v>
      </c>
      <c r="M70" s="457">
        <v>45387</v>
      </c>
      <c r="N70" s="457">
        <v>45400</v>
      </c>
      <c r="O70" s="458" t="s">
        <v>3330</v>
      </c>
    </row>
    <row r="71" spans="1:18" s="458" customFormat="1">
      <c r="A71" s="202"/>
      <c r="B71" s="202" t="s">
        <v>3167</v>
      </c>
      <c r="C71" s="202" t="s">
        <v>3614</v>
      </c>
      <c r="D71" s="202" t="s">
        <v>3615</v>
      </c>
      <c r="E71" s="202" t="s">
        <v>3616</v>
      </c>
      <c r="F71" s="202" t="s">
        <v>3617</v>
      </c>
      <c r="G71" s="559">
        <v>1403879</v>
      </c>
      <c r="H71" s="559">
        <v>3016465.06</v>
      </c>
      <c r="I71" s="559">
        <v>1133721</v>
      </c>
      <c r="J71" s="560">
        <v>0</v>
      </c>
      <c r="K71" s="559">
        <f t="shared" si="15"/>
        <v>4150186.06</v>
      </c>
      <c r="L71" s="559">
        <f t="shared" si="16"/>
        <v>2746307.06</v>
      </c>
      <c r="M71" s="457">
        <v>45396</v>
      </c>
      <c r="N71" s="457">
        <v>45408</v>
      </c>
      <c r="O71" s="458" t="s">
        <v>3330</v>
      </c>
      <c r="P71" s="458" t="s">
        <v>3618</v>
      </c>
    </row>
    <row r="72" spans="1:18" s="458" customFormat="1">
      <c r="A72" s="202"/>
      <c r="B72" s="202" t="s">
        <v>2969</v>
      </c>
      <c r="C72" s="202" t="s">
        <v>3619</v>
      </c>
      <c r="D72" s="202" t="s">
        <v>3620</v>
      </c>
      <c r="E72" s="202" t="s">
        <v>3581</v>
      </c>
      <c r="F72" s="202" t="s">
        <v>3621</v>
      </c>
      <c r="G72" s="559">
        <v>21200000</v>
      </c>
      <c r="H72" s="559">
        <v>27000000</v>
      </c>
      <c r="I72" s="559">
        <v>0</v>
      </c>
      <c r="J72" s="560">
        <v>0</v>
      </c>
      <c r="K72" s="559">
        <f t="shared" si="15"/>
        <v>27000000</v>
      </c>
      <c r="L72" s="559">
        <f t="shared" si="16"/>
        <v>5800000</v>
      </c>
      <c r="M72" s="457">
        <v>45391</v>
      </c>
      <c r="N72" s="457">
        <v>45387</v>
      </c>
      <c r="O72" s="458" t="s">
        <v>3330</v>
      </c>
    </row>
    <row r="73" spans="1:18" s="458" customFormat="1">
      <c r="A73" s="1095" t="s">
        <v>3560</v>
      </c>
      <c r="B73" s="1095"/>
      <c r="C73" s="1095"/>
      <c r="D73" s="1095"/>
      <c r="E73" s="1095"/>
      <c r="F73" s="1095"/>
      <c r="G73" s="574"/>
      <c r="H73" s="561">
        <f t="shared" ref="H73:L73" si="17">SUM(H67:H72)</f>
        <v>41691465.060000002</v>
      </c>
      <c r="I73" s="561"/>
      <c r="J73" s="562">
        <f t="shared" si="17"/>
        <v>0</v>
      </c>
      <c r="K73" s="561"/>
      <c r="L73" s="461">
        <f t="shared" si="17"/>
        <v>12619807.060000001</v>
      </c>
      <c r="M73" s="464"/>
      <c r="N73" s="464"/>
    </row>
    <row r="74" spans="1:18" s="458" customFormat="1" ht="17.5">
      <c r="A74" s="455" t="s">
        <v>3622</v>
      </c>
      <c r="B74" s="455"/>
      <c r="C74" s="455"/>
      <c r="D74" s="455"/>
      <c r="E74" s="455"/>
      <c r="F74" s="455"/>
      <c r="G74" s="563"/>
      <c r="H74" s="564"/>
      <c r="I74" s="564"/>
      <c r="J74" s="565"/>
      <c r="K74" s="564"/>
      <c r="L74" s="563"/>
      <c r="M74" s="456"/>
      <c r="N74" s="456"/>
    </row>
    <row r="75" spans="1:18" s="458" customFormat="1">
      <c r="A75" s="202"/>
      <c r="B75" s="202" t="s">
        <v>3047</v>
      </c>
      <c r="C75" s="202" t="s">
        <v>3623</v>
      </c>
      <c r="D75" s="202" t="s">
        <v>3624</v>
      </c>
      <c r="E75" s="202" t="s">
        <v>2805</v>
      </c>
      <c r="F75" s="202" t="s">
        <v>3625</v>
      </c>
      <c r="G75" s="559">
        <v>3349938</v>
      </c>
      <c r="H75" s="559">
        <v>5987500</v>
      </c>
      <c r="I75" s="559">
        <v>0</v>
      </c>
      <c r="J75" s="560">
        <v>0</v>
      </c>
      <c r="K75" s="559">
        <f t="shared" ref="K75:K80" si="18">H75+I75</f>
        <v>5987500</v>
      </c>
      <c r="L75" s="559">
        <f t="shared" ref="L75:L80" si="19">H75+I75-J75-G75</f>
        <v>2637562</v>
      </c>
      <c r="M75" s="457">
        <v>45416</v>
      </c>
      <c r="N75" s="457">
        <v>45425</v>
      </c>
      <c r="O75" s="458" t="s">
        <v>3330</v>
      </c>
      <c r="P75" s="458" t="s">
        <v>40</v>
      </c>
    </row>
    <row r="76" spans="1:18">
      <c r="A76" s="202"/>
      <c r="B76" s="202" t="s">
        <v>3626</v>
      </c>
      <c r="C76" s="202" t="s">
        <v>3627</v>
      </c>
      <c r="D76" s="202" t="s">
        <v>3628</v>
      </c>
      <c r="E76" s="202" t="s">
        <v>3629</v>
      </c>
      <c r="F76" s="202" t="s">
        <v>3630</v>
      </c>
      <c r="G76" s="559">
        <v>3163610</v>
      </c>
      <c r="H76" s="559">
        <v>3900000</v>
      </c>
      <c r="I76" s="559">
        <v>1003610</v>
      </c>
      <c r="J76" s="560">
        <v>78000</v>
      </c>
      <c r="K76" s="559">
        <f t="shared" si="18"/>
        <v>4903610</v>
      </c>
      <c r="L76" s="559">
        <f t="shared" si="19"/>
        <v>1662000</v>
      </c>
      <c r="M76" s="457">
        <v>45384</v>
      </c>
      <c r="N76" s="457">
        <v>45387</v>
      </c>
      <c r="O76" s="458" t="s">
        <v>3330</v>
      </c>
      <c r="P76" s="458"/>
      <c r="Q76" s="458"/>
      <c r="R76" s="458"/>
    </row>
    <row r="77" spans="1:18" s="458" customFormat="1">
      <c r="A77" s="202" t="s">
        <v>543</v>
      </c>
      <c r="B77" s="202" t="s">
        <v>2751</v>
      </c>
      <c r="C77" s="202" t="s">
        <v>3631</v>
      </c>
      <c r="D77" s="202" t="s">
        <v>3632</v>
      </c>
      <c r="E77" s="202" t="s">
        <v>2753</v>
      </c>
      <c r="F77" s="202" t="s">
        <v>3633</v>
      </c>
      <c r="G77" s="559">
        <v>5209006</v>
      </c>
      <c r="H77" s="559">
        <v>4410000</v>
      </c>
      <c r="I77" s="559">
        <v>3974006</v>
      </c>
      <c r="J77" s="560">
        <v>0</v>
      </c>
      <c r="K77" s="559">
        <f t="shared" si="18"/>
        <v>8384006</v>
      </c>
      <c r="L77" s="559">
        <f t="shared" si="19"/>
        <v>3175000</v>
      </c>
      <c r="M77" s="457">
        <v>45502</v>
      </c>
      <c r="N77" s="457">
        <v>45516</v>
      </c>
      <c r="O77" s="458" t="s">
        <v>3330</v>
      </c>
      <c r="P77" s="459"/>
    </row>
    <row r="78" spans="1:18" s="458" customFormat="1">
      <c r="A78" s="202" t="s">
        <v>543</v>
      </c>
      <c r="B78" s="202" t="s">
        <v>2751</v>
      </c>
      <c r="C78" s="202" t="s">
        <v>3634</v>
      </c>
      <c r="D78" s="202" t="s">
        <v>3635</v>
      </c>
      <c r="E78" s="202" t="s">
        <v>2753</v>
      </c>
      <c r="F78" s="202" t="s">
        <v>3636</v>
      </c>
      <c r="G78" s="559">
        <v>14697028</v>
      </c>
      <c r="H78" s="559">
        <v>8310000</v>
      </c>
      <c r="I78" s="559">
        <v>12537028</v>
      </c>
      <c r="J78" s="560">
        <v>0</v>
      </c>
      <c r="K78" s="559">
        <f t="shared" si="18"/>
        <v>20847028</v>
      </c>
      <c r="L78" s="559">
        <f t="shared" si="19"/>
        <v>6150000</v>
      </c>
      <c r="M78" s="457">
        <v>45502</v>
      </c>
      <c r="N78" s="457">
        <v>45516</v>
      </c>
      <c r="O78" s="458" t="s">
        <v>3330</v>
      </c>
      <c r="P78" s="459"/>
    </row>
    <row r="79" spans="1:18" s="458" customFormat="1">
      <c r="A79" s="202" t="s">
        <v>543</v>
      </c>
      <c r="B79" s="202" t="s">
        <v>2751</v>
      </c>
      <c r="C79" s="202" t="s">
        <v>3637</v>
      </c>
      <c r="D79" s="202" t="s">
        <v>3638</v>
      </c>
      <c r="E79" s="202" t="s">
        <v>2753</v>
      </c>
      <c r="F79" s="202" t="s">
        <v>3639</v>
      </c>
      <c r="G79" s="559">
        <v>10952766</v>
      </c>
      <c r="H79" s="559">
        <v>8310000</v>
      </c>
      <c r="I79" s="559">
        <v>8792766</v>
      </c>
      <c r="J79" s="560">
        <v>0</v>
      </c>
      <c r="K79" s="559">
        <f t="shared" si="18"/>
        <v>17102766</v>
      </c>
      <c r="L79" s="559">
        <f t="shared" si="19"/>
        <v>6150000</v>
      </c>
      <c r="M79" s="457">
        <v>45502</v>
      </c>
      <c r="N79" s="457">
        <v>45516</v>
      </c>
      <c r="O79" s="458" t="s">
        <v>3330</v>
      </c>
      <c r="P79" s="459"/>
    </row>
    <row r="80" spans="1:18" s="458" customFormat="1">
      <c r="A80" s="202"/>
      <c r="B80" s="202" t="s">
        <v>2969</v>
      </c>
      <c r="C80" s="202" t="s">
        <v>3640</v>
      </c>
      <c r="D80" s="202" t="s">
        <v>3641</v>
      </c>
      <c r="E80" s="202" t="s">
        <v>3581</v>
      </c>
      <c r="F80" s="202" t="s">
        <v>3642</v>
      </c>
      <c r="G80" s="559">
        <v>13180000</v>
      </c>
      <c r="H80" s="559">
        <v>16750000</v>
      </c>
      <c r="I80" s="559">
        <v>0</v>
      </c>
      <c r="J80" s="560">
        <v>0</v>
      </c>
      <c r="K80" s="559">
        <f t="shared" si="18"/>
        <v>16750000</v>
      </c>
      <c r="L80" s="559">
        <f t="shared" si="19"/>
        <v>3570000</v>
      </c>
      <c r="M80" s="457">
        <v>45414</v>
      </c>
      <c r="N80" s="457">
        <v>45423</v>
      </c>
      <c r="O80" s="458" t="s">
        <v>3330</v>
      </c>
    </row>
    <row r="81" spans="1:18">
      <c r="A81" s="1095" t="s">
        <v>3560</v>
      </c>
      <c r="B81" s="1095"/>
      <c r="C81" s="1095"/>
      <c r="D81" s="1095"/>
      <c r="E81" s="1095"/>
      <c r="F81" s="1095"/>
      <c r="G81" s="574"/>
      <c r="H81" s="561">
        <f>SUM(H76:H80)</f>
        <v>41680000</v>
      </c>
      <c r="I81" s="561"/>
      <c r="J81" s="562">
        <f>SUM(J78:J79)</f>
        <v>0</v>
      </c>
      <c r="K81" s="561"/>
      <c r="L81" s="461">
        <f>SUM(L75:L80)</f>
        <v>23344562</v>
      </c>
      <c r="M81" s="464"/>
      <c r="N81" s="464"/>
      <c r="O81" s="458"/>
      <c r="P81" s="458"/>
      <c r="Q81" s="458"/>
      <c r="R81" s="458"/>
    </row>
    <row r="82" spans="1:18" ht="17.5">
      <c r="A82" s="455" t="s">
        <v>3643</v>
      </c>
      <c r="B82" s="455"/>
      <c r="C82" s="455"/>
      <c r="D82" s="455"/>
      <c r="E82" s="455"/>
      <c r="F82" s="455"/>
      <c r="G82" s="563"/>
      <c r="H82" s="564"/>
      <c r="I82" s="564"/>
      <c r="J82" s="565"/>
      <c r="K82" s="564"/>
      <c r="L82" s="563"/>
      <c r="M82" s="456"/>
      <c r="N82" s="456"/>
    </row>
    <row r="83" spans="1:18" s="458" customFormat="1">
      <c r="A83" s="202"/>
      <c r="B83" s="202" t="s">
        <v>3144</v>
      </c>
      <c r="C83" s="202" t="s">
        <v>3644</v>
      </c>
      <c r="D83" s="202" t="s">
        <v>3645</v>
      </c>
      <c r="E83" s="202" t="s">
        <v>3646</v>
      </c>
      <c r="F83" s="202" t="s">
        <v>3647</v>
      </c>
      <c r="G83" s="559">
        <v>5960990</v>
      </c>
      <c r="H83" s="559">
        <v>10730000</v>
      </c>
      <c r="I83" s="559">
        <v>675990</v>
      </c>
      <c r="J83" s="560">
        <v>0</v>
      </c>
      <c r="K83" s="559">
        <f t="shared" ref="K83:K87" si="20">H83+I83</f>
        <v>11405990</v>
      </c>
      <c r="L83" s="559">
        <f t="shared" ref="L83:L90" si="21">H83+I83-J83-G83</f>
        <v>5445000</v>
      </c>
      <c r="M83" s="457">
        <v>45436</v>
      </c>
      <c r="N83" s="457">
        <v>45468</v>
      </c>
      <c r="O83" s="458" t="s">
        <v>3330</v>
      </c>
      <c r="P83" s="458" t="s">
        <v>3648</v>
      </c>
    </row>
    <row r="84" spans="1:18" s="458" customFormat="1">
      <c r="A84" s="202"/>
      <c r="B84" s="202" t="s">
        <v>3649</v>
      </c>
      <c r="C84" s="202" t="s">
        <v>3650</v>
      </c>
      <c r="D84" s="202" t="s">
        <v>1919</v>
      </c>
      <c r="E84" s="202" t="s">
        <v>3581</v>
      </c>
      <c r="F84" s="202" t="s">
        <v>3651</v>
      </c>
      <c r="G84" s="559">
        <v>2419000</v>
      </c>
      <c r="H84" s="559">
        <v>3000000</v>
      </c>
      <c r="I84" s="559">
        <v>0</v>
      </c>
      <c r="J84" s="560">
        <v>0</v>
      </c>
      <c r="K84" s="559">
        <f t="shared" si="20"/>
        <v>3000000</v>
      </c>
      <c r="L84" s="559">
        <f t="shared" si="21"/>
        <v>581000</v>
      </c>
      <c r="M84" s="457">
        <v>45414</v>
      </c>
      <c r="N84" s="457">
        <v>45416</v>
      </c>
      <c r="O84" s="458" t="s">
        <v>3330</v>
      </c>
    </row>
    <row r="85" spans="1:18" s="458" customFormat="1">
      <c r="A85" s="202" t="s">
        <v>543</v>
      </c>
      <c r="B85" s="202" t="s">
        <v>2751</v>
      </c>
      <c r="C85" s="202" t="s">
        <v>3652</v>
      </c>
      <c r="D85" s="202" t="s">
        <v>3653</v>
      </c>
      <c r="E85" s="202" t="s">
        <v>2753</v>
      </c>
      <c r="F85" s="202" t="s">
        <v>3654</v>
      </c>
      <c r="G85" s="559">
        <v>16730296</v>
      </c>
      <c r="H85" s="559">
        <v>4710000</v>
      </c>
      <c r="I85" s="559">
        <v>13746196</v>
      </c>
      <c r="J85" s="560">
        <v>0</v>
      </c>
      <c r="K85" s="559">
        <f t="shared" si="20"/>
        <v>18456196</v>
      </c>
      <c r="L85" s="559">
        <f t="shared" si="21"/>
        <v>1725900</v>
      </c>
      <c r="M85" s="457">
        <v>45476</v>
      </c>
      <c r="N85" s="457">
        <v>45516</v>
      </c>
      <c r="O85" s="458" t="s">
        <v>3330</v>
      </c>
    </row>
    <row r="86" spans="1:18" s="458" customFormat="1">
      <c r="A86" s="202" t="s">
        <v>543</v>
      </c>
      <c r="B86" s="202" t="s">
        <v>2751</v>
      </c>
      <c r="C86" s="202" t="s">
        <v>3655</v>
      </c>
      <c r="D86" s="202" t="s">
        <v>3656</v>
      </c>
      <c r="E86" s="202" t="s">
        <v>2753</v>
      </c>
      <c r="F86" s="202" t="s">
        <v>3657</v>
      </c>
      <c r="G86" s="559">
        <v>12572997</v>
      </c>
      <c r="H86" s="559">
        <v>3010000</v>
      </c>
      <c r="I86" s="559">
        <v>10430497</v>
      </c>
      <c r="J86" s="560">
        <v>0</v>
      </c>
      <c r="K86" s="559">
        <f t="shared" si="20"/>
        <v>13440497</v>
      </c>
      <c r="L86" s="559">
        <f t="shared" si="21"/>
        <v>867500</v>
      </c>
      <c r="M86" s="457">
        <v>46558</v>
      </c>
      <c r="N86" s="457">
        <v>45516</v>
      </c>
      <c r="O86" s="458" t="s">
        <v>3330</v>
      </c>
    </row>
    <row r="87" spans="1:18" s="458" customFormat="1">
      <c r="A87" s="202" t="s">
        <v>543</v>
      </c>
      <c r="B87" s="202" t="s">
        <v>3658</v>
      </c>
      <c r="C87" s="202" t="s">
        <v>3659</v>
      </c>
      <c r="D87" s="468" t="s">
        <v>3660</v>
      </c>
      <c r="E87" s="202" t="s">
        <v>3661</v>
      </c>
      <c r="F87" s="202" t="s">
        <v>3662</v>
      </c>
      <c r="G87" s="559">
        <v>69653860</v>
      </c>
      <c r="H87" s="559">
        <v>106313860</v>
      </c>
      <c r="I87" s="559">
        <v>0</v>
      </c>
      <c r="J87" s="560">
        <v>0</v>
      </c>
      <c r="K87" s="559">
        <f t="shared" si="20"/>
        <v>106313860</v>
      </c>
      <c r="L87" s="559">
        <f t="shared" si="21"/>
        <v>36660000</v>
      </c>
      <c r="M87" s="457">
        <v>45417</v>
      </c>
      <c r="N87" s="457">
        <v>45428</v>
      </c>
      <c r="O87" s="458" t="s">
        <v>3330</v>
      </c>
    </row>
    <row r="88" spans="1:18" s="458" customFormat="1">
      <c r="A88" s="202"/>
      <c r="B88" s="202" t="s">
        <v>3663</v>
      </c>
      <c r="C88" s="202" t="s">
        <v>3664</v>
      </c>
      <c r="D88" s="202" t="s">
        <v>3665</v>
      </c>
      <c r="E88" s="202" t="s">
        <v>3666</v>
      </c>
      <c r="F88" s="202" t="s">
        <v>3667</v>
      </c>
      <c r="G88" s="559">
        <v>3735000</v>
      </c>
      <c r="H88" s="559">
        <v>7100000</v>
      </c>
      <c r="I88" s="559">
        <v>0</v>
      </c>
      <c r="J88" s="560">
        <v>0</v>
      </c>
      <c r="K88" s="559">
        <f t="shared" ref="K88:K90" si="22">H88+I88-J88</f>
        <v>7100000</v>
      </c>
      <c r="L88" s="559">
        <f t="shared" si="21"/>
        <v>3365000</v>
      </c>
      <c r="M88" s="457">
        <v>45433</v>
      </c>
      <c r="N88" s="457">
        <v>45470</v>
      </c>
      <c r="O88" s="458" t="s">
        <v>3330</v>
      </c>
    </row>
    <row r="89" spans="1:18" s="458" customFormat="1">
      <c r="A89" s="202"/>
      <c r="B89" s="202" t="s">
        <v>3668</v>
      </c>
      <c r="C89" s="202" t="s">
        <v>3669</v>
      </c>
      <c r="D89" s="202" t="s">
        <v>1919</v>
      </c>
      <c r="E89" s="202" t="s">
        <v>3581</v>
      </c>
      <c r="F89" s="202" t="s">
        <v>3670</v>
      </c>
      <c r="G89" s="559">
        <v>2900000</v>
      </c>
      <c r="H89" s="559">
        <v>4400000</v>
      </c>
      <c r="I89" s="559">
        <v>0</v>
      </c>
      <c r="J89" s="560">
        <v>0</v>
      </c>
      <c r="K89" s="559">
        <f t="shared" si="22"/>
        <v>4400000</v>
      </c>
      <c r="L89" s="559">
        <f t="shared" si="21"/>
        <v>1500000</v>
      </c>
      <c r="M89" s="457">
        <v>45434</v>
      </c>
      <c r="N89" s="457">
        <v>45434</v>
      </c>
      <c r="O89" s="458" t="s">
        <v>3330</v>
      </c>
    </row>
    <row r="90" spans="1:18" s="458" customFormat="1">
      <c r="A90" s="202"/>
      <c r="B90" s="202" t="s">
        <v>2803</v>
      </c>
      <c r="C90" s="202" t="s">
        <v>3671</v>
      </c>
      <c r="D90" s="202" t="s">
        <v>3672</v>
      </c>
      <c r="E90" s="202" t="s">
        <v>3673</v>
      </c>
      <c r="F90" s="202" t="s">
        <v>3674</v>
      </c>
      <c r="G90" s="559">
        <v>3144819</v>
      </c>
      <c r="H90" s="559">
        <v>3400000</v>
      </c>
      <c r="I90" s="559">
        <v>0</v>
      </c>
      <c r="J90" s="560">
        <v>0</v>
      </c>
      <c r="K90" s="559">
        <f t="shared" si="22"/>
        <v>3400000</v>
      </c>
      <c r="L90" s="559">
        <f t="shared" si="21"/>
        <v>255181</v>
      </c>
      <c r="M90" s="457">
        <v>45440</v>
      </c>
      <c r="N90" s="457">
        <v>45462</v>
      </c>
      <c r="O90" s="458" t="s">
        <v>3330</v>
      </c>
    </row>
    <row r="91" spans="1:18">
      <c r="A91" s="1095" t="s">
        <v>3560</v>
      </c>
      <c r="B91" s="1095"/>
      <c r="C91" s="1095"/>
      <c r="D91" s="1095"/>
      <c r="E91" s="1095"/>
      <c r="F91" s="1095"/>
      <c r="G91" s="574"/>
      <c r="H91" s="561"/>
      <c r="I91" s="561"/>
      <c r="J91" s="562">
        <f>SUM(J86:J87)</f>
        <v>0</v>
      </c>
      <c r="K91" s="561">
        <f>K77+K78+K79+K83+K85+K86+K88+K90</f>
        <v>100136483</v>
      </c>
      <c r="L91" s="461">
        <f>SUM(L83:L90)</f>
        <v>50399581</v>
      </c>
      <c r="M91" s="464"/>
      <c r="N91" s="464"/>
    </row>
    <row r="92" spans="1:18" ht="17.5">
      <c r="A92" s="455" t="s">
        <v>3675</v>
      </c>
      <c r="B92" s="455"/>
      <c r="C92" s="455"/>
      <c r="D92" s="455"/>
      <c r="E92" s="455"/>
      <c r="F92" s="455"/>
      <c r="G92" s="563"/>
      <c r="H92" s="564"/>
      <c r="I92" s="564"/>
      <c r="J92" s="565"/>
      <c r="K92" s="564"/>
      <c r="L92" s="563"/>
      <c r="M92" s="456"/>
      <c r="N92" s="456"/>
    </row>
    <row r="93" spans="1:18" s="458" customFormat="1">
      <c r="A93" s="202"/>
      <c r="B93" s="202" t="s">
        <v>3676</v>
      </c>
      <c r="C93" s="202" t="s">
        <v>3677</v>
      </c>
      <c r="D93" s="202" t="s">
        <v>3678</v>
      </c>
      <c r="E93" s="202" t="s">
        <v>3679</v>
      </c>
      <c r="F93" s="202" t="s">
        <v>3680</v>
      </c>
      <c r="G93" s="559">
        <v>5558000</v>
      </c>
      <c r="H93" s="559">
        <v>7600000</v>
      </c>
      <c r="I93" s="559">
        <v>0</v>
      </c>
      <c r="J93" s="560">
        <v>0</v>
      </c>
      <c r="K93" s="559">
        <f t="shared" ref="K93:K96" si="23">H93+I93</f>
        <v>7600000</v>
      </c>
      <c r="L93" s="559">
        <f t="shared" ref="L93:L97" si="24">H93+I93-J93-G93</f>
        <v>2042000</v>
      </c>
      <c r="M93" s="457">
        <v>45469</v>
      </c>
      <c r="N93" s="457">
        <v>45478</v>
      </c>
      <c r="O93" s="458" t="s">
        <v>3330</v>
      </c>
    </row>
    <row r="94" spans="1:18" s="458" customFormat="1">
      <c r="A94" s="202"/>
      <c r="B94" s="202" t="s">
        <v>3144</v>
      </c>
      <c r="C94" s="202" t="s">
        <v>3681</v>
      </c>
      <c r="D94" s="202" t="s">
        <v>3682</v>
      </c>
      <c r="E94" s="202" t="s">
        <v>3683</v>
      </c>
      <c r="F94" s="202" t="s">
        <v>3684</v>
      </c>
      <c r="G94" s="559">
        <v>2360450</v>
      </c>
      <c r="H94" s="559">
        <v>3100000</v>
      </c>
      <c r="I94" s="559">
        <v>660450</v>
      </c>
      <c r="J94" s="560">
        <v>0</v>
      </c>
      <c r="K94" s="559">
        <f t="shared" si="23"/>
        <v>3760450</v>
      </c>
      <c r="L94" s="559">
        <f t="shared" si="24"/>
        <v>1400000</v>
      </c>
      <c r="M94" s="457">
        <v>45464</v>
      </c>
      <c r="N94" s="457">
        <v>45481</v>
      </c>
      <c r="O94" s="458" t="s">
        <v>3330</v>
      </c>
    </row>
    <row r="95" spans="1:18" s="458" customFormat="1">
      <c r="A95" s="202"/>
      <c r="B95" s="202" t="s">
        <v>2803</v>
      </c>
      <c r="C95" s="202" t="s">
        <v>3685</v>
      </c>
      <c r="D95" s="202" t="s">
        <v>3686</v>
      </c>
      <c r="E95" s="202" t="s">
        <v>3673</v>
      </c>
      <c r="F95" s="202" t="s">
        <v>3687</v>
      </c>
      <c r="G95" s="559">
        <v>3180755</v>
      </c>
      <c r="H95" s="559">
        <v>3700000</v>
      </c>
      <c r="I95" s="559">
        <v>0</v>
      </c>
      <c r="J95" s="560">
        <v>0</v>
      </c>
      <c r="K95" s="559">
        <f>H95+I95-J95</f>
        <v>3700000</v>
      </c>
      <c r="L95" s="559">
        <f t="shared" si="24"/>
        <v>519245</v>
      </c>
      <c r="M95" s="457">
        <v>45483</v>
      </c>
      <c r="N95" s="457">
        <v>45481</v>
      </c>
      <c r="O95" s="458" t="s">
        <v>3330</v>
      </c>
    </row>
    <row r="96" spans="1:18" s="458" customFormat="1">
      <c r="A96" s="202"/>
      <c r="B96" s="202" t="s">
        <v>3676</v>
      </c>
      <c r="C96" s="202" t="s">
        <v>3688</v>
      </c>
      <c r="D96" s="202" t="s">
        <v>3689</v>
      </c>
      <c r="E96" s="202" t="s">
        <v>3690</v>
      </c>
      <c r="F96" s="202" t="s">
        <v>3691</v>
      </c>
      <c r="G96" s="559">
        <v>8887720</v>
      </c>
      <c r="H96" s="559">
        <v>6150000</v>
      </c>
      <c r="I96" s="559">
        <v>3456970</v>
      </c>
      <c r="J96" s="560">
        <v>0</v>
      </c>
      <c r="K96" s="559">
        <f t="shared" si="23"/>
        <v>9606970</v>
      </c>
      <c r="L96" s="559">
        <f t="shared" si="24"/>
        <v>719250</v>
      </c>
      <c r="M96" s="457">
        <v>45464</v>
      </c>
      <c r="N96" s="457">
        <v>45478</v>
      </c>
      <c r="O96" s="458" t="s">
        <v>3330</v>
      </c>
    </row>
    <row r="97" spans="1:16" s="458" customFormat="1">
      <c r="A97" s="202"/>
      <c r="B97" s="202" t="s">
        <v>3692</v>
      </c>
      <c r="C97" s="202" t="s">
        <v>3693</v>
      </c>
      <c r="D97" s="202" t="s">
        <v>3694</v>
      </c>
      <c r="E97" s="202" t="s">
        <v>3591</v>
      </c>
      <c r="F97" s="202" t="s">
        <v>3695</v>
      </c>
      <c r="G97" s="559">
        <v>1000000</v>
      </c>
      <c r="H97" s="559">
        <v>15500000</v>
      </c>
      <c r="I97" s="559">
        <v>0</v>
      </c>
      <c r="J97" s="560">
        <v>0</v>
      </c>
      <c r="K97" s="559">
        <f>H97+I97-J97</f>
        <v>15500000</v>
      </c>
      <c r="L97" s="559">
        <f t="shared" si="24"/>
        <v>14500000</v>
      </c>
      <c r="M97" s="457">
        <v>45472</v>
      </c>
      <c r="N97" s="457">
        <v>45472</v>
      </c>
      <c r="O97" s="458" t="s">
        <v>3330</v>
      </c>
    </row>
    <row r="98" spans="1:16">
      <c r="A98" s="1095" t="s">
        <v>3560</v>
      </c>
      <c r="B98" s="1095"/>
      <c r="C98" s="1095"/>
      <c r="D98" s="1095"/>
      <c r="E98" s="1095"/>
      <c r="F98" s="1095"/>
      <c r="G98" s="574"/>
      <c r="H98" s="561">
        <f>SUM(H94:H97)</f>
        <v>28450000</v>
      </c>
      <c r="I98" s="561"/>
      <c r="J98" s="562">
        <f>SUM(J96:J97)</f>
        <v>0</v>
      </c>
      <c r="K98" s="561">
        <f>SUM(K93:K97)</f>
        <v>40167420</v>
      </c>
      <c r="L98" s="461">
        <f>SUM(L93:L97)</f>
        <v>19180495</v>
      </c>
      <c r="M98" s="464"/>
      <c r="N98" s="464"/>
    </row>
    <row r="99" spans="1:16" ht="17.5">
      <c r="A99" s="455" t="s">
        <v>4282</v>
      </c>
      <c r="B99" s="455"/>
      <c r="C99" s="455"/>
      <c r="D99" s="455"/>
      <c r="E99" s="455"/>
      <c r="F99" s="455"/>
      <c r="G99" s="563"/>
      <c r="H99" s="564"/>
      <c r="I99" s="564"/>
      <c r="J99" s="565"/>
      <c r="K99" s="564"/>
      <c r="L99" s="563"/>
      <c r="M99" s="456"/>
      <c r="N99" s="456"/>
    </row>
    <row r="100" spans="1:16" ht="15.5">
      <c r="A100" s="453" t="s">
        <v>1</v>
      </c>
      <c r="B100" s="453" t="s">
        <v>3543</v>
      </c>
      <c r="C100" s="453" t="s">
        <v>3544</v>
      </c>
      <c r="D100" s="453" t="s">
        <v>3545</v>
      </c>
      <c r="E100" s="453" t="s">
        <v>3546</v>
      </c>
      <c r="F100" s="453" t="s">
        <v>3547</v>
      </c>
      <c r="G100" s="595" t="s">
        <v>3457</v>
      </c>
      <c r="H100" s="595" t="s">
        <v>3548</v>
      </c>
      <c r="I100" s="595" t="s">
        <v>3549</v>
      </c>
      <c r="J100" s="595" t="s">
        <v>3550</v>
      </c>
      <c r="K100" s="596" t="s">
        <v>3551</v>
      </c>
      <c r="L100" s="595" t="s">
        <v>3552</v>
      </c>
      <c r="M100" s="454" t="s">
        <v>3553</v>
      </c>
      <c r="N100" s="454" t="s">
        <v>3554</v>
      </c>
    </row>
    <row r="101" spans="1:16" s="458" customFormat="1">
      <c r="A101" s="202"/>
      <c r="B101" s="202" t="s">
        <v>3144</v>
      </c>
      <c r="C101" s="202" t="s">
        <v>3644</v>
      </c>
      <c r="D101" s="202" t="s">
        <v>3645</v>
      </c>
      <c r="E101" s="202" t="s">
        <v>4290</v>
      </c>
      <c r="F101" s="202" t="s">
        <v>3647</v>
      </c>
      <c r="G101" s="559">
        <v>7504091</v>
      </c>
      <c r="H101" s="559">
        <v>14481410</v>
      </c>
      <c r="I101" s="559">
        <v>0</v>
      </c>
      <c r="J101" s="560">
        <v>0</v>
      </c>
      <c r="K101" s="559">
        <f t="shared" ref="K101" si="25">H101+I101</f>
        <v>14481410</v>
      </c>
      <c r="L101" s="559">
        <f t="shared" ref="L101" si="26">H101+I101-J101-G101</f>
        <v>6977319</v>
      </c>
      <c r="M101" s="457">
        <v>45509</v>
      </c>
      <c r="N101" s="457">
        <v>45516</v>
      </c>
      <c r="O101" s="458" t="s">
        <v>4289</v>
      </c>
      <c r="P101" s="458" t="s">
        <v>3330</v>
      </c>
    </row>
    <row r="102" spans="1:16">
      <c r="A102" s="202"/>
      <c r="B102" s="202" t="s">
        <v>4291</v>
      </c>
      <c r="C102" s="202" t="s">
        <v>4292</v>
      </c>
      <c r="D102" s="202" t="s">
        <v>4293</v>
      </c>
      <c r="E102" s="202" t="s">
        <v>4294</v>
      </c>
      <c r="F102" s="202" t="s">
        <v>4295</v>
      </c>
      <c r="G102" s="559">
        <v>6161854</v>
      </c>
      <c r="H102" s="559">
        <v>3950000</v>
      </c>
      <c r="I102" s="559">
        <v>3766854</v>
      </c>
      <c r="J102" s="560">
        <v>0</v>
      </c>
      <c r="K102" s="559">
        <f t="shared" ref="K102:K108" si="27">H102+I102</f>
        <v>7716854</v>
      </c>
      <c r="L102" s="559">
        <f t="shared" ref="L102:L108" si="28">H102+I102-J102-G102</f>
        <v>1555000</v>
      </c>
      <c r="M102" s="457">
        <v>45533</v>
      </c>
      <c r="N102" s="457">
        <v>45533</v>
      </c>
      <c r="O102" t="s">
        <v>3330</v>
      </c>
    </row>
    <row r="103" spans="1:16" s="570" customFormat="1">
      <c r="A103" s="566"/>
      <c r="B103" s="566" t="s">
        <v>4291</v>
      </c>
      <c r="C103" s="566" t="s">
        <v>4308</v>
      </c>
      <c r="D103" s="566" t="s">
        <v>4296</v>
      </c>
      <c r="E103" s="566" t="s">
        <v>4485</v>
      </c>
      <c r="F103" s="566" t="s">
        <v>4486</v>
      </c>
      <c r="G103" s="567"/>
      <c r="H103" s="567"/>
      <c r="I103" s="567"/>
      <c r="J103" s="568"/>
      <c r="K103" s="567">
        <f t="shared" ref="K103" si="29">H103+I103</f>
        <v>0</v>
      </c>
      <c r="L103" s="567">
        <f t="shared" ref="L103" si="30">H103+I103-J103-G103</f>
        <v>0</v>
      </c>
      <c r="M103" s="569"/>
      <c r="N103" s="569"/>
    </row>
    <row r="104" spans="1:16">
      <c r="A104" s="202"/>
      <c r="B104" s="202" t="s">
        <v>3570</v>
      </c>
      <c r="C104" s="202" t="s">
        <v>3850</v>
      </c>
      <c r="D104" s="202" t="s">
        <v>4297</v>
      </c>
      <c r="E104" s="202" t="s">
        <v>4298</v>
      </c>
      <c r="F104" s="202" t="s">
        <v>4299</v>
      </c>
      <c r="G104" s="559">
        <v>12306305</v>
      </c>
      <c r="H104" s="559">
        <v>14085000</v>
      </c>
      <c r="I104" s="559">
        <v>9686305</v>
      </c>
      <c r="J104" s="560">
        <v>0</v>
      </c>
      <c r="K104" s="559">
        <f t="shared" si="27"/>
        <v>23771305</v>
      </c>
      <c r="L104" s="559">
        <f t="shared" si="28"/>
        <v>11465000</v>
      </c>
      <c r="M104" s="457">
        <v>45509</v>
      </c>
      <c r="N104" s="457">
        <v>45509</v>
      </c>
      <c r="O104" t="s">
        <v>3330</v>
      </c>
    </row>
    <row r="105" spans="1:16">
      <c r="A105" s="202"/>
      <c r="B105" s="202" t="s">
        <v>4300</v>
      </c>
      <c r="C105" s="202" t="s">
        <v>4301</v>
      </c>
      <c r="D105" s="202" t="s">
        <v>4302</v>
      </c>
      <c r="E105" s="202" t="s">
        <v>4294</v>
      </c>
      <c r="F105" s="202" t="s">
        <v>4303</v>
      </c>
      <c r="G105" s="559">
        <v>5554004</v>
      </c>
      <c r="H105" s="559">
        <v>2568000</v>
      </c>
      <c r="I105" s="559">
        <v>4294004</v>
      </c>
      <c r="J105" s="560">
        <v>0</v>
      </c>
      <c r="K105" s="559">
        <f t="shared" si="27"/>
        <v>6862004</v>
      </c>
      <c r="L105" s="559">
        <f t="shared" si="28"/>
        <v>1308000</v>
      </c>
      <c r="M105" s="457">
        <v>45509</v>
      </c>
      <c r="N105" s="457">
        <v>45516</v>
      </c>
      <c r="O105" t="s">
        <v>3330</v>
      </c>
    </row>
    <row r="106" spans="1:16">
      <c r="A106" s="202"/>
      <c r="B106" s="202" t="s">
        <v>3676</v>
      </c>
      <c r="C106" s="202" t="s">
        <v>3846</v>
      </c>
      <c r="D106" s="202" t="s">
        <v>4304</v>
      </c>
      <c r="E106" s="202" t="s">
        <v>3581</v>
      </c>
      <c r="F106" s="202" t="s">
        <v>4305</v>
      </c>
      <c r="G106" s="559">
        <v>2575050</v>
      </c>
      <c r="H106" s="559">
        <v>2050000</v>
      </c>
      <c r="I106" s="559">
        <v>754800</v>
      </c>
      <c r="J106" s="560">
        <v>10250</v>
      </c>
      <c r="K106" s="559">
        <f>H106+I106-J106</f>
        <v>2794550</v>
      </c>
      <c r="L106" s="559">
        <f>H106+I106-J106-G106</f>
        <v>219500</v>
      </c>
      <c r="M106" s="457">
        <v>45490</v>
      </c>
      <c r="N106" s="457">
        <v>45509</v>
      </c>
      <c r="O106" t="s">
        <v>3330</v>
      </c>
    </row>
    <row r="107" spans="1:16">
      <c r="A107" s="202"/>
      <c r="B107" s="202" t="s">
        <v>4291</v>
      </c>
      <c r="C107" s="202" t="s">
        <v>4307</v>
      </c>
      <c r="D107" s="202" t="s">
        <v>4306</v>
      </c>
      <c r="E107" s="202" t="s">
        <v>4483</v>
      </c>
      <c r="F107" s="202" t="s">
        <v>4484</v>
      </c>
      <c r="G107" s="559">
        <v>13918500</v>
      </c>
      <c r="H107" s="559">
        <v>17621728</v>
      </c>
      <c r="I107" s="559">
        <v>0</v>
      </c>
      <c r="J107" s="560">
        <v>1639768</v>
      </c>
      <c r="K107" s="559">
        <f t="shared" si="27"/>
        <v>17621728</v>
      </c>
      <c r="L107" s="559">
        <f t="shared" si="28"/>
        <v>2063460</v>
      </c>
      <c r="M107" s="457">
        <v>45489</v>
      </c>
      <c r="N107" s="457">
        <v>45534</v>
      </c>
      <c r="O107" t="s">
        <v>3330</v>
      </c>
    </row>
    <row r="108" spans="1:16" s="556" customFormat="1" ht="15" customHeight="1">
      <c r="A108" s="234"/>
      <c r="B108" s="234" t="s">
        <v>2751</v>
      </c>
      <c r="C108" s="234" t="s">
        <v>3840</v>
      </c>
      <c r="D108" s="234" t="s">
        <v>4309</v>
      </c>
      <c r="E108" s="234" t="s">
        <v>4294</v>
      </c>
      <c r="F108" s="234" t="s">
        <v>4310</v>
      </c>
      <c r="G108" s="557">
        <v>7083454</v>
      </c>
      <c r="H108" s="557">
        <v>2998000</v>
      </c>
      <c r="I108" s="557">
        <v>5155954</v>
      </c>
      <c r="J108" s="558">
        <v>0</v>
      </c>
      <c r="K108" s="557">
        <f t="shared" si="27"/>
        <v>8153954</v>
      </c>
      <c r="L108" s="557">
        <f t="shared" si="28"/>
        <v>1070500</v>
      </c>
      <c r="M108" s="469">
        <v>45514</v>
      </c>
      <c r="N108" s="469"/>
    </row>
    <row r="109" spans="1:16" s="556" customFormat="1" ht="15" customHeight="1">
      <c r="A109" s="234"/>
      <c r="B109" s="234" t="s">
        <v>2751</v>
      </c>
      <c r="C109" s="234" t="s">
        <v>4313</v>
      </c>
      <c r="D109" s="234" t="s">
        <v>4311</v>
      </c>
      <c r="E109" s="234" t="s">
        <v>4294</v>
      </c>
      <c r="F109" s="234" t="s">
        <v>4312</v>
      </c>
      <c r="G109" s="557">
        <v>13149053</v>
      </c>
      <c r="H109" s="557">
        <v>8798000</v>
      </c>
      <c r="I109" s="557">
        <v>7439553</v>
      </c>
      <c r="J109" s="558">
        <v>0</v>
      </c>
      <c r="K109" s="557">
        <v>16237053</v>
      </c>
      <c r="L109" s="557">
        <f t="shared" ref="L109" si="31">H109+I109-J109-G109</f>
        <v>3088500</v>
      </c>
      <c r="M109" s="469">
        <v>45522</v>
      </c>
      <c r="N109" s="469"/>
    </row>
    <row r="110" spans="1:16" s="556" customFormat="1" ht="15" customHeight="1">
      <c r="A110" s="234"/>
      <c r="B110" s="234" t="s">
        <v>2751</v>
      </c>
      <c r="C110" s="234" t="s">
        <v>4314</v>
      </c>
      <c r="D110" s="234">
        <v>278653996</v>
      </c>
      <c r="E110" s="234" t="s">
        <v>4294</v>
      </c>
      <c r="F110" s="234" t="s">
        <v>4315</v>
      </c>
      <c r="G110" s="557">
        <v>12419127</v>
      </c>
      <c r="H110" s="557">
        <v>8798000</v>
      </c>
      <c r="I110" s="557">
        <v>6699127</v>
      </c>
      <c r="J110" s="558">
        <v>0</v>
      </c>
      <c r="K110" s="557">
        <f t="shared" ref="K110:K112" si="32">H110+I110</f>
        <v>15497127</v>
      </c>
      <c r="L110" s="557">
        <f t="shared" ref="L110:L111" si="33">H110+I110-J110-G110</f>
        <v>3078000</v>
      </c>
      <c r="M110" s="469">
        <v>45522</v>
      </c>
      <c r="N110" s="469"/>
    </row>
    <row r="111" spans="1:16" s="556" customFormat="1" ht="15" customHeight="1">
      <c r="A111" s="234"/>
      <c r="B111" s="234" t="s">
        <v>2751</v>
      </c>
      <c r="C111" s="234" t="s">
        <v>4286</v>
      </c>
      <c r="D111" s="234" t="s">
        <v>4316</v>
      </c>
      <c r="E111" s="234" t="s">
        <v>4294</v>
      </c>
      <c r="F111" s="234" t="s">
        <v>4317</v>
      </c>
      <c r="G111" s="557">
        <v>8959814</v>
      </c>
      <c r="H111" s="557">
        <v>3048000</v>
      </c>
      <c r="I111" s="557">
        <v>6832814</v>
      </c>
      <c r="J111" s="558">
        <v>0</v>
      </c>
      <c r="K111" s="557">
        <f t="shared" si="32"/>
        <v>9880814</v>
      </c>
      <c r="L111" s="557">
        <f t="shared" si="33"/>
        <v>921000</v>
      </c>
      <c r="M111" s="469">
        <v>45529</v>
      </c>
      <c r="N111" s="469"/>
    </row>
    <row r="112" spans="1:16" s="556" customFormat="1" ht="15" customHeight="1">
      <c r="A112" s="234"/>
      <c r="B112" s="234" t="s">
        <v>2751</v>
      </c>
      <c r="C112" s="234" t="s">
        <v>4318</v>
      </c>
      <c r="D112" s="234">
        <v>278654542</v>
      </c>
      <c r="E112" s="234" t="s">
        <v>4294</v>
      </c>
      <c r="F112" s="234" t="s">
        <v>4319</v>
      </c>
      <c r="G112" s="557">
        <v>9357774</v>
      </c>
      <c r="H112" s="557">
        <v>4898000</v>
      </c>
      <c r="I112" s="557">
        <v>6345400</v>
      </c>
      <c r="J112" s="558">
        <v>0</v>
      </c>
      <c r="K112" s="557">
        <f t="shared" si="32"/>
        <v>11243400</v>
      </c>
      <c r="L112" s="557">
        <f t="shared" ref="L112:L118" si="34">H112+I112-J112-G112</f>
        <v>1885626</v>
      </c>
      <c r="M112" s="469">
        <v>45551</v>
      </c>
      <c r="N112" s="469"/>
    </row>
    <row r="113" spans="1:17" s="556" customFormat="1" ht="15" customHeight="1">
      <c r="A113" s="234"/>
      <c r="B113" s="234" t="s">
        <v>2751</v>
      </c>
      <c r="C113" s="234" t="s">
        <v>4324</v>
      </c>
      <c r="D113" s="234" t="s">
        <v>4382</v>
      </c>
      <c r="E113" s="234" t="s">
        <v>4294</v>
      </c>
      <c r="F113" s="234" t="s">
        <v>4325</v>
      </c>
      <c r="G113" s="557">
        <v>11279296</v>
      </c>
      <c r="H113" s="557">
        <v>4798000</v>
      </c>
      <c r="I113" s="557">
        <v>8805984</v>
      </c>
      <c r="J113" s="558">
        <v>0</v>
      </c>
      <c r="K113" s="557">
        <f t="shared" ref="K113:K116" si="35">H113+I113</f>
        <v>13603984</v>
      </c>
      <c r="L113" s="557">
        <f t="shared" si="34"/>
        <v>2324688</v>
      </c>
      <c r="M113" s="469">
        <v>45551</v>
      </c>
      <c r="N113" s="469"/>
    </row>
    <row r="114" spans="1:17" s="458" customFormat="1">
      <c r="A114" s="202"/>
      <c r="B114" s="202" t="s">
        <v>3144</v>
      </c>
      <c r="C114" s="202" t="s">
        <v>4320</v>
      </c>
      <c r="D114" s="202" t="s">
        <v>4321</v>
      </c>
      <c r="E114" s="202" t="s">
        <v>3683</v>
      </c>
      <c r="F114" s="202" t="s">
        <v>4322</v>
      </c>
      <c r="G114" s="559">
        <v>2467750</v>
      </c>
      <c r="H114" s="559">
        <v>4787841</v>
      </c>
      <c r="I114" s="559">
        <v>0</v>
      </c>
      <c r="J114" s="560">
        <v>0</v>
      </c>
      <c r="K114" s="559">
        <f t="shared" si="35"/>
        <v>4787841</v>
      </c>
      <c r="L114" s="559">
        <f t="shared" si="34"/>
        <v>2320091</v>
      </c>
      <c r="M114" s="457">
        <v>45509</v>
      </c>
      <c r="N114" s="457">
        <v>45516</v>
      </c>
      <c r="O114" s="458" t="s">
        <v>3330</v>
      </c>
    </row>
    <row r="115" spans="1:17" s="556" customFormat="1" ht="15" customHeight="1">
      <c r="A115" s="234"/>
      <c r="B115" s="234" t="s">
        <v>2751</v>
      </c>
      <c r="C115" s="234" t="s">
        <v>4323</v>
      </c>
      <c r="D115" s="234">
        <v>278654543</v>
      </c>
      <c r="E115" s="234" t="s">
        <v>4294</v>
      </c>
      <c r="F115" s="234" t="s">
        <v>4326</v>
      </c>
      <c r="G115" s="557">
        <v>2250000</v>
      </c>
      <c r="H115" s="557">
        <v>2798000</v>
      </c>
      <c r="I115" s="557">
        <v>611388</v>
      </c>
      <c r="J115" s="558">
        <v>0</v>
      </c>
      <c r="K115" s="557">
        <f t="shared" ref="K115" si="36">H115+I115</f>
        <v>3409388</v>
      </c>
      <c r="L115" s="557">
        <f t="shared" si="34"/>
        <v>1159388</v>
      </c>
      <c r="M115" s="469">
        <v>45541</v>
      </c>
      <c r="N115" s="469"/>
    </row>
    <row r="116" spans="1:17" s="556" customFormat="1" ht="15" customHeight="1">
      <c r="A116" s="234"/>
      <c r="B116" s="234" t="s">
        <v>2751</v>
      </c>
      <c r="C116" s="234" t="s">
        <v>4328</v>
      </c>
      <c r="D116" s="234">
        <v>278654540</v>
      </c>
      <c r="E116" s="234" t="s">
        <v>4294</v>
      </c>
      <c r="F116" s="234" t="s">
        <v>4327</v>
      </c>
      <c r="G116" s="557">
        <v>2250000</v>
      </c>
      <c r="H116" s="557">
        <v>2798000</v>
      </c>
      <c r="I116" s="557">
        <v>611388</v>
      </c>
      <c r="J116" s="558">
        <v>0</v>
      </c>
      <c r="K116" s="557">
        <f t="shared" si="35"/>
        <v>3409388</v>
      </c>
      <c r="L116" s="557">
        <f t="shared" si="34"/>
        <v>1159388</v>
      </c>
      <c r="M116" s="469">
        <v>45545</v>
      </c>
      <c r="N116" s="469"/>
    </row>
    <row r="117" spans="1:17" s="458" customFormat="1">
      <c r="A117" s="202"/>
      <c r="B117" s="202" t="s">
        <v>3144</v>
      </c>
      <c r="C117" s="202" t="s">
        <v>4329</v>
      </c>
      <c r="D117" s="202" t="s">
        <v>4330</v>
      </c>
      <c r="E117" s="202" t="s">
        <v>3683</v>
      </c>
      <c r="F117" s="202" t="s">
        <v>4331</v>
      </c>
      <c r="G117" s="559">
        <v>2971300</v>
      </c>
      <c r="H117" s="559">
        <v>3821300</v>
      </c>
      <c r="I117" s="559">
        <v>0</v>
      </c>
      <c r="J117" s="560">
        <v>0</v>
      </c>
      <c r="K117" s="559">
        <f t="shared" ref="K117" si="37">H117+I117</f>
        <v>3821300</v>
      </c>
      <c r="L117" s="559">
        <f t="shared" si="34"/>
        <v>850000</v>
      </c>
      <c r="M117" s="457">
        <v>45509</v>
      </c>
      <c r="N117" s="457">
        <v>45516</v>
      </c>
      <c r="O117" s="458" t="s">
        <v>3330</v>
      </c>
      <c r="P117" s="458" t="s">
        <v>4332</v>
      </c>
    </row>
    <row r="118" spans="1:17" s="458" customFormat="1">
      <c r="A118" s="202"/>
      <c r="B118" s="202" t="s">
        <v>2803</v>
      </c>
      <c r="C118" s="202" t="s">
        <v>4336</v>
      </c>
      <c r="D118" s="202" t="s">
        <v>3686</v>
      </c>
      <c r="E118" s="202" t="s">
        <v>3673</v>
      </c>
      <c r="F118" s="202" t="s">
        <v>4337</v>
      </c>
      <c r="G118" s="559">
        <v>3356288</v>
      </c>
      <c r="H118" s="559">
        <v>3700000</v>
      </c>
      <c r="I118" s="559">
        <v>0</v>
      </c>
      <c r="J118" s="560">
        <v>0</v>
      </c>
      <c r="K118" s="559">
        <f>H118+I118-J118</f>
        <v>3700000</v>
      </c>
      <c r="L118" s="559">
        <f t="shared" si="34"/>
        <v>343712</v>
      </c>
      <c r="M118" s="457">
        <v>45509</v>
      </c>
      <c r="N118" s="457">
        <v>45523</v>
      </c>
      <c r="O118" s="458" t="s">
        <v>3330</v>
      </c>
    </row>
    <row r="119" spans="1:17" s="655" customFormat="1" ht="15" customHeight="1">
      <c r="A119" s="651"/>
      <c r="B119" s="651" t="s">
        <v>2751</v>
      </c>
      <c r="C119" s="651" t="s">
        <v>4516</v>
      </c>
      <c r="D119" s="651" t="s">
        <v>4517</v>
      </c>
      <c r="E119" s="651" t="s">
        <v>4294</v>
      </c>
      <c r="F119" s="651" t="s">
        <v>4518</v>
      </c>
      <c r="G119" s="652"/>
      <c r="H119" s="652"/>
      <c r="I119" s="652"/>
      <c r="J119" s="653">
        <v>0</v>
      </c>
      <c r="K119" s="652">
        <f t="shared" ref="K119" si="38">H119+I119</f>
        <v>0</v>
      </c>
      <c r="L119" s="652">
        <f t="shared" ref="L119" si="39">H119+I119-J119-G119</f>
        <v>0</v>
      </c>
      <c r="M119" s="654"/>
      <c r="N119" s="654"/>
    </row>
    <row r="120" spans="1:17" s="222" customFormat="1">
      <c r="A120" s="1095" t="s">
        <v>3560</v>
      </c>
      <c r="B120" s="1095"/>
      <c r="C120" s="1095"/>
      <c r="D120" s="1095"/>
      <c r="E120" s="1095"/>
      <c r="F120" s="1095"/>
      <c r="G120" s="461">
        <f>SUM(G101:G118)</f>
        <v>123563660</v>
      </c>
      <c r="H120" s="571">
        <f>SUM(H101:H118)</f>
        <v>105999279</v>
      </c>
      <c r="I120" s="571">
        <f>SUM(I101:I118)</f>
        <v>61003571</v>
      </c>
      <c r="J120" s="572">
        <f>SUM(J104:J106)</f>
        <v>10250</v>
      </c>
      <c r="K120" s="571">
        <f>SUM(K101:K118)</f>
        <v>166992100</v>
      </c>
      <c r="L120" s="571">
        <f>SUM(L101:L118)</f>
        <v>41789172</v>
      </c>
      <c r="M120" s="573"/>
      <c r="N120" s="573"/>
      <c r="O120" s="458"/>
      <c r="P120" s="459"/>
      <c r="Q120" s="458"/>
    </row>
    <row r="121" spans="1:17" s="222" customFormat="1" ht="17.5">
      <c r="A121" s="455" t="s">
        <v>4393</v>
      </c>
      <c r="B121" s="455"/>
      <c r="C121" s="455"/>
      <c r="D121" s="455"/>
      <c r="E121" s="455"/>
      <c r="F121" s="455"/>
      <c r="G121" s="563"/>
      <c r="H121" s="564"/>
      <c r="I121" s="564"/>
      <c r="J121" s="565"/>
      <c r="K121" s="564"/>
      <c r="L121" s="563"/>
      <c r="M121" s="456"/>
      <c r="N121" s="456"/>
      <c r="O121"/>
      <c r="P121" s="459"/>
      <c r="Q121" s="458"/>
    </row>
    <row r="122" spans="1:17" s="222" customFormat="1" ht="15.5">
      <c r="A122" s="453" t="s">
        <v>1</v>
      </c>
      <c r="B122" s="453" t="s">
        <v>3543</v>
      </c>
      <c r="C122" s="453" t="s">
        <v>3544</v>
      </c>
      <c r="D122" s="453" t="s">
        <v>3545</v>
      </c>
      <c r="E122" s="453" t="s">
        <v>3546</v>
      </c>
      <c r="F122" s="453" t="s">
        <v>3547</v>
      </c>
      <c r="G122" s="595" t="s">
        <v>3457</v>
      </c>
      <c r="H122" s="595" t="s">
        <v>3548</v>
      </c>
      <c r="I122" s="595" t="s">
        <v>3549</v>
      </c>
      <c r="J122" s="595" t="s">
        <v>3550</v>
      </c>
      <c r="K122" s="596" t="s">
        <v>3551</v>
      </c>
      <c r="L122" s="595" t="s">
        <v>3552</v>
      </c>
      <c r="M122" s="454" t="s">
        <v>3553</v>
      </c>
      <c r="N122" s="454" t="s">
        <v>3554</v>
      </c>
      <c r="O122"/>
      <c r="P122" s="459"/>
      <c r="Q122" s="458"/>
    </row>
    <row r="123" spans="1:17" s="612" customFormat="1" ht="14.5">
      <c r="A123" s="607">
        <v>1</v>
      </c>
      <c r="B123" s="607" t="s">
        <v>2751</v>
      </c>
      <c r="C123" s="608" t="s">
        <v>4394</v>
      </c>
      <c r="D123" s="607" t="s">
        <v>4409</v>
      </c>
      <c r="E123" s="607" t="s">
        <v>4294</v>
      </c>
      <c r="F123" s="607"/>
      <c r="G123" s="609"/>
      <c r="H123" s="609"/>
      <c r="I123" s="609"/>
      <c r="J123" s="610"/>
      <c r="K123" s="609"/>
      <c r="L123" s="609"/>
      <c r="M123" s="611"/>
      <c r="N123" s="611"/>
    </row>
    <row r="124" spans="1:17" s="612" customFormat="1">
      <c r="A124" s="607">
        <v>2</v>
      </c>
      <c r="B124" s="607" t="s">
        <v>2751</v>
      </c>
      <c r="C124" s="607" t="s">
        <v>4395</v>
      </c>
      <c r="D124" s="607" t="s">
        <v>4410</v>
      </c>
      <c r="E124" s="607" t="s">
        <v>4294</v>
      </c>
      <c r="F124" s="607"/>
      <c r="G124" s="609"/>
      <c r="H124" s="609"/>
      <c r="I124" s="609"/>
      <c r="J124" s="610"/>
      <c r="K124" s="609"/>
      <c r="L124" s="609"/>
      <c r="M124" s="611"/>
      <c r="N124" s="611"/>
    </row>
    <row r="125" spans="1:17" s="606" customFormat="1">
      <c r="A125" s="602">
        <v>3</v>
      </c>
      <c r="B125" s="602" t="s">
        <v>4404</v>
      </c>
      <c r="C125" s="602" t="s">
        <v>4392</v>
      </c>
      <c r="D125" s="602" t="s">
        <v>4411</v>
      </c>
      <c r="E125" s="602" t="s">
        <v>4419</v>
      </c>
      <c r="F125" s="602" t="s">
        <v>4423</v>
      </c>
      <c r="G125" s="603">
        <v>4436514</v>
      </c>
      <c r="H125" s="603">
        <v>10753161</v>
      </c>
      <c r="I125" s="603">
        <v>1694210</v>
      </c>
      <c r="J125" s="604">
        <v>0</v>
      </c>
      <c r="K125" s="603">
        <v>12447371</v>
      </c>
      <c r="L125" s="603">
        <v>8010857</v>
      </c>
      <c r="M125" s="605"/>
      <c r="N125" s="605">
        <v>45532</v>
      </c>
      <c r="O125" s="606" t="s">
        <v>1515</v>
      </c>
    </row>
    <row r="126" spans="1:17" s="612" customFormat="1">
      <c r="A126" s="607">
        <v>4</v>
      </c>
      <c r="B126" s="607" t="s">
        <v>4405</v>
      </c>
      <c r="C126" s="607" t="s">
        <v>4396</v>
      </c>
      <c r="D126" s="607" t="s">
        <v>4412</v>
      </c>
      <c r="E126" s="607" t="s">
        <v>4420</v>
      </c>
      <c r="F126" s="607"/>
      <c r="G126" s="609"/>
      <c r="H126" s="609"/>
      <c r="I126" s="609"/>
      <c r="J126" s="610"/>
      <c r="K126" s="609"/>
      <c r="L126" s="609"/>
      <c r="M126" s="611"/>
      <c r="N126" s="611"/>
    </row>
    <row r="127" spans="1:17" s="606" customFormat="1">
      <c r="A127" s="602">
        <v>5</v>
      </c>
      <c r="B127" s="602" t="s">
        <v>4406</v>
      </c>
      <c r="C127" s="602" t="s">
        <v>4381</v>
      </c>
      <c r="D127" s="602" t="s">
        <v>4413</v>
      </c>
      <c r="E127" s="602" t="s">
        <v>3476</v>
      </c>
      <c r="F127" s="602" t="s">
        <v>4424</v>
      </c>
      <c r="G127" s="603"/>
      <c r="H127" s="603"/>
      <c r="I127" s="603"/>
      <c r="J127" s="604"/>
      <c r="K127" s="603"/>
      <c r="L127" s="603"/>
      <c r="M127" s="605"/>
      <c r="N127" s="605"/>
      <c r="O127" s="606" t="s">
        <v>1515</v>
      </c>
    </row>
    <row r="128" spans="1:17" s="612" customFormat="1">
      <c r="A128" s="607">
        <v>6</v>
      </c>
      <c r="B128" s="607" t="s">
        <v>2740</v>
      </c>
      <c r="C128" s="607" t="s">
        <v>4397</v>
      </c>
      <c r="D128" s="607" t="s">
        <v>4414</v>
      </c>
      <c r="E128" s="607" t="s">
        <v>4294</v>
      </c>
      <c r="F128" s="607"/>
      <c r="G128" s="609"/>
      <c r="H128" s="609"/>
      <c r="I128" s="609"/>
      <c r="J128" s="610"/>
      <c r="K128" s="609"/>
      <c r="L128" s="609"/>
      <c r="M128" s="611"/>
      <c r="N128" s="611"/>
    </row>
    <row r="129" spans="1:15" s="606" customFormat="1">
      <c r="A129" s="602">
        <v>7</v>
      </c>
      <c r="B129" s="602" t="s">
        <v>4407</v>
      </c>
      <c r="C129" s="602" t="s">
        <v>4388</v>
      </c>
      <c r="D129" s="602" t="s">
        <v>4415</v>
      </c>
      <c r="E129" s="602" t="s">
        <v>4421</v>
      </c>
      <c r="F129" s="602" t="s">
        <v>4422</v>
      </c>
      <c r="G129" s="603">
        <v>3599400</v>
      </c>
      <c r="H129" s="603">
        <v>5415000</v>
      </c>
      <c r="I129" s="603">
        <v>0</v>
      </c>
      <c r="J129" s="604">
        <v>0</v>
      </c>
      <c r="K129" s="603">
        <v>5415000</v>
      </c>
      <c r="L129" s="603">
        <v>1815600</v>
      </c>
      <c r="M129" s="605"/>
      <c r="N129" s="605">
        <v>45532</v>
      </c>
      <c r="O129" s="606" t="s">
        <v>1515</v>
      </c>
    </row>
    <row r="130" spans="1:15" s="612" customFormat="1">
      <c r="A130" s="607">
        <v>8</v>
      </c>
      <c r="B130" s="607" t="s">
        <v>4408</v>
      </c>
      <c r="C130" s="607" t="s">
        <v>4398</v>
      </c>
      <c r="D130" s="607" t="s">
        <v>4416</v>
      </c>
      <c r="E130" s="607" t="s">
        <v>3476</v>
      </c>
      <c r="F130" s="607"/>
      <c r="G130" s="609"/>
      <c r="H130" s="609"/>
      <c r="I130" s="609"/>
      <c r="J130" s="610"/>
      <c r="K130" s="609"/>
      <c r="L130" s="609"/>
      <c r="M130" s="611"/>
      <c r="N130" s="611"/>
    </row>
    <row r="131" spans="1:15" s="612" customFormat="1">
      <c r="A131" s="607">
        <v>9</v>
      </c>
      <c r="B131" s="607" t="s">
        <v>4408</v>
      </c>
      <c r="C131" s="607" t="s">
        <v>4399</v>
      </c>
      <c r="D131" s="607" t="s">
        <v>4417</v>
      </c>
      <c r="E131" s="607" t="s">
        <v>3476</v>
      </c>
      <c r="F131" s="607"/>
      <c r="G131" s="609"/>
      <c r="H131" s="609"/>
      <c r="I131" s="609"/>
      <c r="J131" s="610"/>
      <c r="K131" s="609"/>
      <c r="L131" s="609"/>
      <c r="M131" s="611"/>
      <c r="N131" s="611"/>
    </row>
    <row r="132" spans="1:15" s="612" customFormat="1">
      <c r="A132" s="607">
        <v>10</v>
      </c>
      <c r="B132" s="607" t="s">
        <v>4408</v>
      </c>
      <c r="C132" s="607" t="s">
        <v>4400</v>
      </c>
      <c r="D132" s="607" t="s">
        <v>4418</v>
      </c>
      <c r="E132" s="607" t="s">
        <v>3476</v>
      </c>
      <c r="F132" s="607"/>
      <c r="G132" s="609"/>
      <c r="H132" s="609"/>
      <c r="I132" s="609"/>
      <c r="J132" s="610"/>
      <c r="K132" s="609"/>
      <c r="L132" s="609"/>
      <c r="M132" s="611"/>
      <c r="N132" s="611"/>
    </row>
    <row r="133" spans="1:15" s="612" customFormat="1">
      <c r="A133" s="607">
        <v>11</v>
      </c>
      <c r="B133" s="607" t="s">
        <v>2751</v>
      </c>
      <c r="C133" s="607" t="s">
        <v>4401</v>
      </c>
      <c r="D133" s="607">
        <v>278883863</v>
      </c>
      <c r="E133" s="607" t="s">
        <v>3476</v>
      </c>
      <c r="F133" s="607"/>
      <c r="G133" s="609"/>
      <c r="H133" s="609"/>
      <c r="I133" s="609"/>
      <c r="J133" s="610"/>
      <c r="K133" s="609"/>
      <c r="L133" s="609"/>
      <c r="M133" s="611"/>
      <c r="N133" s="611"/>
    </row>
    <row r="134" spans="1:15" s="612" customFormat="1">
      <c r="A134" s="607">
        <v>12</v>
      </c>
      <c r="B134" s="607" t="s">
        <v>4408</v>
      </c>
      <c r="C134" s="607" t="s">
        <v>4402</v>
      </c>
      <c r="D134" s="607"/>
      <c r="E134" s="607" t="s">
        <v>3476</v>
      </c>
      <c r="F134" s="607"/>
      <c r="G134" s="609"/>
      <c r="H134" s="609"/>
      <c r="I134" s="609"/>
      <c r="J134" s="610"/>
      <c r="K134" s="609"/>
      <c r="L134" s="609"/>
      <c r="M134" s="611"/>
      <c r="N134" s="611"/>
    </row>
    <row r="135" spans="1:15" s="612" customFormat="1">
      <c r="A135" s="607">
        <v>13</v>
      </c>
      <c r="B135" s="607" t="s">
        <v>4408</v>
      </c>
      <c r="C135" s="607" t="s">
        <v>4403</v>
      </c>
      <c r="D135" s="607"/>
      <c r="E135" s="607" t="s">
        <v>3476</v>
      </c>
      <c r="F135" s="607"/>
      <c r="G135" s="609"/>
      <c r="H135" s="609"/>
      <c r="I135" s="609"/>
      <c r="J135" s="610"/>
      <c r="K135" s="609"/>
      <c r="L135" s="609"/>
      <c r="M135" s="611"/>
      <c r="N135" s="611"/>
    </row>
    <row r="136" spans="1:15" s="606" customFormat="1">
      <c r="A136" s="602"/>
      <c r="B136" s="602"/>
      <c r="C136" s="602"/>
      <c r="D136" s="602"/>
      <c r="E136" s="602"/>
      <c r="F136" s="602"/>
      <c r="G136" s="603"/>
      <c r="H136" s="603"/>
      <c r="I136" s="603"/>
      <c r="J136" s="604"/>
      <c r="K136" s="603"/>
      <c r="L136" s="603"/>
      <c r="M136" s="605"/>
      <c r="N136" s="605"/>
    </row>
    <row r="137" spans="1:15" s="606" customFormat="1">
      <c r="A137" s="602"/>
      <c r="B137" s="602"/>
      <c r="C137" s="602"/>
      <c r="D137" s="602"/>
      <c r="E137" s="602"/>
      <c r="F137" s="602"/>
      <c r="G137" s="603"/>
      <c r="H137" s="603"/>
      <c r="I137" s="603"/>
      <c r="J137" s="604"/>
      <c r="K137" s="603"/>
      <c r="L137" s="603"/>
      <c r="M137" s="605"/>
      <c r="N137" s="605"/>
    </row>
    <row r="138" spans="1:15" s="606" customFormat="1">
      <c r="A138" s="602"/>
      <c r="B138" s="602"/>
      <c r="C138" s="602"/>
      <c r="D138" s="602"/>
      <c r="E138" s="602"/>
      <c r="F138" s="602"/>
      <c r="G138" s="603"/>
      <c r="H138" s="603"/>
      <c r="I138" s="603"/>
      <c r="J138" s="604"/>
      <c r="K138" s="603"/>
      <c r="L138" s="603"/>
      <c r="M138" s="605"/>
      <c r="N138" s="605"/>
    </row>
    <row r="139" spans="1:15" s="606" customFormat="1">
      <c r="A139" s="602"/>
      <c r="B139" s="602"/>
      <c r="C139" s="602"/>
      <c r="D139" s="602"/>
      <c r="E139" s="602"/>
      <c r="F139" s="602"/>
      <c r="G139" s="603"/>
      <c r="H139" s="603"/>
      <c r="I139" s="603"/>
      <c r="J139" s="604"/>
      <c r="K139" s="603"/>
      <c r="L139" s="603"/>
      <c r="M139" s="605"/>
      <c r="N139" s="605"/>
    </row>
    <row r="140" spans="1:15" s="606" customFormat="1">
      <c r="A140" s="602"/>
      <c r="B140" s="602"/>
      <c r="C140" s="602"/>
      <c r="D140" s="602"/>
      <c r="E140" s="602"/>
      <c r="F140" s="602"/>
      <c r="G140" s="603"/>
      <c r="H140" s="603"/>
      <c r="I140" s="603"/>
      <c r="J140" s="604"/>
      <c r="K140" s="603"/>
      <c r="L140" s="603"/>
      <c r="M140" s="605"/>
      <c r="N140" s="605"/>
    </row>
    <row r="141" spans="1:15">
      <c r="A141" s="1095" t="s">
        <v>3560</v>
      </c>
      <c r="B141" s="1095"/>
      <c r="C141" s="1095"/>
      <c r="D141" s="1095"/>
      <c r="E141" s="1095"/>
      <c r="F141" s="1095"/>
      <c r="G141" s="461">
        <f>SUM(G123:G140)</f>
        <v>8035914</v>
      </c>
      <c r="H141" s="571">
        <f>SUM(H123:H140)</f>
        <v>16168161</v>
      </c>
      <c r="I141" s="571">
        <f>SUM(I123:I140)</f>
        <v>1694210</v>
      </c>
      <c r="J141" s="572">
        <f>SUM(J126:J128)</f>
        <v>0</v>
      </c>
      <c r="K141" s="571">
        <f>SUM(K123:K140)</f>
        <v>17862371</v>
      </c>
      <c r="L141" s="571">
        <f>SUM(L123:L140)</f>
        <v>9826457</v>
      </c>
      <c r="M141" s="573"/>
      <c r="N141" s="573"/>
      <c r="O141" s="458"/>
    </row>
    <row r="142" spans="1:15">
      <c r="O142" s="458"/>
    </row>
    <row r="143" spans="1:15">
      <c r="O143" s="458"/>
    </row>
    <row r="144" spans="1:15">
      <c r="O144" s="458"/>
    </row>
    <row r="145" spans="1:15">
      <c r="O145" s="458"/>
    </row>
    <row r="147" spans="1:15" ht="15.5">
      <c r="A147" s="453" t="s">
        <v>1</v>
      </c>
      <c r="B147" s="453" t="s">
        <v>3543</v>
      </c>
      <c r="C147" s="453" t="s">
        <v>3544</v>
      </c>
      <c r="D147" s="453" t="s">
        <v>3545</v>
      </c>
      <c r="E147" s="453" t="s">
        <v>3546</v>
      </c>
      <c r="F147" s="453" t="s">
        <v>3547</v>
      </c>
      <c r="G147" s="595" t="s">
        <v>3548</v>
      </c>
      <c r="H147" s="595" t="s">
        <v>3549</v>
      </c>
      <c r="I147" s="596" t="s">
        <v>3551</v>
      </c>
    </row>
    <row r="148" spans="1:15">
      <c r="A148" s="234"/>
      <c r="B148" s="234" t="s">
        <v>2751</v>
      </c>
      <c r="C148" s="234" t="s">
        <v>3840</v>
      </c>
      <c r="D148" s="234" t="s">
        <v>4309</v>
      </c>
      <c r="E148" s="234" t="s">
        <v>4294</v>
      </c>
      <c r="F148" s="234" t="s">
        <v>4310</v>
      </c>
      <c r="G148" s="557">
        <v>2998000</v>
      </c>
      <c r="H148" s="557">
        <v>5155954</v>
      </c>
      <c r="I148" s="557">
        <v>8153954</v>
      </c>
    </row>
    <row r="149" spans="1:15">
      <c r="A149" s="234"/>
      <c r="B149" s="234" t="s">
        <v>2751</v>
      </c>
      <c r="C149" s="234" t="s">
        <v>4313</v>
      </c>
      <c r="D149" s="234" t="s">
        <v>4311</v>
      </c>
      <c r="E149" s="234" t="s">
        <v>4294</v>
      </c>
      <c r="F149" s="234" t="s">
        <v>4312</v>
      </c>
      <c r="G149" s="557">
        <v>8798000</v>
      </c>
      <c r="H149" s="557">
        <v>7439553</v>
      </c>
      <c r="I149" s="557">
        <v>16237053</v>
      </c>
    </row>
    <row r="150" spans="1:15">
      <c r="A150" s="234"/>
      <c r="B150" s="234" t="s">
        <v>2751</v>
      </c>
      <c r="C150" s="234" t="s">
        <v>4314</v>
      </c>
      <c r="D150" s="234">
        <v>278653996</v>
      </c>
      <c r="E150" s="234" t="s">
        <v>4294</v>
      </c>
      <c r="F150" s="234" t="s">
        <v>4315</v>
      </c>
      <c r="G150" s="557">
        <v>8798000</v>
      </c>
      <c r="H150" s="557">
        <v>6699127</v>
      </c>
      <c r="I150" s="557">
        <v>15497127</v>
      </c>
    </row>
    <row r="151" spans="1:15">
      <c r="A151" s="234"/>
      <c r="B151" s="234" t="s">
        <v>2751</v>
      </c>
      <c r="C151" s="234" t="s">
        <v>4286</v>
      </c>
      <c r="D151" s="234" t="s">
        <v>4316</v>
      </c>
      <c r="E151" s="234" t="s">
        <v>4294</v>
      </c>
      <c r="F151" s="234" t="s">
        <v>4317</v>
      </c>
      <c r="G151" s="557">
        <v>3048000</v>
      </c>
      <c r="H151" s="557">
        <v>6832814</v>
      </c>
      <c r="I151" s="557">
        <v>9880814</v>
      </c>
    </row>
    <row r="152" spans="1:15">
      <c r="A152" s="234"/>
      <c r="B152" s="234" t="s">
        <v>2751</v>
      </c>
      <c r="C152" s="234" t="s">
        <v>4318</v>
      </c>
      <c r="D152" s="234">
        <v>278654542</v>
      </c>
      <c r="E152" s="234" t="s">
        <v>4294</v>
      </c>
      <c r="F152" s="234" t="s">
        <v>4319</v>
      </c>
      <c r="G152" s="557">
        <v>4898000</v>
      </c>
      <c r="H152" s="557">
        <v>6345400</v>
      </c>
      <c r="I152" s="557">
        <v>11243400</v>
      </c>
    </row>
    <row r="153" spans="1:15">
      <c r="A153" s="234"/>
      <c r="B153" s="234" t="s">
        <v>2751</v>
      </c>
      <c r="C153" s="234" t="s">
        <v>4324</v>
      </c>
      <c r="D153" s="234" t="s">
        <v>4382</v>
      </c>
      <c r="E153" s="234" t="s">
        <v>4294</v>
      </c>
      <c r="F153" s="234" t="s">
        <v>4325</v>
      </c>
      <c r="G153" s="557">
        <v>4798000</v>
      </c>
      <c r="H153" s="557">
        <v>8805984</v>
      </c>
      <c r="I153" s="557">
        <v>13603984</v>
      </c>
    </row>
    <row r="154" spans="1:15">
      <c r="A154" s="234"/>
      <c r="B154" s="234" t="s">
        <v>2751</v>
      </c>
      <c r="C154" s="234" t="s">
        <v>4328</v>
      </c>
      <c r="D154" s="234">
        <v>278654540</v>
      </c>
      <c r="E154" s="234" t="s">
        <v>4294</v>
      </c>
      <c r="F154" s="234" t="s">
        <v>4327</v>
      </c>
      <c r="G154" s="557">
        <v>2748000</v>
      </c>
      <c r="H154" s="557">
        <v>611388</v>
      </c>
      <c r="I154" s="557">
        <v>3409388</v>
      </c>
    </row>
    <row r="155" spans="1:15">
      <c r="A155" s="1095" t="s">
        <v>3560</v>
      </c>
      <c r="B155" s="1095"/>
      <c r="C155" s="1095"/>
      <c r="D155" s="1095"/>
      <c r="E155" s="1095"/>
      <c r="F155" s="1095"/>
      <c r="G155" s="571">
        <f>SUM(G148:G154)</f>
        <v>36086000</v>
      </c>
      <c r="H155" s="571">
        <f>SUM(H148:H154)</f>
        <v>41890220</v>
      </c>
      <c r="I155" s="571">
        <f>SUM(I148:I154)</f>
        <v>78025720</v>
      </c>
    </row>
    <row r="157" spans="1:15" ht="15.5">
      <c r="B157" s="453" t="s">
        <v>3543</v>
      </c>
      <c r="C157" s="453" t="s">
        <v>3544</v>
      </c>
      <c r="D157" s="453" t="s">
        <v>3545</v>
      </c>
      <c r="E157" s="453" t="s">
        <v>3547</v>
      </c>
      <c r="F157" s="595" t="s">
        <v>3548</v>
      </c>
      <c r="G157" s="595" t="s">
        <v>3549</v>
      </c>
      <c r="H157" s="596" t="s">
        <v>3551</v>
      </c>
    </row>
    <row r="158" spans="1:15">
      <c r="B158" s="234" t="s">
        <v>2751</v>
      </c>
      <c r="C158" s="234" t="s">
        <v>3840</v>
      </c>
      <c r="D158" s="234" t="s">
        <v>4309</v>
      </c>
      <c r="E158" s="234" t="s">
        <v>4310</v>
      </c>
      <c r="F158" s="557">
        <v>2998000</v>
      </c>
      <c r="G158" s="557">
        <v>5155954</v>
      </c>
      <c r="H158" s="557">
        <v>8153954</v>
      </c>
    </row>
    <row r="159" spans="1:15">
      <c r="B159" s="234" t="s">
        <v>2751</v>
      </c>
      <c r="C159" s="234" t="s">
        <v>4313</v>
      </c>
      <c r="D159" s="234" t="s">
        <v>4311</v>
      </c>
      <c r="E159" s="234" t="s">
        <v>4312</v>
      </c>
      <c r="F159" s="557">
        <v>8798000</v>
      </c>
      <c r="G159" s="557">
        <v>7439553</v>
      </c>
      <c r="H159" s="557">
        <v>16237053</v>
      </c>
    </row>
    <row r="160" spans="1:15">
      <c r="B160" s="234" t="s">
        <v>2751</v>
      </c>
      <c r="C160" s="234" t="s">
        <v>4314</v>
      </c>
      <c r="D160" s="234">
        <v>278653996</v>
      </c>
      <c r="E160" s="234" t="s">
        <v>4315</v>
      </c>
      <c r="F160" s="557">
        <v>8798000</v>
      </c>
      <c r="G160" s="557">
        <v>6699127</v>
      </c>
      <c r="H160" s="557">
        <v>15497127</v>
      </c>
    </row>
    <row r="161" spans="2:8">
      <c r="B161" s="234" t="s">
        <v>2751</v>
      </c>
      <c r="C161" s="234" t="s">
        <v>4286</v>
      </c>
      <c r="D161" s="234" t="s">
        <v>4316</v>
      </c>
      <c r="E161" s="234" t="s">
        <v>4317</v>
      </c>
      <c r="F161" s="557">
        <v>3048000</v>
      </c>
      <c r="G161" s="557">
        <v>6832814</v>
      </c>
      <c r="H161" s="557">
        <v>9880814</v>
      </c>
    </row>
    <row r="162" spans="2:8">
      <c r="B162" s="234" t="s">
        <v>2751</v>
      </c>
      <c r="C162" s="234" t="s">
        <v>4318</v>
      </c>
      <c r="D162" s="234">
        <v>278654542</v>
      </c>
      <c r="E162" s="234" t="s">
        <v>4319</v>
      </c>
      <c r="F162" s="557">
        <v>4898000</v>
      </c>
      <c r="G162" s="557">
        <v>6345400</v>
      </c>
      <c r="H162" s="557">
        <v>11243400</v>
      </c>
    </row>
    <row r="163" spans="2:8">
      <c r="B163" s="234" t="s">
        <v>2751</v>
      </c>
      <c r="C163" s="234" t="s">
        <v>4324</v>
      </c>
      <c r="D163" s="234" t="s">
        <v>4382</v>
      </c>
      <c r="E163" s="234" t="s">
        <v>4325</v>
      </c>
      <c r="F163" s="557">
        <v>4798000</v>
      </c>
      <c r="G163" s="557">
        <v>8805984</v>
      </c>
      <c r="H163" s="557">
        <v>13603984</v>
      </c>
    </row>
    <row r="164" spans="2:8">
      <c r="B164" s="234" t="s">
        <v>2751</v>
      </c>
      <c r="C164" s="234" t="s">
        <v>4323</v>
      </c>
      <c r="D164" s="234">
        <v>278654543</v>
      </c>
      <c r="E164" s="234" t="s">
        <v>4326</v>
      </c>
      <c r="F164" s="557">
        <v>2798000</v>
      </c>
      <c r="G164" s="557">
        <v>611388</v>
      </c>
      <c r="H164" s="557">
        <v>3409388</v>
      </c>
    </row>
    <row r="165" spans="2:8">
      <c r="B165" s="234" t="s">
        <v>2751</v>
      </c>
      <c r="C165" s="234" t="s">
        <v>4328</v>
      </c>
      <c r="D165" s="234">
        <v>278654540</v>
      </c>
      <c r="E165" s="234" t="s">
        <v>4327</v>
      </c>
      <c r="F165" s="557">
        <v>2798000</v>
      </c>
      <c r="G165" s="557">
        <v>611388</v>
      </c>
      <c r="H165" s="557">
        <v>3409388</v>
      </c>
    </row>
    <row r="166" spans="2:8">
      <c r="H166" s="571">
        <f>SUM(H158:H165)</f>
        <v>81435108</v>
      </c>
    </row>
    <row r="168" spans="2:8" ht="15.5">
      <c r="B168" s="453" t="s">
        <v>3543</v>
      </c>
      <c r="C168" s="453" t="s">
        <v>3545</v>
      </c>
    </row>
    <row r="169" spans="2:8">
      <c r="B169" s="607" t="s">
        <v>2751</v>
      </c>
      <c r="C169" s="607" t="s">
        <v>4409</v>
      </c>
    </row>
    <row r="170" spans="2:8">
      <c r="B170" s="607" t="s">
        <v>2751</v>
      </c>
      <c r="C170" s="607" t="s">
        <v>4410</v>
      </c>
    </row>
    <row r="171" spans="2:8">
      <c r="B171" s="607" t="s">
        <v>2751</v>
      </c>
      <c r="C171" s="607">
        <v>278883863</v>
      </c>
    </row>
  </sheetData>
  <mergeCells count="17">
    <mergeCell ref="A15:F15"/>
    <mergeCell ref="A10:F10"/>
    <mergeCell ref="A91:F91"/>
    <mergeCell ref="A81:F81"/>
    <mergeCell ref="A73:F73"/>
    <mergeCell ref="A64:F64"/>
    <mergeCell ref="A45:F45"/>
    <mergeCell ref="A1:N1"/>
    <mergeCell ref="A5:A6"/>
    <mergeCell ref="B5:B6"/>
    <mergeCell ref="C5:C6"/>
    <mergeCell ref="D5:D6"/>
    <mergeCell ref="A30:F30"/>
    <mergeCell ref="A120:F120"/>
    <mergeCell ref="A155:F155"/>
    <mergeCell ref="A98:F98"/>
    <mergeCell ref="A141:F141"/>
  </mergeCells>
  <pageMargins left="0.25" right="0.25" top="0.75" bottom="0.75" header="0.3" footer="0.3"/>
  <pageSetup paperSize="9" scale="2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CA5-6C73-4E32-BA38-2B993EEB5D7F}">
  <dimension ref="B5"/>
  <sheetViews>
    <sheetView workbookViewId="0">
      <selection activeCell="F19" sqref="F19"/>
    </sheetView>
  </sheetViews>
  <sheetFormatPr defaultRowHeight="14"/>
  <cols>
    <col min="1" max="1" width="2.83203125" customWidth="1"/>
    <col min="3" max="3" width="19.33203125" customWidth="1"/>
    <col min="4" max="4" width="17.08203125" customWidth="1"/>
  </cols>
  <sheetData>
    <row r="5" spans="2:2">
      <c r="B5" s="626" t="e" cm="1">
        <f t="array" ref="B5">SHIPMENT!#REF!</f>
        <v>#REF!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M136"/>
  <sheetViews>
    <sheetView zoomScale="85" zoomScaleNormal="85" workbookViewId="0">
      <pane xSplit="2" ySplit="4" topLeftCell="C93" activePane="bottomRight" state="frozen"/>
      <selection pane="topRight"/>
      <selection pane="bottomLeft"/>
      <selection pane="bottomRight" activeCell="H108" activeCellId="8" sqref="B101:B103 B106 B108:B113 F101:F103 F106 F108:F113 H101:H103 H106 H108:H113"/>
    </sheetView>
  </sheetViews>
  <sheetFormatPr defaultColWidth="9" defaultRowHeight="14"/>
  <cols>
    <col min="1" max="1" width="3.5" customWidth="1"/>
    <col min="2" max="2" width="36.33203125" customWidth="1"/>
    <col min="3" max="3" width="47.75" style="470" customWidth="1"/>
    <col min="4" max="4" width="24.33203125" customWidth="1"/>
    <col min="5" max="5" width="36.25" customWidth="1"/>
    <col min="6" max="6" width="24.5" customWidth="1"/>
    <col min="7" max="7" width="13.5" customWidth="1"/>
    <col min="8" max="8" width="12.58203125" customWidth="1"/>
    <col min="9" max="9" width="17" customWidth="1"/>
    <col min="10" max="10" width="17.58203125" customWidth="1"/>
    <col min="11" max="11" width="12.58203125" customWidth="1"/>
    <col min="12" max="12" width="13" customWidth="1"/>
  </cols>
  <sheetData>
    <row r="1" spans="1:13" ht="25">
      <c r="A1" s="1098" t="s">
        <v>3696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</row>
    <row r="2" spans="1:13" ht="15.5">
      <c r="A2" s="453" t="s">
        <v>1</v>
      </c>
      <c r="B2" s="453" t="s">
        <v>3697</v>
      </c>
      <c r="C2" s="471" t="s">
        <v>3698</v>
      </c>
      <c r="D2" s="453" t="s">
        <v>3699</v>
      </c>
      <c r="E2" s="453" t="s">
        <v>3700</v>
      </c>
      <c r="F2" s="453" t="s">
        <v>3701</v>
      </c>
      <c r="G2" s="453" t="s">
        <v>3702</v>
      </c>
      <c r="H2" s="453" t="s">
        <v>3703</v>
      </c>
      <c r="I2" s="453" t="s">
        <v>3704</v>
      </c>
      <c r="J2" s="453" t="s">
        <v>3553</v>
      </c>
      <c r="K2" s="453" t="s">
        <v>3554</v>
      </c>
      <c r="L2" s="453" t="s">
        <v>3461</v>
      </c>
    </row>
    <row r="3" spans="1:13" ht="17.5">
      <c r="A3" s="1099" t="s">
        <v>3555</v>
      </c>
      <c r="B3" s="1099"/>
      <c r="C3" s="1100"/>
      <c r="D3" s="1099"/>
      <c r="E3" s="1099"/>
      <c r="F3" s="1099"/>
      <c r="G3" s="1099"/>
      <c r="H3" s="1099"/>
      <c r="I3" s="1099"/>
      <c r="J3" s="1099"/>
      <c r="K3" s="1099"/>
      <c r="L3" s="1099"/>
    </row>
    <row r="4" spans="1:13" s="458" customFormat="1" ht="17.5">
      <c r="A4" s="1099" t="s">
        <v>3561</v>
      </c>
      <c r="B4" s="1099"/>
      <c r="C4" s="1100"/>
      <c r="D4" s="1099"/>
      <c r="E4" s="1099"/>
      <c r="F4" s="1099"/>
      <c r="G4" s="1099"/>
      <c r="H4" s="1099"/>
      <c r="I4" s="1099"/>
      <c r="J4" s="1099"/>
      <c r="K4" s="1099"/>
      <c r="L4" s="1099"/>
    </row>
    <row r="5" spans="1:13">
      <c r="A5" s="202">
        <v>1</v>
      </c>
      <c r="B5" s="202" t="s">
        <v>3705</v>
      </c>
      <c r="C5" s="473" t="s">
        <v>3706</v>
      </c>
      <c r="D5" s="202" t="s">
        <v>3707</v>
      </c>
      <c r="E5" s="202" t="s">
        <v>3708</v>
      </c>
      <c r="F5" s="202" t="s">
        <v>2772</v>
      </c>
      <c r="G5" s="218">
        <v>0</v>
      </c>
      <c r="H5" s="218">
        <v>2349500</v>
      </c>
      <c r="I5" s="457">
        <v>45233</v>
      </c>
      <c r="J5" s="457">
        <v>45247</v>
      </c>
      <c r="K5" s="457">
        <v>45247</v>
      </c>
      <c r="L5" s="202" t="s">
        <v>3330</v>
      </c>
    </row>
    <row r="6" spans="1:13">
      <c r="A6" s="202">
        <v>2</v>
      </c>
      <c r="B6" s="202" t="s">
        <v>3709</v>
      </c>
      <c r="C6" s="473" t="s">
        <v>3710</v>
      </c>
      <c r="D6" s="202" t="s">
        <v>3711</v>
      </c>
      <c r="E6" s="202" t="s">
        <v>3712</v>
      </c>
      <c r="F6" s="202" t="s">
        <v>3713</v>
      </c>
      <c r="G6" s="218">
        <v>2500</v>
      </c>
      <c r="H6" s="218">
        <v>925000</v>
      </c>
      <c r="I6" s="457">
        <v>45235</v>
      </c>
      <c r="J6" s="457">
        <v>45249</v>
      </c>
      <c r="K6" s="457">
        <v>45246</v>
      </c>
      <c r="L6" s="202" t="s">
        <v>3330</v>
      </c>
    </row>
    <row r="7" spans="1:13">
      <c r="A7" s="202">
        <v>3</v>
      </c>
      <c r="B7" s="202" t="s">
        <v>3714</v>
      </c>
      <c r="C7" s="473" t="s">
        <v>3715</v>
      </c>
      <c r="D7" s="202" t="s">
        <v>3716</v>
      </c>
      <c r="E7" s="202" t="s">
        <v>3717</v>
      </c>
      <c r="F7" s="202" t="s">
        <v>3718</v>
      </c>
      <c r="G7" s="218">
        <v>0</v>
      </c>
      <c r="H7" s="218">
        <v>4901400</v>
      </c>
      <c r="I7" s="457">
        <v>45235</v>
      </c>
      <c r="J7" s="457">
        <v>45249</v>
      </c>
      <c r="K7" s="457">
        <v>45246</v>
      </c>
      <c r="L7" s="202" t="s">
        <v>3330</v>
      </c>
    </row>
    <row r="8" spans="1:13" s="458" customFormat="1">
      <c r="A8" s="202">
        <v>4</v>
      </c>
      <c r="B8" s="202" t="s">
        <v>3719</v>
      </c>
      <c r="C8" s="473" t="s">
        <v>3720</v>
      </c>
      <c r="D8" s="202" t="s">
        <v>3721</v>
      </c>
      <c r="E8" s="202" t="s">
        <v>3719</v>
      </c>
      <c r="F8" s="202" t="s">
        <v>2787</v>
      </c>
      <c r="G8" s="218">
        <v>0</v>
      </c>
      <c r="H8" s="218">
        <v>2515800</v>
      </c>
      <c r="I8" s="457">
        <v>45259</v>
      </c>
      <c r="J8" s="457">
        <v>45260</v>
      </c>
      <c r="K8" s="457">
        <v>45260</v>
      </c>
      <c r="L8" s="202" t="s">
        <v>3330</v>
      </c>
      <c r="M8" s="458" t="s">
        <v>3722</v>
      </c>
    </row>
    <row r="9" spans="1:13" s="458" customFormat="1">
      <c r="A9" s="202">
        <v>5</v>
      </c>
      <c r="B9" s="202" t="s">
        <v>3723</v>
      </c>
      <c r="C9" s="473" t="s">
        <v>3724</v>
      </c>
      <c r="D9" s="202" t="s">
        <v>3725</v>
      </c>
      <c r="E9" s="202" t="s">
        <v>3726</v>
      </c>
      <c r="F9" s="202" t="s">
        <v>2799</v>
      </c>
      <c r="G9" s="218">
        <v>0</v>
      </c>
      <c r="H9" s="218">
        <v>2327100</v>
      </c>
      <c r="I9" s="457">
        <v>45259</v>
      </c>
      <c r="J9" s="457">
        <v>45260</v>
      </c>
      <c r="K9" s="457">
        <v>45260</v>
      </c>
      <c r="L9" s="202" t="s">
        <v>3330</v>
      </c>
    </row>
    <row r="10" spans="1:13" ht="17.5">
      <c r="A10" s="455" t="s">
        <v>3564</v>
      </c>
      <c r="B10" s="455"/>
      <c r="C10" s="472"/>
      <c r="D10" s="455"/>
      <c r="E10" s="455"/>
      <c r="F10" s="455"/>
      <c r="G10" s="455"/>
      <c r="H10" s="455"/>
      <c r="I10" s="456"/>
      <c r="J10" s="456"/>
      <c r="K10" s="456"/>
      <c r="L10" s="455"/>
    </row>
    <row r="11" spans="1:13" s="458" customFormat="1">
      <c r="A11" s="202">
        <v>1</v>
      </c>
      <c r="B11" s="202" t="s">
        <v>3705</v>
      </c>
      <c r="C11" s="473" t="s">
        <v>3727</v>
      </c>
      <c r="D11" s="202" t="s">
        <v>3728</v>
      </c>
      <c r="E11" s="202" t="s">
        <v>3729</v>
      </c>
      <c r="F11" s="202" t="s">
        <v>2807</v>
      </c>
      <c r="G11" s="218">
        <v>0</v>
      </c>
      <c r="H11" s="218">
        <v>1600000</v>
      </c>
      <c r="I11" s="457">
        <v>45251</v>
      </c>
      <c r="J11" s="457">
        <v>45266</v>
      </c>
      <c r="K11" s="457">
        <v>45266</v>
      </c>
      <c r="L11" s="202" t="s">
        <v>3330</v>
      </c>
    </row>
    <row r="12" spans="1:13" s="458" customFormat="1" ht="13.5" customHeight="1">
      <c r="A12" s="202">
        <v>2</v>
      </c>
      <c r="B12" s="202" t="s">
        <v>3730</v>
      </c>
      <c r="C12" s="473" t="s">
        <v>3731</v>
      </c>
      <c r="D12" s="202" t="s">
        <v>3732</v>
      </c>
      <c r="E12" s="202" t="s">
        <v>3733</v>
      </c>
      <c r="F12" s="202" t="s">
        <v>2787</v>
      </c>
      <c r="G12" s="218">
        <v>60000</v>
      </c>
      <c r="H12" s="218">
        <v>7946175</v>
      </c>
      <c r="I12" s="457">
        <v>45246</v>
      </c>
      <c r="J12" s="457">
        <v>45276</v>
      </c>
      <c r="K12" s="457">
        <v>45273</v>
      </c>
      <c r="L12" s="202" t="s">
        <v>3330</v>
      </c>
    </row>
    <row r="13" spans="1:13" s="458" customFormat="1">
      <c r="A13" s="202">
        <v>3</v>
      </c>
      <c r="B13" s="202" t="s">
        <v>3734</v>
      </c>
      <c r="C13" s="473" t="s">
        <v>3735</v>
      </c>
      <c r="D13" s="202" t="s">
        <v>3736</v>
      </c>
      <c r="E13" s="202" t="s">
        <v>3734</v>
      </c>
      <c r="F13" s="202" t="s">
        <v>2755</v>
      </c>
      <c r="G13" s="218">
        <v>0</v>
      </c>
      <c r="H13" s="218">
        <v>25051601</v>
      </c>
      <c r="I13" s="457">
        <v>45247</v>
      </c>
      <c r="J13" s="457">
        <v>45277</v>
      </c>
      <c r="K13" s="457">
        <v>45277</v>
      </c>
      <c r="L13" s="202" t="s">
        <v>3330</v>
      </c>
    </row>
    <row r="14" spans="1:13" s="458" customFormat="1">
      <c r="A14" s="202">
        <v>4</v>
      </c>
      <c r="B14" s="202" t="s">
        <v>3719</v>
      </c>
      <c r="C14" s="473" t="s">
        <v>3737</v>
      </c>
      <c r="D14" s="202" t="s">
        <v>3721</v>
      </c>
      <c r="E14" s="202" t="s">
        <v>3719</v>
      </c>
      <c r="F14" s="202" t="s">
        <v>2837</v>
      </c>
      <c r="G14" s="218">
        <v>0</v>
      </c>
      <c r="H14" s="218">
        <v>4357379</v>
      </c>
      <c r="I14" s="457">
        <v>45264</v>
      </c>
      <c r="J14" s="457">
        <v>45264</v>
      </c>
      <c r="K14" s="457">
        <v>45089</v>
      </c>
      <c r="L14" s="202" t="s">
        <v>3330</v>
      </c>
    </row>
    <row r="15" spans="1:13" s="458" customFormat="1">
      <c r="A15" s="202">
        <v>5</v>
      </c>
      <c r="B15" s="202" t="s">
        <v>3738</v>
      </c>
      <c r="C15" s="473" t="s">
        <v>3739</v>
      </c>
      <c r="D15" s="202" t="s">
        <v>3740</v>
      </c>
      <c r="E15" s="202" t="s">
        <v>3738</v>
      </c>
      <c r="F15" s="202" t="s">
        <v>2924</v>
      </c>
      <c r="G15" s="218">
        <v>0</v>
      </c>
      <c r="H15" s="218">
        <v>12500000</v>
      </c>
      <c r="I15" s="457">
        <v>45274</v>
      </c>
      <c r="J15" s="457">
        <v>45282</v>
      </c>
      <c r="K15" s="457" t="s">
        <v>2952</v>
      </c>
      <c r="L15" s="202" t="s">
        <v>3330</v>
      </c>
    </row>
    <row r="16" spans="1:13" s="458" customFormat="1">
      <c r="A16" s="202">
        <v>6</v>
      </c>
      <c r="B16" s="202" t="s">
        <v>3709</v>
      </c>
      <c r="C16" s="473" t="s">
        <v>3741</v>
      </c>
      <c r="D16" s="202" t="s">
        <v>3742</v>
      </c>
      <c r="E16" s="202" t="s">
        <v>3743</v>
      </c>
      <c r="F16" s="202" t="s">
        <v>3744</v>
      </c>
      <c r="G16" s="218">
        <v>0</v>
      </c>
      <c r="H16" s="218">
        <v>550000</v>
      </c>
      <c r="I16" s="457">
        <v>45273</v>
      </c>
      <c r="J16" s="457">
        <v>45280</v>
      </c>
      <c r="K16" s="457" t="s">
        <v>3745</v>
      </c>
      <c r="L16" s="202" t="s">
        <v>3330</v>
      </c>
    </row>
    <row r="17" spans="1:12" s="458" customFormat="1">
      <c r="A17" s="202">
        <v>7</v>
      </c>
      <c r="B17" s="202" t="s">
        <v>3714</v>
      </c>
      <c r="C17" s="473" t="s">
        <v>3746</v>
      </c>
      <c r="D17" s="202" t="s">
        <v>3728</v>
      </c>
      <c r="E17" s="202" t="s">
        <v>3729</v>
      </c>
      <c r="F17" s="202" t="s">
        <v>3744</v>
      </c>
      <c r="G17" s="218">
        <v>0</v>
      </c>
      <c r="H17" s="218">
        <v>6798500</v>
      </c>
      <c r="I17" s="457">
        <v>45242</v>
      </c>
      <c r="J17" s="457">
        <v>45280</v>
      </c>
      <c r="K17" s="457" t="s">
        <v>2952</v>
      </c>
      <c r="L17" s="202" t="s">
        <v>3330</v>
      </c>
    </row>
    <row r="18" spans="1:12" s="458" customFormat="1">
      <c r="A18" s="202">
        <v>8</v>
      </c>
      <c r="B18" s="202" t="s">
        <v>3719</v>
      </c>
      <c r="C18" s="473" t="s">
        <v>3747</v>
      </c>
      <c r="D18" s="202" t="s">
        <v>3721</v>
      </c>
      <c r="E18" s="202" t="s">
        <v>3719</v>
      </c>
      <c r="F18" s="202" t="s">
        <v>2936</v>
      </c>
      <c r="G18" s="218">
        <v>0</v>
      </c>
      <c r="H18" s="218">
        <v>951500</v>
      </c>
      <c r="I18" s="457">
        <v>45280</v>
      </c>
      <c r="J18" s="457">
        <v>45282</v>
      </c>
      <c r="K18" s="457">
        <v>45295</v>
      </c>
      <c r="L18" s="202" t="s">
        <v>3330</v>
      </c>
    </row>
    <row r="19" spans="1:12" s="458" customFormat="1">
      <c r="A19" s="202">
        <v>9</v>
      </c>
      <c r="B19" s="202" t="s">
        <v>3734</v>
      </c>
      <c r="C19" s="473" t="s">
        <v>3748</v>
      </c>
      <c r="D19" s="202" t="s">
        <v>3736</v>
      </c>
      <c r="E19" s="202" t="s">
        <v>3734</v>
      </c>
      <c r="F19" s="202" t="s">
        <v>2876</v>
      </c>
      <c r="G19" s="218">
        <v>0</v>
      </c>
      <c r="H19" s="218">
        <v>33509490</v>
      </c>
      <c r="I19" s="457">
        <v>44935</v>
      </c>
      <c r="J19" s="457">
        <v>45331</v>
      </c>
      <c r="K19" s="457">
        <v>45342</v>
      </c>
      <c r="L19" s="202" t="s">
        <v>3330</v>
      </c>
    </row>
    <row r="20" spans="1:12" ht="17.5">
      <c r="A20" s="455" t="s">
        <v>3579</v>
      </c>
      <c r="B20" s="455"/>
      <c r="C20" s="472"/>
      <c r="D20" s="455"/>
      <c r="E20" s="455"/>
      <c r="F20" s="455"/>
      <c r="G20" s="455"/>
      <c r="H20" s="455"/>
      <c r="I20" s="456"/>
      <c r="J20" s="456"/>
      <c r="K20" s="456"/>
      <c r="L20" s="455"/>
    </row>
    <row r="21" spans="1:12">
      <c r="A21" s="202">
        <v>1</v>
      </c>
      <c r="B21" s="202" t="s">
        <v>3719</v>
      </c>
      <c r="C21" s="473" t="s">
        <v>3749</v>
      </c>
      <c r="D21" s="202" t="s">
        <v>3721</v>
      </c>
      <c r="E21" s="202" t="s">
        <v>3719</v>
      </c>
      <c r="F21" s="202" t="s">
        <v>3041</v>
      </c>
      <c r="G21" s="218">
        <v>0</v>
      </c>
      <c r="H21" s="218">
        <v>1060500</v>
      </c>
      <c r="I21" s="457" t="s">
        <v>40</v>
      </c>
      <c r="J21" s="457" t="s">
        <v>40</v>
      </c>
      <c r="K21" s="457">
        <v>45322</v>
      </c>
      <c r="L21" s="202" t="s">
        <v>3330</v>
      </c>
    </row>
    <row r="22" spans="1:12">
      <c r="A22" s="202">
        <v>2</v>
      </c>
      <c r="B22" s="202" t="s">
        <v>3750</v>
      </c>
      <c r="C22" s="473" t="s">
        <v>3751</v>
      </c>
      <c r="D22" s="202" t="s">
        <v>3752</v>
      </c>
      <c r="E22" s="202" t="s">
        <v>3753</v>
      </c>
      <c r="F22" s="202" t="s">
        <v>3754</v>
      </c>
      <c r="G22" s="218">
        <v>0</v>
      </c>
      <c r="H22" s="218">
        <v>1750000</v>
      </c>
      <c r="I22" s="457">
        <v>45309</v>
      </c>
      <c r="J22" s="457">
        <v>45309</v>
      </c>
      <c r="K22" s="457">
        <v>45309</v>
      </c>
      <c r="L22" s="202" t="s">
        <v>3330</v>
      </c>
    </row>
    <row r="23" spans="1:12" ht="17.5">
      <c r="A23" s="455" t="s">
        <v>3593</v>
      </c>
      <c r="B23" s="455"/>
      <c r="C23" s="472"/>
      <c r="D23" s="455"/>
      <c r="E23" s="455"/>
      <c r="F23" s="455"/>
      <c r="G23" s="455"/>
      <c r="H23" s="455"/>
      <c r="I23" s="456"/>
      <c r="J23" s="456"/>
      <c r="K23" s="456"/>
      <c r="L23" s="455"/>
    </row>
    <row r="24" spans="1:12" s="458" customFormat="1">
      <c r="A24" s="202">
        <v>1</v>
      </c>
      <c r="B24" s="202" t="s">
        <v>3738</v>
      </c>
      <c r="C24" s="473" t="s">
        <v>3755</v>
      </c>
      <c r="D24" s="202" t="s">
        <v>3740</v>
      </c>
      <c r="E24" s="202" t="s">
        <v>3738</v>
      </c>
      <c r="F24" s="202" t="s">
        <v>3058</v>
      </c>
      <c r="G24" s="218">
        <v>0</v>
      </c>
      <c r="H24" s="218">
        <v>1800000</v>
      </c>
      <c r="I24" s="457">
        <v>45315</v>
      </c>
      <c r="J24" s="457">
        <v>45331</v>
      </c>
      <c r="K24" s="457">
        <v>45334</v>
      </c>
      <c r="L24" s="202" t="s">
        <v>3330</v>
      </c>
    </row>
    <row r="25" spans="1:12" s="458" customFormat="1">
      <c r="A25" s="202">
        <v>2</v>
      </c>
      <c r="B25" s="202" t="s">
        <v>3738</v>
      </c>
      <c r="C25" s="473" t="s">
        <v>3756</v>
      </c>
      <c r="D25" s="202" t="s">
        <v>3740</v>
      </c>
      <c r="E25" s="202" t="s">
        <v>3738</v>
      </c>
      <c r="F25" s="202" t="s">
        <v>3058</v>
      </c>
      <c r="G25" s="218">
        <v>0</v>
      </c>
      <c r="H25" s="218">
        <v>999000</v>
      </c>
      <c r="I25" s="457">
        <v>45315</v>
      </c>
      <c r="J25" s="457">
        <v>45331</v>
      </c>
      <c r="K25" s="457">
        <v>45334</v>
      </c>
      <c r="L25" s="202" t="s">
        <v>3330</v>
      </c>
    </row>
    <row r="26" spans="1:12" s="458" customFormat="1">
      <c r="A26" s="202">
        <v>3</v>
      </c>
      <c r="B26" s="202" t="s">
        <v>3738</v>
      </c>
      <c r="C26" s="473" t="s">
        <v>3757</v>
      </c>
      <c r="D26" s="202" t="s">
        <v>3740</v>
      </c>
      <c r="E26" s="202" t="s">
        <v>3738</v>
      </c>
      <c r="F26" s="202" t="s">
        <v>3058</v>
      </c>
      <c r="G26" s="218">
        <v>0</v>
      </c>
      <c r="H26" s="218">
        <v>4332314</v>
      </c>
      <c r="I26" s="457">
        <v>45315</v>
      </c>
      <c r="J26" s="457">
        <v>45331</v>
      </c>
      <c r="K26" s="457">
        <v>45334</v>
      </c>
      <c r="L26" s="202" t="s">
        <v>3330</v>
      </c>
    </row>
    <row r="27" spans="1:12" s="458" customFormat="1">
      <c r="A27" s="202">
        <v>4</v>
      </c>
      <c r="B27" s="202" t="s">
        <v>3738</v>
      </c>
      <c r="C27" s="473" t="s">
        <v>3755</v>
      </c>
      <c r="D27" s="202" t="s">
        <v>3740</v>
      </c>
      <c r="E27" s="202" t="s">
        <v>3738</v>
      </c>
      <c r="F27" s="202" t="s">
        <v>3050</v>
      </c>
      <c r="G27" s="218">
        <v>0</v>
      </c>
      <c r="H27" s="218">
        <v>1800000</v>
      </c>
      <c r="I27" s="457">
        <v>45313</v>
      </c>
      <c r="J27" s="457">
        <v>45329</v>
      </c>
      <c r="K27" s="457">
        <v>45334</v>
      </c>
      <c r="L27" s="202" t="s">
        <v>3330</v>
      </c>
    </row>
    <row r="28" spans="1:12" s="458" customFormat="1">
      <c r="A28" s="202">
        <v>5</v>
      </c>
      <c r="B28" s="202" t="s">
        <v>3758</v>
      </c>
      <c r="C28" s="473" t="s">
        <v>3759</v>
      </c>
      <c r="D28" s="202" t="s">
        <v>3760</v>
      </c>
      <c r="E28" s="202" t="s">
        <v>3758</v>
      </c>
      <c r="F28" s="202" t="s">
        <v>3073</v>
      </c>
      <c r="G28" s="218">
        <v>0</v>
      </c>
      <c r="H28" s="218">
        <v>480000</v>
      </c>
      <c r="I28" s="457">
        <v>45328</v>
      </c>
      <c r="J28" s="457">
        <v>45328</v>
      </c>
      <c r="K28" s="457">
        <v>45329</v>
      </c>
      <c r="L28" s="202" t="s">
        <v>3330</v>
      </c>
    </row>
    <row r="29" spans="1:12" s="458" customFormat="1">
      <c r="A29" s="202">
        <v>6</v>
      </c>
      <c r="B29" s="202" t="s">
        <v>3758</v>
      </c>
      <c r="C29" s="473" t="s">
        <v>3761</v>
      </c>
      <c r="D29" s="202" t="s">
        <v>3760</v>
      </c>
      <c r="E29" s="202" t="s">
        <v>3758</v>
      </c>
      <c r="F29" s="202" t="s">
        <v>3187</v>
      </c>
      <c r="G29" s="218">
        <v>0</v>
      </c>
      <c r="H29" s="218">
        <v>2200000</v>
      </c>
      <c r="I29" s="457">
        <v>45328</v>
      </c>
      <c r="J29" s="457">
        <v>45328</v>
      </c>
      <c r="K29" s="457">
        <v>45329</v>
      </c>
      <c r="L29" s="202" t="s">
        <v>3330</v>
      </c>
    </row>
    <row r="30" spans="1:12" s="458" customFormat="1">
      <c r="A30" s="202">
        <v>7</v>
      </c>
      <c r="B30" s="202" t="s">
        <v>3714</v>
      </c>
      <c r="C30" s="473" t="s">
        <v>3762</v>
      </c>
      <c r="D30" s="202" t="s">
        <v>3728</v>
      </c>
      <c r="E30" s="202" t="s">
        <v>3729</v>
      </c>
      <c r="F30" s="202" t="s">
        <v>3063</v>
      </c>
      <c r="G30" s="218">
        <v>0</v>
      </c>
      <c r="H30" s="218">
        <v>1050000</v>
      </c>
      <c r="I30" s="457">
        <v>45322</v>
      </c>
      <c r="J30" s="457">
        <v>45331</v>
      </c>
      <c r="K30" s="457">
        <v>45342</v>
      </c>
      <c r="L30" s="202" t="s">
        <v>3330</v>
      </c>
    </row>
    <row r="31" spans="1:12" s="458" customFormat="1">
      <c r="A31" s="202">
        <v>8</v>
      </c>
      <c r="B31" s="202" t="s">
        <v>3734</v>
      </c>
      <c r="C31" s="473" t="s">
        <v>3763</v>
      </c>
      <c r="D31" s="202" t="s">
        <v>3736</v>
      </c>
      <c r="E31" s="202" t="s">
        <v>3734</v>
      </c>
      <c r="F31" s="202" t="s">
        <v>3016</v>
      </c>
      <c r="G31" s="218">
        <v>0</v>
      </c>
      <c r="H31" s="218">
        <v>10331060</v>
      </c>
      <c r="I31" s="457">
        <v>45324</v>
      </c>
      <c r="J31" s="457">
        <v>45353</v>
      </c>
      <c r="K31" s="457">
        <v>45363</v>
      </c>
      <c r="L31" s="202" t="s">
        <v>3330</v>
      </c>
    </row>
    <row r="32" spans="1:12" s="458" customFormat="1" ht="28">
      <c r="A32" s="202">
        <v>9</v>
      </c>
      <c r="B32" s="202" t="s">
        <v>3719</v>
      </c>
      <c r="C32" s="473" t="s">
        <v>3764</v>
      </c>
      <c r="D32" s="202" t="s">
        <v>3721</v>
      </c>
      <c r="E32" s="202" t="s">
        <v>3719</v>
      </c>
      <c r="F32" s="473" t="s">
        <v>3765</v>
      </c>
      <c r="G32" s="218">
        <v>0</v>
      </c>
      <c r="H32" s="218">
        <v>4669000</v>
      </c>
      <c r="I32" s="457">
        <v>45323</v>
      </c>
      <c r="J32" s="457">
        <v>45352</v>
      </c>
      <c r="K32" s="457">
        <v>45353</v>
      </c>
      <c r="L32" s="202" t="s">
        <v>3330</v>
      </c>
    </row>
    <row r="33" spans="1:12" s="458" customFormat="1">
      <c r="A33" s="202">
        <v>10</v>
      </c>
      <c r="B33" s="202" t="s">
        <v>3730</v>
      </c>
      <c r="C33" s="473" t="s">
        <v>3766</v>
      </c>
      <c r="D33" s="202" t="s">
        <v>3732</v>
      </c>
      <c r="E33" s="202" t="s">
        <v>3733</v>
      </c>
      <c r="F33" s="202" t="s">
        <v>3034</v>
      </c>
      <c r="G33" s="218">
        <v>0</v>
      </c>
      <c r="H33" s="218">
        <v>8745500</v>
      </c>
      <c r="I33" s="457">
        <v>45316</v>
      </c>
      <c r="J33" s="457">
        <v>45347</v>
      </c>
      <c r="K33" s="457">
        <v>45358</v>
      </c>
      <c r="L33" s="202" t="s">
        <v>3330</v>
      </c>
    </row>
    <row r="34" spans="1:12" s="458" customFormat="1">
      <c r="A34" s="202">
        <v>11</v>
      </c>
      <c r="B34" s="202" t="s">
        <v>3767</v>
      </c>
      <c r="C34" s="473" t="s">
        <v>3768</v>
      </c>
      <c r="D34" s="202" t="s">
        <v>3769</v>
      </c>
      <c r="E34" s="202" t="s">
        <v>3770</v>
      </c>
      <c r="F34" s="202" t="s">
        <v>3181</v>
      </c>
      <c r="G34" s="218">
        <v>0</v>
      </c>
      <c r="H34" s="218">
        <v>1100000</v>
      </c>
      <c r="I34" s="457">
        <v>45334</v>
      </c>
      <c r="J34" s="457">
        <v>45355</v>
      </c>
      <c r="K34" s="457">
        <v>45353</v>
      </c>
      <c r="L34" s="202" t="s">
        <v>3330</v>
      </c>
    </row>
    <row r="35" spans="1:12" s="458" customFormat="1">
      <c r="A35" s="202">
        <v>12</v>
      </c>
      <c r="B35" s="202" t="s">
        <v>3738</v>
      </c>
      <c r="C35" s="473" t="s">
        <v>3771</v>
      </c>
      <c r="D35" s="202" t="s">
        <v>3740</v>
      </c>
      <c r="E35" s="202" t="s">
        <v>3738</v>
      </c>
      <c r="F35" s="202" t="s">
        <v>3772</v>
      </c>
      <c r="G35" s="218">
        <v>0</v>
      </c>
      <c r="H35" s="218">
        <v>4400000</v>
      </c>
      <c r="I35" s="457">
        <v>45334</v>
      </c>
      <c r="J35" s="457">
        <v>45355</v>
      </c>
      <c r="K35" s="457">
        <v>45358</v>
      </c>
      <c r="L35" s="202" t="s">
        <v>3330</v>
      </c>
    </row>
    <row r="36" spans="1:12" s="458" customFormat="1">
      <c r="A36" s="202">
        <v>13</v>
      </c>
      <c r="B36" s="202" t="s">
        <v>3714</v>
      </c>
      <c r="C36" s="473" t="s">
        <v>3773</v>
      </c>
      <c r="D36" s="202" t="s">
        <v>3728</v>
      </c>
      <c r="E36" s="202" t="s">
        <v>3729</v>
      </c>
      <c r="F36" s="202" t="s">
        <v>3034</v>
      </c>
      <c r="G36" s="218">
        <v>0</v>
      </c>
      <c r="H36" s="218">
        <v>2205000</v>
      </c>
      <c r="I36" s="457">
        <v>45348</v>
      </c>
      <c r="J36" s="457">
        <v>45355</v>
      </c>
      <c r="K36" s="457">
        <v>45353</v>
      </c>
      <c r="L36" s="202" t="s">
        <v>3330</v>
      </c>
    </row>
    <row r="37" spans="1:12" s="458" customFormat="1">
      <c r="A37" s="202">
        <v>14</v>
      </c>
      <c r="B37" s="202" t="s">
        <v>3709</v>
      </c>
      <c r="C37" s="473" t="s">
        <v>3774</v>
      </c>
      <c r="D37" s="202" t="s">
        <v>3711</v>
      </c>
      <c r="E37" s="202" t="s">
        <v>3712</v>
      </c>
      <c r="F37" s="202" t="s">
        <v>3034</v>
      </c>
      <c r="G37" s="218">
        <v>0</v>
      </c>
      <c r="H37" s="218">
        <v>2275000</v>
      </c>
      <c r="I37" s="457">
        <v>45341</v>
      </c>
      <c r="J37" s="457">
        <v>45355</v>
      </c>
      <c r="K37" s="457">
        <v>45358</v>
      </c>
      <c r="L37" s="202" t="s">
        <v>3330</v>
      </c>
    </row>
    <row r="38" spans="1:12" s="458" customFormat="1">
      <c r="A38" s="202">
        <v>15</v>
      </c>
      <c r="B38" s="202" t="s">
        <v>3775</v>
      </c>
      <c r="C38" s="473" t="s">
        <v>3776</v>
      </c>
      <c r="D38" s="202" t="s">
        <v>3777</v>
      </c>
      <c r="E38" s="202" t="s">
        <v>3775</v>
      </c>
      <c r="F38" s="202" t="s">
        <v>3009</v>
      </c>
      <c r="G38" s="218">
        <v>0</v>
      </c>
      <c r="H38" s="218">
        <v>24038400</v>
      </c>
      <c r="I38" s="457">
        <v>45313</v>
      </c>
      <c r="J38" s="457">
        <v>45344</v>
      </c>
      <c r="K38" s="457">
        <v>45358</v>
      </c>
      <c r="L38" s="202" t="s">
        <v>3330</v>
      </c>
    </row>
    <row r="39" spans="1:12" s="458" customFormat="1" ht="13.4" customHeight="1">
      <c r="A39" s="202">
        <v>16</v>
      </c>
      <c r="B39" s="202" t="s">
        <v>3775</v>
      </c>
      <c r="C39" s="473" t="s">
        <v>3778</v>
      </c>
      <c r="D39" s="202" t="s">
        <v>3777</v>
      </c>
      <c r="E39" s="202" t="s">
        <v>3775</v>
      </c>
      <c r="F39" s="202" t="s">
        <v>2999</v>
      </c>
      <c r="G39" s="218">
        <v>0</v>
      </c>
      <c r="H39" s="218">
        <v>17619546</v>
      </c>
      <c r="I39" s="457">
        <v>45344</v>
      </c>
      <c r="J39" s="457">
        <v>45344</v>
      </c>
      <c r="K39" s="457">
        <v>45353</v>
      </c>
      <c r="L39" s="202" t="s">
        <v>3330</v>
      </c>
    </row>
    <row r="40" spans="1:12" s="458" customFormat="1" ht="13.4" customHeight="1">
      <c r="A40" s="202">
        <v>17</v>
      </c>
      <c r="B40" s="202" t="s">
        <v>3779</v>
      </c>
      <c r="C40" s="473" t="s">
        <v>3780</v>
      </c>
      <c r="D40" s="202" t="s">
        <v>3781</v>
      </c>
      <c r="E40" s="202" t="s">
        <v>3779</v>
      </c>
      <c r="F40" s="202" t="s">
        <v>3025</v>
      </c>
      <c r="G40" s="218">
        <v>0</v>
      </c>
      <c r="H40" s="218">
        <v>13371420</v>
      </c>
      <c r="I40" s="457">
        <v>45320</v>
      </c>
      <c r="J40" s="457">
        <v>45351</v>
      </c>
      <c r="K40" s="457">
        <v>45353</v>
      </c>
      <c r="L40" s="202" t="s">
        <v>3330</v>
      </c>
    </row>
    <row r="41" spans="1:12" s="458" customFormat="1" ht="13.4" customHeight="1">
      <c r="A41" s="202">
        <v>18</v>
      </c>
      <c r="B41" s="202" t="s">
        <v>3734</v>
      </c>
      <c r="C41" s="473" t="s">
        <v>3763</v>
      </c>
      <c r="D41" s="202" t="s">
        <v>3736</v>
      </c>
      <c r="E41" s="202" t="s">
        <v>3734</v>
      </c>
      <c r="F41" s="202" t="s">
        <v>2899</v>
      </c>
      <c r="G41" s="218">
        <v>0</v>
      </c>
      <c r="H41" s="218">
        <v>5685000</v>
      </c>
      <c r="I41" s="457">
        <v>45322</v>
      </c>
      <c r="J41" s="457">
        <v>45355</v>
      </c>
      <c r="K41" s="457">
        <v>45353</v>
      </c>
      <c r="L41" s="202" t="s">
        <v>3330</v>
      </c>
    </row>
    <row r="42" spans="1:12" s="458" customFormat="1" ht="13.4" customHeight="1">
      <c r="A42" s="202">
        <v>19</v>
      </c>
      <c r="B42" s="202" t="s">
        <v>3734</v>
      </c>
      <c r="C42" s="473" t="s">
        <v>3763</v>
      </c>
      <c r="D42" s="202" t="s">
        <v>3736</v>
      </c>
      <c r="E42" s="202" t="s">
        <v>3734</v>
      </c>
      <c r="F42" s="202" t="s">
        <v>2899</v>
      </c>
      <c r="G42" s="218">
        <v>0</v>
      </c>
      <c r="H42" s="218">
        <v>58178695</v>
      </c>
      <c r="I42" s="457">
        <v>45322</v>
      </c>
      <c r="J42" s="457">
        <v>45355</v>
      </c>
      <c r="K42" s="457">
        <v>45353</v>
      </c>
      <c r="L42" s="202" t="s">
        <v>3330</v>
      </c>
    </row>
    <row r="43" spans="1:12" s="458" customFormat="1" ht="13.4" customHeight="1">
      <c r="A43" s="202">
        <v>20</v>
      </c>
      <c r="B43" s="202" t="s">
        <v>3782</v>
      </c>
      <c r="C43" s="473" t="s">
        <v>3783</v>
      </c>
      <c r="D43" s="202" t="s">
        <v>3784</v>
      </c>
      <c r="E43" s="202" t="s">
        <v>3782</v>
      </c>
      <c r="F43" s="202" t="s">
        <v>3132</v>
      </c>
      <c r="G43" s="218">
        <v>0</v>
      </c>
      <c r="H43" s="218">
        <v>2109000</v>
      </c>
      <c r="I43" s="457">
        <v>45345</v>
      </c>
      <c r="J43" s="457">
        <v>45364</v>
      </c>
      <c r="K43" s="457">
        <v>45365</v>
      </c>
      <c r="L43" s="202" t="s">
        <v>3330</v>
      </c>
    </row>
    <row r="44" spans="1:12" s="458" customFormat="1" ht="13.4" customHeight="1">
      <c r="A44" s="202">
        <v>21</v>
      </c>
      <c r="B44" s="202" t="s">
        <v>3782</v>
      </c>
      <c r="C44" s="473" t="s">
        <v>3785</v>
      </c>
      <c r="D44" s="202" t="s">
        <v>3784</v>
      </c>
      <c r="E44" s="202" t="s">
        <v>3782</v>
      </c>
      <c r="F44" s="202" t="s">
        <v>3132</v>
      </c>
      <c r="G44" s="218">
        <v>0</v>
      </c>
      <c r="H44" s="218">
        <v>2800000</v>
      </c>
      <c r="I44" s="457">
        <v>45345</v>
      </c>
      <c r="J44" s="457">
        <v>45364</v>
      </c>
      <c r="K44" s="457">
        <v>45365</v>
      </c>
      <c r="L44" s="202" t="s">
        <v>3330</v>
      </c>
    </row>
    <row r="45" spans="1:12" s="458" customFormat="1" ht="13.4" customHeight="1">
      <c r="A45" s="202">
        <v>22</v>
      </c>
      <c r="B45" s="202" t="s">
        <v>3786</v>
      </c>
      <c r="C45" s="473" t="s">
        <v>3787</v>
      </c>
      <c r="D45" s="202" t="s">
        <v>3788</v>
      </c>
      <c r="E45" s="202" t="s">
        <v>3786</v>
      </c>
      <c r="F45" s="202" t="s">
        <v>3125</v>
      </c>
      <c r="G45" s="218">
        <v>0</v>
      </c>
      <c r="H45" s="218">
        <v>2454500</v>
      </c>
      <c r="I45" s="457">
        <v>45345</v>
      </c>
      <c r="J45" s="457">
        <v>45364</v>
      </c>
      <c r="K45" s="457">
        <v>45365</v>
      </c>
      <c r="L45" s="202" t="s">
        <v>3330</v>
      </c>
    </row>
    <row r="46" spans="1:12" s="458" customFormat="1" ht="13.4" customHeight="1">
      <c r="A46" s="202">
        <v>23</v>
      </c>
      <c r="B46" s="202" t="s">
        <v>3734</v>
      </c>
      <c r="C46" s="473" t="s">
        <v>3763</v>
      </c>
      <c r="D46" s="202" t="s">
        <v>3736</v>
      </c>
      <c r="E46" s="202" t="s">
        <v>3734</v>
      </c>
      <c r="F46" s="202" t="s">
        <v>2914</v>
      </c>
      <c r="G46" s="218">
        <v>0</v>
      </c>
      <c r="H46" s="218">
        <v>27374348</v>
      </c>
      <c r="I46" s="457">
        <v>45322</v>
      </c>
      <c r="J46" s="457">
        <v>45352</v>
      </c>
      <c r="K46" s="457">
        <v>45387</v>
      </c>
      <c r="L46" s="202" t="s">
        <v>3330</v>
      </c>
    </row>
    <row r="47" spans="1:12" s="458" customFormat="1" ht="13.4" customHeight="1">
      <c r="A47" s="202">
        <v>24</v>
      </c>
      <c r="B47" s="202" t="s">
        <v>3734</v>
      </c>
      <c r="C47" s="473" t="s">
        <v>3789</v>
      </c>
      <c r="D47" s="202" t="s">
        <v>3736</v>
      </c>
      <c r="E47" s="202" t="s">
        <v>3734</v>
      </c>
      <c r="F47" s="202" t="s">
        <v>2914</v>
      </c>
      <c r="G47" s="218">
        <v>0</v>
      </c>
      <c r="H47" s="218">
        <v>3015000</v>
      </c>
      <c r="I47" s="457">
        <v>45322</v>
      </c>
      <c r="J47" s="457">
        <v>45352</v>
      </c>
      <c r="K47" s="457">
        <v>45387</v>
      </c>
      <c r="L47" s="202" t="s">
        <v>3330</v>
      </c>
    </row>
    <row r="48" spans="1:12" s="458" customFormat="1">
      <c r="A48" s="202">
        <v>25</v>
      </c>
      <c r="B48" s="202" t="s">
        <v>3790</v>
      </c>
      <c r="C48" s="473" t="s">
        <v>3791</v>
      </c>
      <c r="D48" s="202" t="s">
        <v>3792</v>
      </c>
      <c r="E48" s="202" t="s">
        <v>3790</v>
      </c>
      <c r="F48" s="202" t="s">
        <v>2889</v>
      </c>
      <c r="G48" s="218">
        <v>0</v>
      </c>
      <c r="H48" s="218">
        <v>9955087</v>
      </c>
      <c r="I48" s="457">
        <v>45306</v>
      </c>
      <c r="J48" s="457">
        <v>45337</v>
      </c>
      <c r="K48" s="457">
        <v>45353</v>
      </c>
      <c r="L48" s="202" t="s">
        <v>3330</v>
      </c>
    </row>
    <row r="49" spans="1:12" s="458" customFormat="1">
      <c r="A49" s="202">
        <v>26</v>
      </c>
      <c r="B49" s="202" t="s">
        <v>3734</v>
      </c>
      <c r="C49" s="473" t="s">
        <v>3748</v>
      </c>
      <c r="D49" s="202" t="s">
        <v>3736</v>
      </c>
      <c r="E49" s="202" t="s">
        <v>3734</v>
      </c>
      <c r="F49" s="202" t="s">
        <v>2844</v>
      </c>
      <c r="G49" s="218">
        <v>0</v>
      </c>
      <c r="H49" s="218">
        <v>38700634</v>
      </c>
      <c r="I49" s="457">
        <v>45275</v>
      </c>
      <c r="J49" s="457">
        <v>45308</v>
      </c>
      <c r="K49" s="457">
        <v>45365</v>
      </c>
      <c r="L49" s="202" t="s">
        <v>3330</v>
      </c>
    </row>
    <row r="50" spans="1:12" s="458" customFormat="1">
      <c r="A50" s="202">
        <v>27</v>
      </c>
      <c r="B50" s="202" t="s">
        <v>3734</v>
      </c>
      <c r="C50" s="473" t="s">
        <v>3748</v>
      </c>
      <c r="D50" s="202" t="s">
        <v>3736</v>
      </c>
      <c r="E50" s="202" t="s">
        <v>3734</v>
      </c>
      <c r="F50" s="202" t="s">
        <v>2820</v>
      </c>
      <c r="G50" s="218">
        <v>0</v>
      </c>
      <c r="H50" s="218">
        <v>36507496</v>
      </c>
      <c r="I50" s="457">
        <v>45275</v>
      </c>
      <c r="J50" s="457">
        <v>45308</v>
      </c>
      <c r="K50" s="457">
        <v>45387</v>
      </c>
      <c r="L50" s="202" t="s">
        <v>3330</v>
      </c>
    </row>
    <row r="51" spans="1:12" s="458" customFormat="1">
      <c r="A51" s="202">
        <v>28</v>
      </c>
      <c r="B51" s="202" t="s">
        <v>3793</v>
      </c>
      <c r="C51" s="473" t="s">
        <v>3794</v>
      </c>
      <c r="D51" s="202" t="s">
        <v>3795</v>
      </c>
      <c r="E51" s="202" t="s">
        <v>3793</v>
      </c>
      <c r="F51" s="202" t="s">
        <v>2949</v>
      </c>
      <c r="G51" s="218">
        <v>0</v>
      </c>
      <c r="H51" s="218">
        <v>17629545</v>
      </c>
      <c r="I51" s="457">
        <v>45299</v>
      </c>
      <c r="J51" s="457">
        <v>45330</v>
      </c>
      <c r="K51" s="457">
        <v>45353</v>
      </c>
      <c r="L51" s="202" t="s">
        <v>3330</v>
      </c>
    </row>
    <row r="52" spans="1:12" s="460" customFormat="1" ht="13.4" customHeight="1">
      <c r="A52" s="474"/>
      <c r="B52" s="474"/>
      <c r="C52" s="475"/>
      <c r="D52" s="474"/>
      <c r="E52" s="474"/>
      <c r="F52" s="474"/>
      <c r="G52" s="462"/>
      <c r="H52" s="463">
        <f>SUM(H32:H51)</f>
        <v>282833171</v>
      </c>
      <c r="I52" s="476"/>
      <c r="J52" s="476"/>
      <c r="K52" s="476"/>
      <c r="L52" s="474"/>
    </row>
    <row r="53" spans="1:12" ht="17.5">
      <c r="A53" s="455" t="s">
        <v>3796</v>
      </c>
      <c r="B53" s="455"/>
      <c r="C53" s="472"/>
      <c r="D53" s="455"/>
      <c r="E53" s="455"/>
      <c r="F53" s="455"/>
      <c r="G53" s="455"/>
      <c r="H53" s="455"/>
      <c r="I53" s="456"/>
      <c r="J53" s="456"/>
      <c r="K53" s="456"/>
      <c r="L53" s="455"/>
    </row>
    <row r="54" spans="1:12" s="458" customFormat="1">
      <c r="A54" s="202">
        <v>1</v>
      </c>
      <c r="B54" s="202" t="s">
        <v>3750</v>
      </c>
      <c r="C54" s="473" t="s">
        <v>3797</v>
      </c>
      <c r="D54" s="202" t="s">
        <v>3752</v>
      </c>
      <c r="E54" s="202" t="s">
        <v>3753</v>
      </c>
      <c r="F54" s="202" t="s">
        <v>3162</v>
      </c>
      <c r="G54" s="218">
        <v>0</v>
      </c>
      <c r="H54" s="218">
        <v>1750000</v>
      </c>
      <c r="I54" s="457">
        <v>45356</v>
      </c>
      <c r="J54" s="457">
        <v>45370</v>
      </c>
      <c r="K54" s="457">
        <v>45365</v>
      </c>
      <c r="L54" s="202" t="s">
        <v>3330</v>
      </c>
    </row>
    <row r="55" spans="1:12" s="458" customFormat="1">
      <c r="A55" s="202">
        <v>2</v>
      </c>
      <c r="B55" s="202" t="s">
        <v>3775</v>
      </c>
      <c r="C55" s="473" t="s">
        <v>3798</v>
      </c>
      <c r="D55" s="202" t="s">
        <v>3777</v>
      </c>
      <c r="E55" s="202" t="s">
        <v>3775</v>
      </c>
      <c r="F55" s="202" t="s">
        <v>3099</v>
      </c>
      <c r="G55" s="218">
        <v>0</v>
      </c>
      <c r="H55" s="218">
        <v>2811100</v>
      </c>
      <c r="I55" s="457">
        <v>45356</v>
      </c>
      <c r="J55" s="457">
        <v>45387</v>
      </c>
      <c r="K55" s="457">
        <v>45387</v>
      </c>
      <c r="L55" s="202" t="s">
        <v>3330</v>
      </c>
    </row>
    <row r="56" spans="1:12" s="458" customFormat="1">
      <c r="A56" s="202">
        <v>3</v>
      </c>
      <c r="B56" s="202" t="s">
        <v>3775</v>
      </c>
      <c r="C56" s="473" t="s">
        <v>3799</v>
      </c>
      <c r="D56" s="202" t="s">
        <v>3777</v>
      </c>
      <c r="E56" s="202" t="s">
        <v>3775</v>
      </c>
      <c r="F56" s="202" t="s">
        <v>3106</v>
      </c>
      <c r="G56" s="218">
        <v>0</v>
      </c>
      <c r="H56" s="218">
        <v>12157200</v>
      </c>
      <c r="I56" s="457">
        <v>45356</v>
      </c>
      <c r="J56" s="457">
        <v>45387</v>
      </c>
      <c r="K56" s="457">
        <v>45387</v>
      </c>
      <c r="L56" s="202" t="s">
        <v>3330</v>
      </c>
    </row>
    <row r="57" spans="1:12" s="458" customFormat="1">
      <c r="A57" s="202">
        <v>4</v>
      </c>
      <c r="B57" s="202" t="s">
        <v>3775</v>
      </c>
      <c r="C57" s="473" t="s">
        <v>3798</v>
      </c>
      <c r="D57" s="202" t="s">
        <v>3777</v>
      </c>
      <c r="E57" s="202" t="s">
        <v>3775</v>
      </c>
      <c r="F57" s="202" t="s">
        <v>3080</v>
      </c>
      <c r="G57" s="218">
        <v>0</v>
      </c>
      <c r="H57" s="218">
        <v>16384750</v>
      </c>
      <c r="I57" s="457">
        <v>45356</v>
      </c>
      <c r="J57" s="457">
        <v>45387</v>
      </c>
      <c r="K57" s="457">
        <v>45387</v>
      </c>
      <c r="L57" s="202" t="s">
        <v>3330</v>
      </c>
    </row>
    <row r="58" spans="1:12" s="458" customFormat="1">
      <c r="A58" s="202">
        <v>5</v>
      </c>
      <c r="B58" s="202" t="s">
        <v>3775</v>
      </c>
      <c r="C58" s="473" t="s">
        <v>3798</v>
      </c>
      <c r="D58" s="202" t="s">
        <v>3777</v>
      </c>
      <c r="E58" s="202" t="s">
        <v>3775</v>
      </c>
      <c r="F58" s="202" t="s">
        <v>3094</v>
      </c>
      <c r="G58" s="218">
        <v>0</v>
      </c>
      <c r="H58" s="218">
        <v>2762750</v>
      </c>
      <c r="I58" s="457">
        <v>45356</v>
      </c>
      <c r="J58" s="457">
        <v>45387</v>
      </c>
      <c r="K58" s="457">
        <v>45387</v>
      </c>
      <c r="L58" s="202" t="s">
        <v>3330</v>
      </c>
    </row>
    <row r="59" spans="1:12" s="458" customFormat="1">
      <c r="A59" s="202">
        <v>6</v>
      </c>
      <c r="B59" s="202" t="s">
        <v>3775</v>
      </c>
      <c r="C59" s="473" t="s">
        <v>3763</v>
      </c>
      <c r="D59" s="202" t="s">
        <v>3777</v>
      </c>
      <c r="E59" s="202" t="s">
        <v>3775</v>
      </c>
      <c r="F59" s="202" t="s">
        <v>3137</v>
      </c>
      <c r="G59" s="218">
        <v>0</v>
      </c>
      <c r="H59" s="218">
        <v>4098700</v>
      </c>
      <c r="I59" s="457">
        <v>45359</v>
      </c>
      <c r="J59" s="457">
        <v>45390</v>
      </c>
      <c r="K59" s="457">
        <v>45387</v>
      </c>
      <c r="L59" s="202" t="s">
        <v>3330</v>
      </c>
    </row>
    <row r="60" spans="1:12" s="458" customFormat="1">
      <c r="A60" s="202">
        <v>7</v>
      </c>
      <c r="B60" s="202" t="s">
        <v>3719</v>
      </c>
      <c r="C60" s="473" t="s">
        <v>3800</v>
      </c>
      <c r="D60" s="202" t="s">
        <v>3721</v>
      </c>
      <c r="E60" s="202" t="s">
        <v>3719</v>
      </c>
      <c r="F60" s="202" t="s">
        <v>3034</v>
      </c>
      <c r="G60" s="218">
        <v>0</v>
      </c>
      <c r="H60" s="218">
        <v>1045500</v>
      </c>
      <c r="I60" s="457">
        <v>45381</v>
      </c>
      <c r="J60" s="457">
        <v>45382</v>
      </c>
      <c r="K60" s="457">
        <v>45387</v>
      </c>
      <c r="L60" s="202" t="s">
        <v>3330</v>
      </c>
    </row>
    <row r="61" spans="1:12" s="458" customFormat="1">
      <c r="A61" s="202">
        <v>8</v>
      </c>
      <c r="B61" s="202" t="s">
        <v>3801</v>
      </c>
      <c r="C61" s="473" t="s">
        <v>3800</v>
      </c>
      <c r="D61" s="202" t="s">
        <v>3802</v>
      </c>
      <c r="E61" s="202" t="s">
        <v>3801</v>
      </c>
      <c r="F61" s="202" t="s">
        <v>3034</v>
      </c>
      <c r="G61" s="218">
        <v>0</v>
      </c>
      <c r="H61" s="218">
        <v>10750000</v>
      </c>
      <c r="I61" s="457">
        <v>45381</v>
      </c>
      <c r="J61" s="457">
        <v>45382</v>
      </c>
      <c r="K61" s="457">
        <v>45387</v>
      </c>
      <c r="L61" s="202" t="s">
        <v>3330</v>
      </c>
    </row>
    <row r="62" spans="1:12" s="458" customFormat="1">
      <c r="A62" s="202">
        <v>9</v>
      </c>
      <c r="B62" s="202" t="s">
        <v>3714</v>
      </c>
      <c r="C62" s="473" t="s">
        <v>3768</v>
      </c>
      <c r="D62" s="202" t="s">
        <v>3728</v>
      </c>
      <c r="E62" s="202" t="s">
        <v>3729</v>
      </c>
      <c r="F62" s="202" t="s">
        <v>3196</v>
      </c>
      <c r="G62" s="218">
        <v>0</v>
      </c>
      <c r="H62" s="218">
        <v>2100000</v>
      </c>
      <c r="I62" s="457">
        <v>45359</v>
      </c>
      <c r="J62" s="457">
        <v>45373</v>
      </c>
      <c r="K62" s="457">
        <v>45387</v>
      </c>
      <c r="L62" s="202" t="s">
        <v>3330</v>
      </c>
    </row>
    <row r="63" spans="1:12" s="458" customFormat="1">
      <c r="A63" s="202">
        <v>10</v>
      </c>
      <c r="B63" s="202" t="s">
        <v>3714</v>
      </c>
      <c r="C63" s="473" t="s">
        <v>3768</v>
      </c>
      <c r="D63" s="202" t="s">
        <v>3728</v>
      </c>
      <c r="E63" s="202" t="s">
        <v>3729</v>
      </c>
      <c r="F63" s="202" t="s">
        <v>3609</v>
      </c>
      <c r="G63" s="218">
        <v>0</v>
      </c>
      <c r="H63" s="218">
        <v>2100000</v>
      </c>
      <c r="I63" s="457">
        <v>45376</v>
      </c>
      <c r="J63" s="457">
        <v>45390</v>
      </c>
      <c r="K63" s="457"/>
      <c r="L63" s="202"/>
    </row>
    <row r="64" spans="1:12" s="458" customFormat="1" ht="13.4" customHeight="1">
      <c r="A64" s="202">
        <v>11</v>
      </c>
      <c r="B64" s="202" t="s">
        <v>3734</v>
      </c>
      <c r="C64" s="473" t="s">
        <v>3803</v>
      </c>
      <c r="D64" s="202" t="s">
        <v>3736</v>
      </c>
      <c r="E64" s="202" t="s">
        <v>3734</v>
      </c>
      <c r="F64" s="202" t="s">
        <v>3088</v>
      </c>
      <c r="G64" s="218">
        <v>0</v>
      </c>
      <c r="H64" s="218">
        <v>10287023</v>
      </c>
      <c r="I64" s="457">
        <v>45383</v>
      </c>
      <c r="J64" s="457">
        <v>45413</v>
      </c>
      <c r="K64" s="457">
        <v>45436</v>
      </c>
      <c r="L64" s="202" t="s">
        <v>3330</v>
      </c>
    </row>
    <row r="65" spans="1:12" s="458" customFormat="1">
      <c r="A65" s="202">
        <v>12</v>
      </c>
      <c r="B65" s="202" t="s">
        <v>3775</v>
      </c>
      <c r="C65" s="473" t="s">
        <v>3798</v>
      </c>
      <c r="D65" s="202" t="s">
        <v>3777</v>
      </c>
      <c r="E65" s="202" t="s">
        <v>3775</v>
      </c>
      <c r="F65" s="202" t="s">
        <v>3141</v>
      </c>
      <c r="G65" s="218">
        <v>0</v>
      </c>
      <c r="H65" s="218">
        <v>20802750</v>
      </c>
      <c r="I65" s="457">
        <v>45383</v>
      </c>
      <c r="J65" s="457">
        <v>45413</v>
      </c>
      <c r="K65" s="457">
        <v>45436</v>
      </c>
      <c r="L65" s="202" t="s">
        <v>3330</v>
      </c>
    </row>
    <row r="66" spans="1:12" s="458" customFormat="1">
      <c r="A66" s="202">
        <v>13</v>
      </c>
      <c r="B66" s="202" t="s">
        <v>3804</v>
      </c>
      <c r="C66" s="473" t="s">
        <v>3805</v>
      </c>
      <c r="D66" s="202" t="s">
        <v>3806</v>
      </c>
      <c r="E66" s="202" t="s">
        <v>3804</v>
      </c>
      <c r="F66" s="202" t="s">
        <v>3619</v>
      </c>
      <c r="G66" s="218">
        <v>0</v>
      </c>
      <c r="H66" s="218">
        <v>20450000</v>
      </c>
      <c r="I66" s="457">
        <v>45383</v>
      </c>
      <c r="J66" s="457">
        <v>45389</v>
      </c>
      <c r="K66" s="457">
        <v>45387</v>
      </c>
      <c r="L66" s="202" t="s">
        <v>3330</v>
      </c>
    </row>
    <row r="67" spans="1:12" s="458" customFormat="1">
      <c r="A67" s="202">
        <v>10</v>
      </c>
      <c r="B67" s="202" t="s">
        <v>3714</v>
      </c>
      <c r="C67" s="473" t="s">
        <v>3807</v>
      </c>
      <c r="D67" s="202" t="s">
        <v>3728</v>
      </c>
      <c r="E67" s="202" t="s">
        <v>3729</v>
      </c>
      <c r="F67" s="202" t="s">
        <v>3612</v>
      </c>
      <c r="G67" s="218">
        <v>0</v>
      </c>
      <c r="H67" s="218">
        <v>1750000</v>
      </c>
      <c r="I67" s="457">
        <v>45384</v>
      </c>
      <c r="J67" s="457">
        <v>45398</v>
      </c>
      <c r="K67" s="457">
        <v>45387</v>
      </c>
      <c r="L67" s="202" t="s">
        <v>3330</v>
      </c>
    </row>
    <row r="68" spans="1:12" ht="17.5">
      <c r="A68" s="455" t="s">
        <v>3622</v>
      </c>
      <c r="B68" s="455"/>
      <c r="C68" s="472"/>
      <c r="D68" s="455"/>
      <c r="E68" s="455"/>
      <c r="F68" s="455"/>
      <c r="G68" s="455"/>
      <c r="H68" s="455"/>
      <c r="I68" s="456"/>
      <c r="J68" s="456"/>
      <c r="K68" s="456"/>
      <c r="L68" s="455"/>
    </row>
    <row r="69" spans="1:12" s="458" customFormat="1" ht="28">
      <c r="A69" s="202">
        <v>1</v>
      </c>
      <c r="B69" s="202" t="s">
        <v>3808</v>
      </c>
      <c r="C69" s="473" t="s">
        <v>3809</v>
      </c>
      <c r="D69" s="202" t="s">
        <v>3810</v>
      </c>
      <c r="E69" s="202" t="s">
        <v>3811</v>
      </c>
      <c r="F69" s="202" t="s">
        <v>3627</v>
      </c>
      <c r="G69" s="218">
        <v>0</v>
      </c>
      <c r="H69" s="218">
        <v>1600000</v>
      </c>
      <c r="I69" s="457">
        <v>45403</v>
      </c>
      <c r="J69" s="457">
        <v>45413</v>
      </c>
      <c r="K69" s="457">
        <v>45415</v>
      </c>
      <c r="L69" s="202" t="s">
        <v>3330</v>
      </c>
    </row>
    <row r="70" spans="1:12" s="458" customFormat="1">
      <c r="A70" s="202">
        <v>2</v>
      </c>
      <c r="B70" s="202" t="s">
        <v>3714</v>
      </c>
      <c r="C70" s="473" t="s">
        <v>3812</v>
      </c>
      <c r="D70" s="202" t="s">
        <v>3728</v>
      </c>
      <c r="E70" s="202" t="s">
        <v>3729</v>
      </c>
      <c r="F70" s="202" t="s">
        <v>3623</v>
      </c>
      <c r="G70" s="218">
        <v>0</v>
      </c>
      <c r="H70" s="218">
        <v>1900000</v>
      </c>
      <c r="I70" s="457">
        <v>45403</v>
      </c>
      <c r="J70" s="457">
        <v>45413</v>
      </c>
      <c r="K70" s="457">
        <v>45415</v>
      </c>
      <c r="L70" s="202" t="s">
        <v>3330</v>
      </c>
    </row>
    <row r="71" spans="1:12" s="458" customFormat="1">
      <c r="A71" s="202">
        <v>3</v>
      </c>
      <c r="B71" s="202" t="s">
        <v>3813</v>
      </c>
      <c r="C71" s="473" t="s">
        <v>3814</v>
      </c>
      <c r="D71" s="202" t="s">
        <v>3815</v>
      </c>
      <c r="E71" s="202" t="s">
        <v>3816</v>
      </c>
      <c r="F71" s="202" t="s">
        <v>3623</v>
      </c>
      <c r="G71" s="218">
        <v>0</v>
      </c>
      <c r="H71" s="218">
        <v>1400000</v>
      </c>
      <c r="I71" s="457">
        <v>45403</v>
      </c>
      <c r="J71" s="457">
        <v>45413</v>
      </c>
      <c r="K71" s="457">
        <v>45415</v>
      </c>
      <c r="L71" s="202" t="s">
        <v>3330</v>
      </c>
    </row>
    <row r="72" spans="1:12" s="458" customFormat="1">
      <c r="A72" s="202">
        <v>4</v>
      </c>
      <c r="B72" s="202" t="s">
        <v>3804</v>
      </c>
      <c r="C72" s="473" t="s">
        <v>3805</v>
      </c>
      <c r="D72" s="202" t="s">
        <v>3806</v>
      </c>
      <c r="E72" s="202" t="s">
        <v>3804</v>
      </c>
      <c r="F72" s="202" t="s">
        <v>3640</v>
      </c>
      <c r="G72" s="218">
        <v>0</v>
      </c>
      <c r="H72" s="218">
        <v>11500000</v>
      </c>
      <c r="I72" s="457">
        <v>45403</v>
      </c>
      <c r="J72" s="457">
        <v>45414</v>
      </c>
      <c r="K72" s="457">
        <v>45415</v>
      </c>
      <c r="L72" s="202" t="s">
        <v>3330</v>
      </c>
    </row>
    <row r="73" spans="1:12" s="458" customFormat="1" ht="17.5">
      <c r="A73" s="455" t="s">
        <v>3817</v>
      </c>
      <c r="B73" s="455"/>
      <c r="C73" s="472"/>
      <c r="D73" s="455"/>
      <c r="E73" s="455"/>
      <c r="F73" s="455"/>
      <c r="G73" s="455"/>
      <c r="H73" s="455"/>
      <c r="I73" s="456"/>
      <c r="J73" s="456"/>
      <c r="K73" s="456"/>
      <c r="L73" s="455"/>
    </row>
    <row r="74" spans="1:12" s="458" customFormat="1">
      <c r="A74" s="202"/>
      <c r="B74" s="202" t="s">
        <v>3779</v>
      </c>
      <c r="C74" s="473" t="s">
        <v>3818</v>
      </c>
      <c r="D74" s="202" t="s">
        <v>3781</v>
      </c>
      <c r="E74" s="202" t="s">
        <v>3779</v>
      </c>
      <c r="F74" s="202" t="s">
        <v>3627</v>
      </c>
      <c r="G74" s="218">
        <v>0</v>
      </c>
      <c r="H74" s="218">
        <v>1330110</v>
      </c>
      <c r="I74" s="457">
        <v>45421</v>
      </c>
      <c r="J74" s="457">
        <v>45428</v>
      </c>
      <c r="K74" s="457">
        <v>45436</v>
      </c>
      <c r="L74" s="202" t="s">
        <v>3330</v>
      </c>
    </row>
    <row r="75" spans="1:12" s="458" customFormat="1">
      <c r="A75" s="202"/>
      <c r="B75" s="202" t="s">
        <v>3738</v>
      </c>
      <c r="C75" s="473" t="s">
        <v>3819</v>
      </c>
      <c r="D75" s="202" t="s">
        <v>3740</v>
      </c>
      <c r="E75" s="202" t="s">
        <v>3738</v>
      </c>
      <c r="F75" s="202" t="s">
        <v>3644</v>
      </c>
      <c r="G75" s="218">
        <v>0</v>
      </c>
      <c r="H75" s="218">
        <v>675990</v>
      </c>
      <c r="I75" s="457">
        <v>45424</v>
      </c>
      <c r="J75" s="457">
        <v>45438</v>
      </c>
      <c r="K75" s="457">
        <v>45436</v>
      </c>
      <c r="L75" s="202" t="s">
        <v>3330</v>
      </c>
    </row>
    <row r="76" spans="1:12" s="458" customFormat="1">
      <c r="A76" s="202"/>
      <c r="B76" s="202" t="s">
        <v>3738</v>
      </c>
      <c r="C76" s="473" t="s">
        <v>3820</v>
      </c>
      <c r="D76" s="202" t="s">
        <v>3740</v>
      </c>
      <c r="E76" s="202" t="s">
        <v>3738</v>
      </c>
      <c r="F76" s="202" t="s">
        <v>3644</v>
      </c>
      <c r="G76" s="218">
        <v>0</v>
      </c>
      <c r="H76" s="218">
        <v>1100000</v>
      </c>
      <c r="I76" s="457">
        <v>45424</v>
      </c>
      <c r="J76" s="457">
        <v>45438</v>
      </c>
      <c r="K76" s="457">
        <v>45436</v>
      </c>
      <c r="L76" s="202" t="s">
        <v>3330</v>
      </c>
    </row>
    <row r="77" spans="1:12" s="458" customFormat="1">
      <c r="A77" s="202"/>
      <c r="B77" s="202" t="s">
        <v>3738</v>
      </c>
      <c r="C77" s="473" t="s">
        <v>3821</v>
      </c>
      <c r="D77" s="202" t="s">
        <v>3740</v>
      </c>
      <c r="E77" s="202" t="s">
        <v>3738</v>
      </c>
      <c r="F77" s="202" t="s">
        <v>3664</v>
      </c>
      <c r="G77" s="218">
        <v>0</v>
      </c>
      <c r="H77" s="218">
        <v>3400000</v>
      </c>
      <c r="I77" s="457">
        <v>45424</v>
      </c>
      <c r="J77" s="457">
        <v>45438</v>
      </c>
      <c r="K77" s="457">
        <v>45436</v>
      </c>
      <c r="L77" s="202" t="s">
        <v>3330</v>
      </c>
    </row>
    <row r="78" spans="1:12" s="458" customFormat="1">
      <c r="A78" s="202"/>
      <c r="B78" s="202" t="s">
        <v>3738</v>
      </c>
      <c r="C78" s="473" t="s">
        <v>3822</v>
      </c>
      <c r="D78" s="202" t="s">
        <v>3740</v>
      </c>
      <c r="E78" s="202" t="s">
        <v>3738</v>
      </c>
      <c r="F78" s="202" t="s">
        <v>3664</v>
      </c>
      <c r="G78" s="218">
        <v>0</v>
      </c>
      <c r="H78" s="218">
        <v>50000</v>
      </c>
      <c r="I78" s="457">
        <v>45424</v>
      </c>
      <c r="J78" s="457">
        <v>45438</v>
      </c>
      <c r="K78" s="457">
        <v>45436</v>
      </c>
      <c r="L78" s="202" t="s">
        <v>3330</v>
      </c>
    </row>
    <row r="79" spans="1:12" s="458" customFormat="1">
      <c r="A79" s="202"/>
      <c r="B79" s="202" t="s">
        <v>3738</v>
      </c>
      <c r="C79" s="473" t="s">
        <v>3823</v>
      </c>
      <c r="D79" s="202" t="s">
        <v>3740</v>
      </c>
      <c r="E79" s="202" t="s">
        <v>3738</v>
      </c>
      <c r="F79" s="202" t="s">
        <v>3644</v>
      </c>
      <c r="G79" s="218">
        <v>0</v>
      </c>
      <c r="H79" s="218">
        <v>3885000</v>
      </c>
      <c r="I79" s="457">
        <v>45424</v>
      </c>
      <c r="J79" s="457">
        <v>45438</v>
      </c>
      <c r="K79" s="457">
        <v>45436</v>
      </c>
      <c r="L79" s="202" t="s">
        <v>3330</v>
      </c>
    </row>
    <row r="80" spans="1:12" s="458" customFormat="1">
      <c r="A80" s="202"/>
      <c r="B80" s="202" t="s">
        <v>3738</v>
      </c>
      <c r="C80" s="473" t="s">
        <v>3824</v>
      </c>
      <c r="D80" s="202" t="s">
        <v>3740</v>
      </c>
      <c r="E80" s="202" t="s">
        <v>3738</v>
      </c>
      <c r="F80" s="202" t="s">
        <v>3644</v>
      </c>
      <c r="G80" s="218">
        <v>0</v>
      </c>
      <c r="H80" s="218">
        <v>300000</v>
      </c>
      <c r="I80" s="457">
        <v>45424</v>
      </c>
      <c r="J80" s="457">
        <v>45438</v>
      </c>
      <c r="K80" s="457">
        <v>45436</v>
      </c>
      <c r="L80" s="202" t="s">
        <v>3330</v>
      </c>
    </row>
    <row r="81" spans="1:12" s="458" customFormat="1">
      <c r="A81" s="202"/>
      <c r="B81" s="202" t="s">
        <v>3825</v>
      </c>
      <c r="C81" s="473" t="s">
        <v>3826</v>
      </c>
      <c r="D81" s="202" t="s">
        <v>3827</v>
      </c>
      <c r="E81" s="202" t="s">
        <v>3825</v>
      </c>
      <c r="F81" s="202" t="s">
        <v>3659</v>
      </c>
      <c r="G81" s="218">
        <v>0</v>
      </c>
      <c r="H81" s="218">
        <v>2500000</v>
      </c>
      <c r="I81" s="457">
        <v>45434</v>
      </c>
      <c r="J81" s="457">
        <v>45436</v>
      </c>
      <c r="K81" s="457">
        <v>45436</v>
      </c>
      <c r="L81" s="202" t="s">
        <v>3330</v>
      </c>
    </row>
    <row r="82" spans="1:12" ht="17.5">
      <c r="A82" s="455" t="s">
        <v>3828</v>
      </c>
      <c r="B82" s="455"/>
      <c r="C82" s="472"/>
      <c r="D82" s="455"/>
      <c r="E82" s="455"/>
      <c r="F82" s="455"/>
      <c r="G82" s="455"/>
      <c r="H82" s="455"/>
      <c r="I82" s="456"/>
      <c r="J82" s="456"/>
      <c r="K82" s="456"/>
      <c r="L82" s="455"/>
    </row>
    <row r="83" spans="1:12" s="458" customFormat="1">
      <c r="A83" s="202"/>
      <c r="B83" s="202" t="s">
        <v>3767</v>
      </c>
      <c r="C83" s="473" t="s">
        <v>3829</v>
      </c>
      <c r="D83" s="202" t="s">
        <v>3769</v>
      </c>
      <c r="E83" s="202" t="s">
        <v>3830</v>
      </c>
      <c r="F83" s="202" t="s">
        <v>3671</v>
      </c>
      <c r="G83" s="218">
        <v>0</v>
      </c>
      <c r="H83" s="218">
        <v>1800000</v>
      </c>
      <c r="I83" s="457">
        <v>45467</v>
      </c>
      <c r="J83" s="457">
        <v>45470</v>
      </c>
      <c r="K83" s="457">
        <v>45483</v>
      </c>
      <c r="L83" s="202" t="s">
        <v>3330</v>
      </c>
    </row>
    <row r="84" spans="1:12" s="458" customFormat="1">
      <c r="A84" s="202"/>
      <c r="B84" s="202" t="s">
        <v>3831</v>
      </c>
      <c r="C84" s="473" t="s">
        <v>3832</v>
      </c>
      <c r="D84" s="202" t="s">
        <v>3833</v>
      </c>
      <c r="E84" s="202" t="s">
        <v>3831</v>
      </c>
      <c r="F84" s="202" t="s">
        <v>3655</v>
      </c>
      <c r="G84" s="218">
        <v>0</v>
      </c>
      <c r="H84" s="218">
        <v>891497</v>
      </c>
      <c r="I84" s="457">
        <v>45457</v>
      </c>
      <c r="J84" s="457">
        <v>45471</v>
      </c>
      <c r="K84" s="457">
        <v>45483</v>
      </c>
      <c r="L84" s="202" t="s">
        <v>3330</v>
      </c>
    </row>
    <row r="85" spans="1:12" s="458" customFormat="1">
      <c r="A85" s="202"/>
      <c r="B85" s="202" t="s">
        <v>3723</v>
      </c>
      <c r="C85" s="473" t="s">
        <v>3834</v>
      </c>
      <c r="D85" s="202" t="s">
        <v>3725</v>
      </c>
      <c r="E85" s="202" t="s">
        <v>3726</v>
      </c>
      <c r="F85" s="202" t="s">
        <v>3688</v>
      </c>
      <c r="G85" s="218">
        <v>0</v>
      </c>
      <c r="H85" s="218">
        <v>8856970</v>
      </c>
      <c r="I85" s="457">
        <v>45468</v>
      </c>
      <c r="J85" s="457">
        <v>46577</v>
      </c>
      <c r="K85" s="457">
        <v>45483</v>
      </c>
      <c r="L85" s="202" t="s">
        <v>3330</v>
      </c>
    </row>
    <row r="86" spans="1:12" s="458" customFormat="1">
      <c r="A86" s="202"/>
      <c r="B86" s="202" t="s">
        <v>3775</v>
      </c>
      <c r="C86" s="473" t="s">
        <v>3835</v>
      </c>
      <c r="D86" s="202" t="s">
        <v>3777</v>
      </c>
      <c r="E86" s="202" t="s">
        <v>3775</v>
      </c>
      <c r="F86" s="202" t="s">
        <v>3652</v>
      </c>
      <c r="G86" s="218">
        <v>0</v>
      </c>
      <c r="H86" s="218">
        <v>16590296</v>
      </c>
      <c r="I86" s="457">
        <v>45467</v>
      </c>
      <c r="J86" s="457">
        <v>45497</v>
      </c>
      <c r="K86" s="457">
        <v>45520</v>
      </c>
      <c r="L86" s="202" t="s">
        <v>3330</v>
      </c>
    </row>
    <row r="87" spans="1:12" s="458" customFormat="1">
      <c r="A87" s="202"/>
      <c r="B87" s="202" t="s">
        <v>3734</v>
      </c>
      <c r="C87" s="473" t="s">
        <v>3836</v>
      </c>
      <c r="D87" s="202" t="s">
        <v>3736</v>
      </c>
      <c r="E87" s="202" t="s">
        <v>3734</v>
      </c>
      <c r="F87" s="202" t="s">
        <v>3634</v>
      </c>
      <c r="G87" s="218">
        <v>0</v>
      </c>
      <c r="H87" s="218">
        <v>14547028</v>
      </c>
      <c r="I87" s="457">
        <v>45467</v>
      </c>
      <c r="J87" s="457">
        <v>45497</v>
      </c>
      <c r="K87" s="457">
        <v>45520</v>
      </c>
      <c r="L87" s="202" t="s">
        <v>3330</v>
      </c>
    </row>
    <row r="88" spans="1:12" s="458" customFormat="1">
      <c r="A88" s="202"/>
      <c r="B88" s="202" t="s">
        <v>3734</v>
      </c>
      <c r="C88" s="473" t="s">
        <v>3836</v>
      </c>
      <c r="D88" s="202" t="s">
        <v>3736</v>
      </c>
      <c r="E88" s="202" t="s">
        <v>3734</v>
      </c>
      <c r="F88" s="202" t="s">
        <v>3631</v>
      </c>
      <c r="G88" s="218">
        <v>0</v>
      </c>
      <c r="H88" s="218">
        <v>5109006</v>
      </c>
      <c r="I88" s="457">
        <v>45467</v>
      </c>
      <c r="J88" s="457">
        <v>45497</v>
      </c>
      <c r="K88" s="457">
        <v>45520</v>
      </c>
      <c r="L88" s="202" t="s">
        <v>3330</v>
      </c>
    </row>
    <row r="89" spans="1:12" s="458" customFormat="1">
      <c r="A89" s="202"/>
      <c r="B89" s="202" t="s">
        <v>3734</v>
      </c>
      <c r="C89" s="473" t="s">
        <v>3836</v>
      </c>
      <c r="D89" s="202" t="s">
        <v>3736</v>
      </c>
      <c r="E89" s="202" t="s">
        <v>3734</v>
      </c>
      <c r="F89" s="202" t="s">
        <v>3637</v>
      </c>
      <c r="G89" s="218">
        <v>0</v>
      </c>
      <c r="H89" s="218">
        <v>10802766</v>
      </c>
      <c r="I89" s="457">
        <v>45467</v>
      </c>
      <c r="J89" s="457">
        <v>45497</v>
      </c>
      <c r="K89" s="457">
        <v>45520</v>
      </c>
      <c r="L89" s="202" t="s">
        <v>3330</v>
      </c>
    </row>
    <row r="90" spans="1:12" s="458" customFormat="1">
      <c r="A90" s="202"/>
      <c r="B90" s="202" t="s">
        <v>3714</v>
      </c>
      <c r="C90" s="473" t="s">
        <v>3837</v>
      </c>
      <c r="D90" s="202" t="s">
        <v>3728</v>
      </c>
      <c r="E90" s="202" t="s">
        <v>3729</v>
      </c>
      <c r="F90" s="202"/>
      <c r="G90" s="218">
        <v>0</v>
      </c>
      <c r="H90" s="218">
        <v>4010450</v>
      </c>
      <c r="I90" s="457">
        <v>45470</v>
      </c>
      <c r="J90" s="457">
        <v>45481</v>
      </c>
      <c r="K90" s="457">
        <v>45483</v>
      </c>
      <c r="L90" s="202" t="s">
        <v>3330</v>
      </c>
    </row>
    <row r="91" spans="1:12" ht="17.5">
      <c r="A91" s="455" t="s">
        <v>3838</v>
      </c>
      <c r="B91" s="455"/>
      <c r="C91" s="472"/>
      <c r="D91" s="455"/>
      <c r="E91" s="455"/>
      <c r="F91" s="455"/>
      <c r="G91" s="455"/>
      <c r="H91" s="455"/>
      <c r="I91" s="456"/>
      <c r="J91" s="456"/>
      <c r="K91" s="456"/>
      <c r="L91" s="455"/>
    </row>
    <row r="92" spans="1:12">
      <c r="A92" s="202"/>
      <c r="B92" s="202" t="s">
        <v>3831</v>
      </c>
      <c r="C92" s="473" t="s">
        <v>3839</v>
      </c>
      <c r="D92" s="202" t="s">
        <v>3833</v>
      </c>
      <c r="E92" s="202" t="s">
        <v>3831</v>
      </c>
      <c r="F92" s="202" t="s">
        <v>3840</v>
      </c>
      <c r="G92" s="218">
        <v>0</v>
      </c>
      <c r="H92" s="218">
        <v>3245404</v>
      </c>
      <c r="I92" s="457">
        <v>45489</v>
      </c>
      <c r="J92" s="457">
        <v>45502</v>
      </c>
      <c r="K92" s="457">
        <v>45502</v>
      </c>
      <c r="L92" s="202" t="s">
        <v>3330</v>
      </c>
    </row>
    <row r="93" spans="1:12">
      <c r="A93" s="202"/>
      <c r="B93" s="202" t="s">
        <v>3841</v>
      </c>
      <c r="C93" s="473" t="s">
        <v>3842</v>
      </c>
      <c r="D93" s="202" t="s">
        <v>3843</v>
      </c>
      <c r="E93" s="202" t="s">
        <v>3841</v>
      </c>
      <c r="F93" s="202" t="s">
        <v>3844</v>
      </c>
      <c r="G93" s="218">
        <v>0</v>
      </c>
      <c r="H93" s="218">
        <v>295000</v>
      </c>
      <c r="I93" s="457">
        <v>45488</v>
      </c>
      <c r="J93" s="457">
        <v>45502</v>
      </c>
      <c r="K93" s="457">
        <v>45502</v>
      </c>
      <c r="L93" s="202" t="s">
        <v>3330</v>
      </c>
    </row>
    <row r="94" spans="1:12" s="458" customFormat="1">
      <c r="A94" s="202"/>
      <c r="B94" s="202" t="s">
        <v>3723</v>
      </c>
      <c r="C94" s="473" t="s">
        <v>3845</v>
      </c>
      <c r="D94" s="202" t="s">
        <v>3725</v>
      </c>
      <c r="E94" s="202" t="s">
        <v>3726</v>
      </c>
      <c r="F94" s="202" t="s">
        <v>3846</v>
      </c>
      <c r="G94" s="218">
        <v>0</v>
      </c>
      <c r="H94" s="218">
        <v>2554800</v>
      </c>
      <c r="I94" s="457">
        <v>46586</v>
      </c>
      <c r="J94" s="457">
        <v>45502</v>
      </c>
      <c r="K94" s="457">
        <v>45502</v>
      </c>
      <c r="L94" s="202" t="s">
        <v>3330</v>
      </c>
    </row>
    <row r="95" spans="1:12" s="458" customFormat="1">
      <c r="A95" s="202"/>
      <c r="B95" s="202" t="s">
        <v>3714</v>
      </c>
      <c r="C95" s="473" t="s">
        <v>3847</v>
      </c>
      <c r="D95" s="202" t="s">
        <v>3728</v>
      </c>
      <c r="E95" s="202" t="s">
        <v>3729</v>
      </c>
      <c r="F95" s="202" t="s">
        <v>3844</v>
      </c>
      <c r="G95" s="218">
        <v>0</v>
      </c>
      <c r="H95" s="218">
        <v>2725050</v>
      </c>
      <c r="I95" s="457">
        <v>45484</v>
      </c>
      <c r="J95" s="457">
        <v>45502</v>
      </c>
      <c r="K95" s="457">
        <v>45502</v>
      </c>
      <c r="L95" s="202" t="s">
        <v>3330</v>
      </c>
    </row>
    <row r="96" spans="1:12" s="458" customFormat="1">
      <c r="A96" s="202"/>
      <c r="B96" s="202" t="s">
        <v>3848</v>
      </c>
      <c r="C96" s="473" t="s">
        <v>4287</v>
      </c>
      <c r="D96" s="202" t="s">
        <v>4288</v>
      </c>
      <c r="E96" s="202" t="s">
        <v>3849</v>
      </c>
      <c r="F96" s="202" t="s">
        <v>3850</v>
      </c>
      <c r="G96" s="218">
        <v>0</v>
      </c>
      <c r="H96" s="218">
        <v>310000</v>
      </c>
      <c r="I96" s="457">
        <v>45502</v>
      </c>
      <c r="J96" s="457">
        <v>45502</v>
      </c>
      <c r="K96" s="457">
        <v>45502</v>
      </c>
      <c r="L96" s="202" t="s">
        <v>3330</v>
      </c>
    </row>
    <row r="97" spans="1:13" ht="17.5">
      <c r="A97" s="455" t="s">
        <v>4285</v>
      </c>
      <c r="B97" s="455"/>
      <c r="C97" s="472"/>
      <c r="D97" s="455"/>
      <c r="E97" s="455"/>
      <c r="F97" s="455"/>
      <c r="G97" s="455"/>
      <c r="H97" s="455"/>
      <c r="I97" s="456"/>
      <c r="J97" s="456"/>
      <c r="K97" s="456"/>
      <c r="L97" s="455"/>
    </row>
    <row r="98" spans="1:13">
      <c r="A98" s="202"/>
      <c r="B98" s="202" t="s">
        <v>3831</v>
      </c>
      <c r="C98" s="473" t="s">
        <v>3839</v>
      </c>
      <c r="D98" s="202" t="s">
        <v>3833</v>
      </c>
      <c r="E98" s="202" t="s">
        <v>3831</v>
      </c>
      <c r="F98" s="202" t="s">
        <v>4286</v>
      </c>
      <c r="G98" s="218">
        <v>0</v>
      </c>
      <c r="H98" s="218">
        <v>6202314</v>
      </c>
      <c r="I98" s="457">
        <v>45507</v>
      </c>
      <c r="J98" s="457">
        <v>45513</v>
      </c>
      <c r="K98" s="457">
        <v>45520</v>
      </c>
      <c r="L98" s="202" t="s">
        <v>3330</v>
      </c>
    </row>
    <row r="99" spans="1:13" s="458" customFormat="1">
      <c r="A99" s="202"/>
      <c r="B99" s="202" t="s">
        <v>3714</v>
      </c>
      <c r="C99" s="473" t="s">
        <v>4283</v>
      </c>
      <c r="D99" s="202" t="s">
        <v>3728</v>
      </c>
      <c r="E99" s="202" t="s">
        <v>3729</v>
      </c>
      <c r="F99" s="202" t="s">
        <v>4284</v>
      </c>
      <c r="G99" s="218">
        <v>0</v>
      </c>
      <c r="H99" s="218">
        <v>8217641</v>
      </c>
      <c r="I99" s="457">
        <v>45507</v>
      </c>
      <c r="J99" s="457">
        <v>45520</v>
      </c>
      <c r="K99" s="457">
        <v>45520</v>
      </c>
      <c r="L99" s="202" t="s">
        <v>3330</v>
      </c>
    </row>
    <row r="100" spans="1:13" s="458" customFormat="1">
      <c r="A100" s="202"/>
      <c r="B100" s="202" t="s">
        <v>3738</v>
      </c>
      <c r="C100" s="473" t="s">
        <v>3823</v>
      </c>
      <c r="D100" s="202" t="s">
        <v>3740</v>
      </c>
      <c r="E100" s="202" t="s">
        <v>3738</v>
      </c>
      <c r="F100" s="202" t="s">
        <v>3644</v>
      </c>
      <c r="G100" s="218">
        <v>0</v>
      </c>
      <c r="H100" s="218">
        <v>7504491</v>
      </c>
      <c r="I100" s="457">
        <v>45507</v>
      </c>
      <c r="J100" s="457">
        <v>45520</v>
      </c>
      <c r="K100" s="457">
        <v>45527</v>
      </c>
      <c r="L100" s="202" t="s">
        <v>3330</v>
      </c>
    </row>
    <row r="101" spans="1:13" s="222" customFormat="1">
      <c r="A101" s="234"/>
      <c r="B101" s="234" t="s">
        <v>3738</v>
      </c>
      <c r="C101" s="477" t="s">
        <v>4378</v>
      </c>
      <c r="D101" s="234" t="s">
        <v>3740</v>
      </c>
      <c r="E101" s="234" t="s">
        <v>3738</v>
      </c>
      <c r="F101" s="234" t="s">
        <v>4336</v>
      </c>
      <c r="G101" s="225">
        <v>0</v>
      </c>
      <c r="H101" s="225">
        <v>1700000</v>
      </c>
      <c r="I101" s="469">
        <v>45517</v>
      </c>
      <c r="J101" s="469">
        <v>45531</v>
      </c>
      <c r="K101" s="469"/>
      <c r="L101" s="234"/>
    </row>
    <row r="102" spans="1:13" s="222" customFormat="1">
      <c r="A102" s="234"/>
      <c r="B102" s="234" t="s">
        <v>3734</v>
      </c>
      <c r="C102" s="477" t="s">
        <v>4379</v>
      </c>
      <c r="D102" s="234" t="s">
        <v>3736</v>
      </c>
      <c r="E102" s="234" t="s">
        <v>3734</v>
      </c>
      <c r="F102" s="234" t="s">
        <v>4301</v>
      </c>
      <c r="G102" s="225">
        <v>0</v>
      </c>
      <c r="H102" s="225">
        <v>5554004</v>
      </c>
      <c r="I102" s="469">
        <v>45517</v>
      </c>
      <c r="J102" s="469">
        <v>45548</v>
      </c>
      <c r="K102" s="469"/>
      <c r="L102" s="234"/>
    </row>
    <row r="103" spans="1:13" s="222" customFormat="1">
      <c r="A103" s="234"/>
      <c r="B103" s="234" t="s">
        <v>3734</v>
      </c>
      <c r="C103" s="477" t="s">
        <v>3836</v>
      </c>
      <c r="D103" s="234" t="s">
        <v>3736</v>
      </c>
      <c r="E103" s="234" t="s">
        <v>3734</v>
      </c>
      <c r="F103" s="234" t="s">
        <v>4313</v>
      </c>
      <c r="G103" s="225">
        <v>0</v>
      </c>
      <c r="H103" s="225">
        <v>12892553</v>
      </c>
      <c r="I103" s="469">
        <v>45517</v>
      </c>
      <c r="J103" s="469">
        <v>45548</v>
      </c>
      <c r="K103" s="469"/>
      <c r="L103" s="234"/>
    </row>
    <row r="104" spans="1:13" s="458" customFormat="1">
      <c r="A104" s="202"/>
      <c r="B104" s="202" t="s">
        <v>4384</v>
      </c>
      <c r="C104" s="473" t="s">
        <v>4385</v>
      </c>
      <c r="D104" s="202" t="s">
        <v>4386</v>
      </c>
      <c r="E104" s="202" t="s">
        <v>4387</v>
      </c>
      <c r="F104" s="202" t="s">
        <v>4388</v>
      </c>
      <c r="G104" s="218">
        <v>0</v>
      </c>
      <c r="H104" s="218">
        <v>1600000</v>
      </c>
      <c r="I104" s="457">
        <v>45531</v>
      </c>
      <c r="J104" s="457">
        <v>45532</v>
      </c>
      <c r="K104" s="457">
        <v>45532</v>
      </c>
      <c r="L104" s="202" t="s">
        <v>3330</v>
      </c>
    </row>
    <row r="105" spans="1:13" s="617" customFormat="1">
      <c r="A105" s="613"/>
      <c r="B105" s="613" t="s">
        <v>4389</v>
      </c>
      <c r="C105" s="614" t="s">
        <v>4390</v>
      </c>
      <c r="D105" s="613" t="s">
        <v>4391</v>
      </c>
      <c r="E105" s="613" t="s">
        <v>4389</v>
      </c>
      <c r="F105" s="613" t="s">
        <v>4392</v>
      </c>
      <c r="G105" s="615">
        <v>0</v>
      </c>
      <c r="H105" s="615">
        <v>1150035</v>
      </c>
      <c r="I105" s="616">
        <v>45531</v>
      </c>
      <c r="J105" s="616">
        <v>45532</v>
      </c>
      <c r="K105" s="616">
        <v>45532</v>
      </c>
      <c r="L105" s="613" t="s">
        <v>3330</v>
      </c>
      <c r="M105" s="617" t="s">
        <v>4429</v>
      </c>
    </row>
    <row r="106" spans="1:13" s="222" customFormat="1">
      <c r="A106" s="234"/>
      <c r="B106" s="234" t="s">
        <v>3734</v>
      </c>
      <c r="C106" s="477" t="s">
        <v>3836</v>
      </c>
      <c r="D106" s="234" t="s">
        <v>3736</v>
      </c>
      <c r="E106" s="234" t="s">
        <v>3734</v>
      </c>
      <c r="F106" s="234" t="s">
        <v>4314</v>
      </c>
      <c r="G106" s="225">
        <v>0</v>
      </c>
      <c r="H106" s="225">
        <v>12159127</v>
      </c>
      <c r="I106" s="469">
        <v>45517</v>
      </c>
      <c r="J106" s="469">
        <v>45548</v>
      </c>
      <c r="K106" s="469"/>
      <c r="L106" s="234"/>
    </row>
    <row r="107" spans="1:13" s="458" customFormat="1">
      <c r="A107" s="202"/>
      <c r="B107" s="202" t="s">
        <v>3714</v>
      </c>
      <c r="C107" s="473" t="s">
        <v>4380</v>
      </c>
      <c r="D107" s="202" t="s">
        <v>3728</v>
      </c>
      <c r="E107" s="202" t="s">
        <v>3729</v>
      </c>
      <c r="F107" s="202" t="s">
        <v>4381</v>
      </c>
      <c r="G107" s="218">
        <v>0</v>
      </c>
      <c r="H107" s="218">
        <v>1800000</v>
      </c>
      <c r="I107" s="457">
        <v>45518</v>
      </c>
      <c r="J107" s="457">
        <v>45520</v>
      </c>
      <c r="K107" s="457">
        <v>45527</v>
      </c>
      <c r="L107" s="202" t="s">
        <v>3330</v>
      </c>
    </row>
    <row r="108" spans="1:13" s="222" customFormat="1">
      <c r="A108" s="234"/>
      <c r="B108" s="234" t="s">
        <v>3775</v>
      </c>
      <c r="C108" s="477" t="s">
        <v>3835</v>
      </c>
      <c r="D108" s="234" t="s">
        <v>3777</v>
      </c>
      <c r="E108" s="234" t="s">
        <v>3775</v>
      </c>
      <c r="F108" s="234" t="s">
        <v>4318</v>
      </c>
      <c r="G108" s="225">
        <v>0</v>
      </c>
      <c r="H108" s="225">
        <v>3962950</v>
      </c>
      <c r="I108" s="469">
        <v>45520</v>
      </c>
      <c r="J108" s="469">
        <v>45551</v>
      </c>
      <c r="K108" s="469"/>
      <c r="L108" s="234"/>
    </row>
    <row r="109" spans="1:13" s="222" customFormat="1">
      <c r="A109" s="234"/>
      <c r="B109" s="234" t="s">
        <v>3775</v>
      </c>
      <c r="C109" s="477" t="s">
        <v>3835</v>
      </c>
      <c r="D109" s="234" t="s">
        <v>3777</v>
      </c>
      <c r="E109" s="234" t="s">
        <v>3775</v>
      </c>
      <c r="F109" s="234" t="s">
        <v>4324</v>
      </c>
      <c r="G109" s="225">
        <v>0</v>
      </c>
      <c r="H109" s="225">
        <v>11066246</v>
      </c>
      <c r="I109" s="469">
        <v>45520</v>
      </c>
      <c r="J109" s="469">
        <v>45551</v>
      </c>
      <c r="K109" s="469"/>
      <c r="L109" s="234"/>
    </row>
    <row r="110" spans="1:13" s="222" customFormat="1">
      <c r="A110" s="234"/>
      <c r="B110" s="234" t="s">
        <v>3775</v>
      </c>
      <c r="C110" s="477" t="s">
        <v>3835</v>
      </c>
      <c r="D110" s="234" t="s">
        <v>3777</v>
      </c>
      <c r="E110" s="234" t="s">
        <v>3775</v>
      </c>
      <c r="F110" s="234" t="s">
        <v>4383</v>
      </c>
      <c r="G110" s="225">
        <v>0</v>
      </c>
      <c r="H110" s="225">
        <v>2117850</v>
      </c>
      <c r="I110" s="469">
        <v>45531</v>
      </c>
      <c r="J110" s="469">
        <v>45562</v>
      </c>
      <c r="K110" s="469"/>
      <c r="L110" s="234"/>
    </row>
    <row r="111" spans="1:13" s="222" customFormat="1">
      <c r="A111" s="234"/>
      <c r="B111" s="234" t="s">
        <v>4427</v>
      </c>
      <c r="C111" s="477" t="s">
        <v>4425</v>
      </c>
      <c r="D111" s="234" t="s">
        <v>4426</v>
      </c>
      <c r="E111" s="234" t="s">
        <v>4427</v>
      </c>
      <c r="F111" s="234" t="s">
        <v>4428</v>
      </c>
      <c r="G111" s="225">
        <v>0</v>
      </c>
      <c r="H111" s="225">
        <v>4927575</v>
      </c>
      <c r="I111" s="469">
        <v>45533</v>
      </c>
      <c r="J111" s="469">
        <v>45549</v>
      </c>
      <c r="K111" s="469"/>
      <c r="L111" s="234"/>
    </row>
    <row r="112" spans="1:13" s="222" customFormat="1">
      <c r="A112" s="234"/>
      <c r="B112" s="234" t="s">
        <v>4430</v>
      </c>
      <c r="C112" s="477" t="s">
        <v>4431</v>
      </c>
      <c r="D112" s="234" t="s">
        <v>4432</v>
      </c>
      <c r="E112" s="234" t="s">
        <v>4430</v>
      </c>
      <c r="F112" s="234" t="s">
        <v>4433</v>
      </c>
      <c r="G112" s="225">
        <v>0</v>
      </c>
      <c r="H112" s="225">
        <v>425000</v>
      </c>
      <c r="I112" s="469">
        <v>45534</v>
      </c>
      <c r="J112" s="469">
        <v>45541</v>
      </c>
      <c r="K112" s="469"/>
      <c r="L112" s="234"/>
    </row>
    <row r="113" spans="1:12" s="222" customFormat="1">
      <c r="A113" s="234"/>
      <c r="B113" s="234" t="s">
        <v>3841</v>
      </c>
      <c r="C113" s="477" t="s">
        <v>4434</v>
      </c>
      <c r="D113" s="234" t="s">
        <v>3843</v>
      </c>
      <c r="E113" s="234" t="s">
        <v>3841</v>
      </c>
      <c r="F113" s="234" t="s">
        <v>4392</v>
      </c>
      <c r="G113" s="225">
        <v>0</v>
      </c>
      <c r="H113" s="225">
        <v>650000</v>
      </c>
      <c r="I113" s="469">
        <v>45534</v>
      </c>
      <c r="J113" s="469"/>
      <c r="K113" s="469"/>
      <c r="L113" s="234"/>
    </row>
    <row r="114" spans="1:12" s="222" customFormat="1">
      <c r="A114" s="234"/>
      <c r="B114" s="601"/>
      <c r="C114" s="601"/>
      <c r="D114" s="601"/>
      <c r="E114" s="601"/>
      <c r="F114" s="601"/>
      <c r="G114" s="601"/>
      <c r="H114" s="601"/>
      <c r="I114" s="601"/>
      <c r="J114" s="601"/>
      <c r="K114" s="469"/>
      <c r="L114" s="234"/>
    </row>
    <row r="117" spans="1:12" ht="22.5">
      <c r="B117" s="1101" t="s">
        <v>4334</v>
      </c>
      <c r="C117" s="1101"/>
      <c r="D117" s="1101"/>
      <c r="E117" s="1101"/>
      <c r="F117" s="1101"/>
      <c r="G117" s="1101"/>
    </row>
    <row r="118" spans="1:12" ht="18.75" customHeight="1">
      <c r="B118" s="202" t="s">
        <v>3738</v>
      </c>
      <c r="C118" s="473" t="s">
        <v>3823</v>
      </c>
      <c r="D118" s="202" t="s">
        <v>3740</v>
      </c>
      <c r="E118" s="202" t="s">
        <v>3738</v>
      </c>
      <c r="F118" s="202" t="s">
        <v>3644</v>
      </c>
      <c r="G118" s="559">
        <v>0</v>
      </c>
    </row>
    <row r="119" spans="1:12">
      <c r="B119" s="202" t="s">
        <v>3738</v>
      </c>
      <c r="C119" s="473" t="s">
        <v>4378</v>
      </c>
      <c r="D119" s="202" t="s">
        <v>3740</v>
      </c>
      <c r="E119" s="202" t="s">
        <v>3738</v>
      </c>
      <c r="F119" s="202" t="s">
        <v>4336</v>
      </c>
      <c r="G119" s="559">
        <v>1700000</v>
      </c>
    </row>
    <row r="120" spans="1:12">
      <c r="B120" s="202" t="s">
        <v>3734</v>
      </c>
      <c r="C120" s="473" t="s">
        <v>4379</v>
      </c>
      <c r="D120" s="202" t="s">
        <v>3736</v>
      </c>
      <c r="E120" s="202" t="s">
        <v>3734</v>
      </c>
      <c r="F120" s="202" t="s">
        <v>4301</v>
      </c>
      <c r="G120" s="559">
        <v>5554004</v>
      </c>
    </row>
    <row r="121" spans="1:12">
      <c r="B121" s="202" t="s">
        <v>3734</v>
      </c>
      <c r="C121" s="473" t="s">
        <v>3836</v>
      </c>
      <c r="D121" s="202" t="s">
        <v>3736</v>
      </c>
      <c r="E121" s="202" t="s">
        <v>3734</v>
      </c>
      <c r="F121" s="202" t="s">
        <v>4313</v>
      </c>
      <c r="G121" s="559">
        <v>12892553</v>
      </c>
    </row>
    <row r="122" spans="1:12">
      <c r="B122" s="202" t="s">
        <v>3734</v>
      </c>
      <c r="C122" s="473" t="s">
        <v>3836</v>
      </c>
      <c r="D122" s="202" t="s">
        <v>3736</v>
      </c>
      <c r="E122" s="202" t="s">
        <v>3734</v>
      </c>
      <c r="F122" s="202" t="s">
        <v>4314</v>
      </c>
      <c r="G122" s="559">
        <v>12159127</v>
      </c>
    </row>
    <row r="123" spans="1:12">
      <c r="B123" s="202" t="s">
        <v>3714</v>
      </c>
      <c r="C123" s="473" t="s">
        <v>4380</v>
      </c>
      <c r="D123" s="202" t="s">
        <v>3728</v>
      </c>
      <c r="E123" s="202" t="s">
        <v>3729</v>
      </c>
      <c r="F123" s="202" t="s">
        <v>4381</v>
      </c>
      <c r="G123" s="559">
        <v>0</v>
      </c>
    </row>
    <row r="124" spans="1:12">
      <c r="B124" s="202" t="s">
        <v>3775</v>
      </c>
      <c r="C124" s="473" t="s">
        <v>3835</v>
      </c>
      <c r="D124" s="202" t="s">
        <v>3777</v>
      </c>
      <c r="E124" s="202" t="s">
        <v>3775</v>
      </c>
      <c r="F124" s="202" t="s">
        <v>4318</v>
      </c>
      <c r="G124" s="559">
        <v>3962950</v>
      </c>
    </row>
    <row r="125" spans="1:12">
      <c r="B125" s="202" t="s">
        <v>3775</v>
      </c>
      <c r="C125" s="473" t="s">
        <v>3835</v>
      </c>
      <c r="D125" s="202" t="s">
        <v>3777</v>
      </c>
      <c r="E125" s="202" t="s">
        <v>3775</v>
      </c>
      <c r="F125" s="202" t="s">
        <v>4324</v>
      </c>
      <c r="G125" s="559">
        <v>11066246</v>
      </c>
    </row>
    <row r="126" spans="1:12">
      <c r="A126" s="1095" t="s">
        <v>3560</v>
      </c>
      <c r="B126" s="1095"/>
      <c r="C126" s="1095"/>
      <c r="D126" s="1095"/>
      <c r="E126" s="1095"/>
      <c r="F126" s="1095"/>
      <c r="G126" s="571">
        <f>SUM(G118:G125)</f>
        <v>47334880</v>
      </c>
    </row>
    <row r="128" spans="1:12" ht="25">
      <c r="A128" s="1102" t="s">
        <v>4335</v>
      </c>
      <c r="B128" s="1102"/>
      <c r="C128" s="1102"/>
      <c r="D128" s="1102"/>
      <c r="E128" s="1102"/>
      <c r="F128" s="1102"/>
      <c r="G128" s="1102"/>
      <c r="H128" s="1102"/>
      <c r="I128" s="1102"/>
    </row>
    <row r="129" spans="1:7" ht="15.5">
      <c r="A129" s="453" t="s">
        <v>1</v>
      </c>
      <c r="B129" s="453" t="s">
        <v>3543</v>
      </c>
      <c r="C129" s="453" t="s">
        <v>3544</v>
      </c>
      <c r="D129" s="453" t="s">
        <v>3545</v>
      </c>
      <c r="E129" s="453" t="s">
        <v>3546</v>
      </c>
      <c r="F129" s="453" t="s">
        <v>3547</v>
      </c>
      <c r="G129" s="453" t="s">
        <v>3213</v>
      </c>
    </row>
    <row r="130" spans="1:7">
      <c r="B130" s="202" t="s">
        <v>4291</v>
      </c>
      <c r="C130" s="202" t="s">
        <v>4292</v>
      </c>
      <c r="D130" s="202" t="s">
        <v>4293</v>
      </c>
      <c r="E130" s="202" t="s">
        <v>4294</v>
      </c>
      <c r="F130" s="202" t="s">
        <v>4295</v>
      </c>
      <c r="G130" s="559">
        <v>7716854</v>
      </c>
    </row>
    <row r="131" spans="1:7">
      <c r="B131" s="202" t="s">
        <v>2751</v>
      </c>
      <c r="C131" s="202" t="s">
        <v>3840</v>
      </c>
      <c r="D131" s="202" t="s">
        <v>4309</v>
      </c>
      <c r="E131" s="202" t="s">
        <v>4294</v>
      </c>
      <c r="F131" s="202" t="s">
        <v>4310</v>
      </c>
      <c r="G131" s="559">
        <v>8153954</v>
      </c>
    </row>
    <row r="132" spans="1:7">
      <c r="B132" s="202" t="s">
        <v>2751</v>
      </c>
      <c r="C132" s="202" t="s">
        <v>4313</v>
      </c>
      <c r="D132" s="202" t="s">
        <v>4311</v>
      </c>
      <c r="E132" s="202" t="s">
        <v>4294</v>
      </c>
      <c r="F132" s="202" t="s">
        <v>4312</v>
      </c>
      <c r="G132" s="559">
        <v>16237053</v>
      </c>
    </row>
    <row r="133" spans="1:7">
      <c r="B133" s="202" t="s">
        <v>2751</v>
      </c>
      <c r="C133" s="202" t="s">
        <v>4314</v>
      </c>
      <c r="D133" s="202">
        <v>278653996</v>
      </c>
      <c r="E133" s="202" t="s">
        <v>4294</v>
      </c>
      <c r="F133" s="202" t="s">
        <v>4315</v>
      </c>
      <c r="G133" s="559">
        <v>15497127</v>
      </c>
    </row>
    <row r="134" spans="1:7">
      <c r="B134" s="202" t="s">
        <v>2751</v>
      </c>
      <c r="C134" s="202" t="s">
        <v>4286</v>
      </c>
      <c r="D134" s="202" t="s">
        <v>4316</v>
      </c>
      <c r="E134" s="202" t="s">
        <v>4294</v>
      </c>
      <c r="F134" s="202" t="s">
        <v>4317</v>
      </c>
      <c r="G134" s="559">
        <v>9880814</v>
      </c>
    </row>
    <row r="135" spans="1:7">
      <c r="B135" s="202" t="s">
        <v>2803</v>
      </c>
      <c r="C135" s="202" t="s">
        <v>4336</v>
      </c>
      <c r="D135" s="202" t="s">
        <v>3686</v>
      </c>
      <c r="E135" s="202" t="s">
        <v>3673</v>
      </c>
      <c r="F135" s="202" t="s">
        <v>4337</v>
      </c>
      <c r="G135" s="559">
        <v>0</v>
      </c>
    </row>
    <row r="136" spans="1:7">
      <c r="A136" s="1095" t="s">
        <v>3560</v>
      </c>
      <c r="B136" s="1095"/>
      <c r="C136" s="1095"/>
      <c r="D136" s="1095"/>
      <c r="E136" s="1095"/>
      <c r="F136" s="1095"/>
      <c r="G136" s="571">
        <f>SUM(G130:G135)</f>
        <v>57485802</v>
      </c>
    </row>
  </sheetData>
  <mergeCells count="7">
    <mergeCell ref="A136:F136"/>
    <mergeCell ref="A1:L1"/>
    <mergeCell ref="A3:L3"/>
    <mergeCell ref="A4:L4"/>
    <mergeCell ref="B117:G117"/>
    <mergeCell ref="A128:I128"/>
    <mergeCell ref="A126:F126"/>
  </mergeCells>
  <pageMargins left="0.74803149606299213" right="0.74803149606299213" top="0.98425196850393704" bottom="0.98425196850393704" header="0.51181102362204722" footer="0.51181102362204722"/>
  <pageSetup paperSize="9" scale="25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15"/>
  <sheetViews>
    <sheetView topLeftCell="A46" zoomScale="94" workbookViewId="0">
      <selection activeCell="G11" sqref="G11"/>
    </sheetView>
  </sheetViews>
  <sheetFormatPr defaultColWidth="9" defaultRowHeight="14"/>
  <cols>
    <col min="1" max="1" width="1.08203125" style="478" customWidth="1"/>
    <col min="2" max="2" width="10" style="479" customWidth="1"/>
    <col min="3" max="3" width="37.08203125" style="479" customWidth="1"/>
    <col min="4" max="4" width="11.5" style="479" customWidth="1"/>
    <col min="5" max="5" width="13.5" style="479" customWidth="1"/>
    <col min="6" max="6" width="13" style="479" customWidth="1"/>
    <col min="7" max="7" width="14" style="479" customWidth="1"/>
    <col min="8" max="8" width="9" style="479"/>
    <col min="9" max="9" width="31.5" style="479" customWidth="1"/>
    <col min="10" max="10" width="11.5" style="479"/>
    <col min="11" max="11" width="9.58203125" style="479"/>
    <col min="12" max="12" width="11.83203125" style="479" customWidth="1"/>
  </cols>
  <sheetData>
    <row r="1" spans="2:12" ht="56.25" customHeight="1">
      <c r="B1" s="1106" t="s">
        <v>3851</v>
      </c>
      <c r="C1" s="1106"/>
      <c r="D1" s="1106"/>
      <c r="E1" s="1106"/>
      <c r="F1" s="1106"/>
      <c r="H1" s="1105" t="s">
        <v>3852</v>
      </c>
      <c r="I1" s="1105"/>
      <c r="J1" s="1105"/>
      <c r="K1" s="1105"/>
      <c r="L1" s="1105"/>
    </row>
    <row r="2" spans="2:12">
      <c r="B2" s="1103" t="s">
        <v>3853</v>
      </c>
      <c r="C2" s="1103"/>
      <c r="D2" s="1103"/>
      <c r="E2" s="1103"/>
      <c r="F2" s="1103"/>
      <c r="H2" s="480" t="s">
        <v>3854</v>
      </c>
      <c r="I2" s="480" t="s">
        <v>3698</v>
      </c>
      <c r="J2" s="480" t="s">
        <v>3855</v>
      </c>
      <c r="K2" s="480" t="s">
        <v>3856</v>
      </c>
      <c r="L2" s="480" t="s">
        <v>3857</v>
      </c>
    </row>
    <row r="3" spans="2:12">
      <c r="B3" s="481" t="s">
        <v>3858</v>
      </c>
      <c r="C3" s="481" t="s">
        <v>3698</v>
      </c>
      <c r="D3" s="481" t="s">
        <v>3855</v>
      </c>
      <c r="E3" s="481" t="s">
        <v>3859</v>
      </c>
      <c r="F3" s="481" t="s">
        <v>3860</v>
      </c>
      <c r="H3" s="482" t="s">
        <v>2184</v>
      </c>
      <c r="I3" s="483" t="s">
        <v>3861</v>
      </c>
      <c r="J3" s="484"/>
      <c r="K3" s="484">
        <v>711800</v>
      </c>
      <c r="L3" s="484">
        <f>K3</f>
        <v>711800</v>
      </c>
    </row>
    <row r="4" spans="2:12">
      <c r="B4" s="485" t="s">
        <v>3862</v>
      </c>
      <c r="C4" s="483" t="s">
        <v>3863</v>
      </c>
      <c r="D4" s="486"/>
      <c r="E4" s="486">
        <v>10000000</v>
      </c>
      <c r="F4" s="486">
        <f>E4-D4</f>
        <v>10000000</v>
      </c>
      <c r="H4" s="483" t="s">
        <v>2435</v>
      </c>
      <c r="I4" s="483" t="s">
        <v>3864</v>
      </c>
      <c r="J4" s="484">
        <v>500000</v>
      </c>
      <c r="K4" s="484"/>
      <c r="L4" s="484">
        <f t="shared" ref="L4:L7" si="0">L3-J4+K4</f>
        <v>211800</v>
      </c>
    </row>
    <row r="5" spans="2:12">
      <c r="B5" s="485" t="s">
        <v>2435</v>
      </c>
      <c r="C5" s="483" t="s">
        <v>3865</v>
      </c>
      <c r="D5" s="486">
        <v>1827877</v>
      </c>
      <c r="E5" s="486"/>
      <c r="F5" s="486">
        <f>F4-D5</f>
        <v>8172123</v>
      </c>
      <c r="H5" s="483" t="s">
        <v>3866</v>
      </c>
      <c r="I5" s="483" t="s">
        <v>3867</v>
      </c>
      <c r="J5" s="484">
        <v>10000</v>
      </c>
      <c r="K5" s="484"/>
      <c r="L5" s="484">
        <f t="shared" si="0"/>
        <v>201800</v>
      </c>
    </row>
    <row r="6" spans="2:12">
      <c r="B6" s="485" t="s">
        <v>2435</v>
      </c>
      <c r="C6" s="483" t="s">
        <v>3868</v>
      </c>
      <c r="D6" s="486"/>
      <c r="E6" s="486">
        <v>100000000</v>
      </c>
      <c r="F6" s="486">
        <f t="shared" ref="F6:F11" si="1">F5-D6+E6</f>
        <v>108172123</v>
      </c>
      <c r="H6" s="483" t="s">
        <v>3866</v>
      </c>
      <c r="I6" s="483" t="s">
        <v>3869</v>
      </c>
      <c r="J6" s="484">
        <v>120000</v>
      </c>
      <c r="K6" s="484"/>
      <c r="L6" s="484">
        <f t="shared" si="0"/>
        <v>81800</v>
      </c>
    </row>
    <row r="7" spans="2:12">
      <c r="B7" s="485" t="s">
        <v>3870</v>
      </c>
      <c r="C7" s="483" t="s">
        <v>3871</v>
      </c>
      <c r="D7" s="486">
        <v>2777321</v>
      </c>
      <c r="E7" s="486"/>
      <c r="F7" s="486">
        <f t="shared" si="1"/>
        <v>105394802</v>
      </c>
      <c r="H7" s="483" t="s">
        <v>3872</v>
      </c>
      <c r="I7" s="483" t="s">
        <v>3873</v>
      </c>
      <c r="J7" s="484">
        <v>81800</v>
      </c>
      <c r="K7" s="484"/>
      <c r="L7" s="484">
        <f t="shared" si="0"/>
        <v>0</v>
      </c>
    </row>
    <row r="8" spans="2:12">
      <c r="B8" s="485" t="s">
        <v>3870</v>
      </c>
      <c r="C8" s="483" t="s">
        <v>3874</v>
      </c>
      <c r="D8" s="486">
        <v>11449500</v>
      </c>
      <c r="E8" s="486"/>
      <c r="F8" s="486">
        <f t="shared" si="1"/>
        <v>93945302</v>
      </c>
      <c r="H8" s="1104" t="s">
        <v>3875</v>
      </c>
      <c r="I8" s="1104"/>
      <c r="J8" s="487">
        <f ca="1">SUM(J3:J11)</f>
        <v>1423600</v>
      </c>
      <c r="K8" s="487">
        <f ca="1">SUM(K3:K11)</f>
        <v>1423600</v>
      </c>
      <c r="L8" s="487">
        <f ca="1">K8-J8</f>
        <v>0</v>
      </c>
    </row>
    <row r="9" spans="2:12">
      <c r="B9" s="485" t="s">
        <v>3870</v>
      </c>
      <c r="C9" s="483" t="s">
        <v>3876</v>
      </c>
      <c r="D9" s="486">
        <v>2500</v>
      </c>
      <c r="E9" s="486"/>
      <c r="F9" s="486">
        <f t="shared" si="1"/>
        <v>93942802</v>
      </c>
      <c r="J9" s="488"/>
      <c r="K9" s="488"/>
      <c r="L9" s="488"/>
    </row>
    <row r="10" spans="2:12">
      <c r="B10" s="485" t="s">
        <v>3870</v>
      </c>
      <c r="C10" s="483" t="s">
        <v>3877</v>
      </c>
      <c r="D10" s="486">
        <v>1450000</v>
      </c>
      <c r="E10" s="486"/>
      <c r="F10" s="486">
        <f t="shared" si="1"/>
        <v>92492802</v>
      </c>
      <c r="J10" s="488"/>
      <c r="K10" s="488"/>
      <c r="L10" s="488"/>
    </row>
    <row r="11" spans="2:12">
      <c r="B11" s="485" t="s">
        <v>3878</v>
      </c>
      <c r="C11" s="483" t="s">
        <v>3879</v>
      </c>
      <c r="D11" s="486">
        <v>1849291</v>
      </c>
      <c r="E11" s="486"/>
      <c r="F11" s="486">
        <f t="shared" si="1"/>
        <v>90643511</v>
      </c>
      <c r="J11" s="488"/>
      <c r="K11" s="488"/>
      <c r="L11" s="488"/>
    </row>
    <row r="12" spans="2:12">
      <c r="B12" s="485" t="s">
        <v>3878</v>
      </c>
      <c r="C12" s="483" t="s">
        <v>3880</v>
      </c>
      <c r="D12" s="486">
        <v>1606320</v>
      </c>
      <c r="E12" s="486"/>
      <c r="F12" s="489">
        <f t="shared" ref="F12:F15" si="2">F11-D12+E12</f>
        <v>89037191</v>
      </c>
      <c r="J12" s="488"/>
      <c r="K12" s="488"/>
      <c r="L12" s="488"/>
    </row>
    <row r="13" spans="2:12">
      <c r="B13" s="485" t="s">
        <v>3881</v>
      </c>
      <c r="C13" s="483" t="s">
        <v>3882</v>
      </c>
      <c r="D13" s="486">
        <v>12500</v>
      </c>
      <c r="E13" s="490"/>
      <c r="F13" s="486">
        <f t="shared" si="2"/>
        <v>89024691</v>
      </c>
      <c r="J13" s="488"/>
      <c r="K13" s="488"/>
      <c r="L13" s="488"/>
    </row>
    <row r="14" spans="2:12">
      <c r="B14" s="485" t="s">
        <v>3881</v>
      </c>
      <c r="C14" s="483" t="s">
        <v>3883</v>
      </c>
      <c r="D14" s="486"/>
      <c r="E14" s="490">
        <v>11334.88</v>
      </c>
      <c r="F14" s="486">
        <f t="shared" si="2"/>
        <v>89036025.879999995</v>
      </c>
      <c r="G14" s="491">
        <f>SUM(E4:E15)</f>
        <v>110011334.88</v>
      </c>
      <c r="H14" s="479" t="s">
        <v>3859</v>
      </c>
      <c r="J14" s="488"/>
      <c r="K14" s="488"/>
      <c r="L14" s="488"/>
    </row>
    <row r="15" spans="2:12">
      <c r="B15" s="485" t="s">
        <v>3881</v>
      </c>
      <c r="C15" s="483" t="s">
        <v>3884</v>
      </c>
      <c r="D15" s="486">
        <v>2266.98</v>
      </c>
      <c r="E15" s="490"/>
      <c r="F15" s="492">
        <f t="shared" si="2"/>
        <v>89033758.899999991</v>
      </c>
      <c r="G15" s="491">
        <f>SUM(D4:D15)</f>
        <v>20977575.98</v>
      </c>
      <c r="H15" s="479" t="s">
        <v>3885</v>
      </c>
      <c r="J15" s="488"/>
      <c r="K15" s="488"/>
      <c r="L15" s="488"/>
    </row>
    <row r="16" spans="2:12" ht="17.5">
      <c r="B16" s="1103" t="s">
        <v>3886</v>
      </c>
      <c r="C16" s="1103"/>
      <c r="D16" s="1103"/>
      <c r="E16" s="1103"/>
      <c r="F16" s="1107"/>
      <c r="H16" s="1105" t="s">
        <v>3887</v>
      </c>
      <c r="I16" s="1105"/>
      <c r="J16" s="1105"/>
      <c r="K16" s="1105"/>
      <c r="L16" s="1105"/>
    </row>
    <row r="17" spans="2:12">
      <c r="B17" s="482">
        <v>44937</v>
      </c>
      <c r="C17" s="483" t="s">
        <v>3888</v>
      </c>
      <c r="D17" s="486">
        <v>512921</v>
      </c>
      <c r="E17" s="486"/>
      <c r="F17" s="486">
        <f>F15-D17+E17</f>
        <v>88520837.899999991</v>
      </c>
      <c r="H17" s="480" t="s">
        <v>3854</v>
      </c>
      <c r="I17" s="480" t="s">
        <v>3698</v>
      </c>
      <c r="J17" s="480" t="s">
        <v>3855</v>
      </c>
      <c r="K17" s="480" t="s">
        <v>3856</v>
      </c>
      <c r="L17" s="480" t="s">
        <v>3857</v>
      </c>
    </row>
    <row r="18" spans="2:12">
      <c r="B18" s="482">
        <v>44937</v>
      </c>
      <c r="C18" s="483" t="s">
        <v>3889</v>
      </c>
      <c r="D18" s="486">
        <v>371396</v>
      </c>
      <c r="E18" s="486"/>
      <c r="F18" s="486">
        <f t="shared" ref="F18:F35" si="3">F17-D18+E18</f>
        <v>88149441.899999991</v>
      </c>
      <c r="H18" s="482">
        <v>45149</v>
      </c>
      <c r="I18" s="483" t="s">
        <v>3861</v>
      </c>
      <c r="J18" s="484"/>
      <c r="K18" s="484">
        <v>200000</v>
      </c>
      <c r="L18" s="484">
        <f>K18-J18</f>
        <v>200000</v>
      </c>
    </row>
    <row r="19" spans="2:12">
      <c r="B19" s="482">
        <v>45149</v>
      </c>
      <c r="C19" s="483" t="s">
        <v>3890</v>
      </c>
      <c r="D19" s="486">
        <v>200000</v>
      </c>
      <c r="E19" s="486"/>
      <c r="F19" s="486">
        <f t="shared" si="3"/>
        <v>87949441.899999991</v>
      </c>
      <c r="H19" s="482">
        <v>45149</v>
      </c>
      <c r="I19" s="483" t="s">
        <v>3891</v>
      </c>
      <c r="J19" s="484">
        <v>20000</v>
      </c>
      <c r="K19" s="484"/>
      <c r="L19" s="484">
        <f t="shared" ref="L19:L23" si="4">L18-J19+K19</f>
        <v>180000</v>
      </c>
    </row>
    <row r="20" spans="2:12">
      <c r="B20" s="482">
        <v>45149</v>
      </c>
      <c r="C20" s="483" t="s">
        <v>3892</v>
      </c>
      <c r="D20" s="486">
        <v>7500</v>
      </c>
      <c r="E20" s="486"/>
      <c r="F20" s="486">
        <f t="shared" si="3"/>
        <v>87941941.899999991</v>
      </c>
      <c r="H20" s="482" t="s">
        <v>3893</v>
      </c>
      <c r="I20" s="483" t="s">
        <v>3873</v>
      </c>
      <c r="J20" s="484">
        <v>50000</v>
      </c>
      <c r="K20" s="484"/>
      <c r="L20" s="484">
        <f t="shared" si="4"/>
        <v>130000</v>
      </c>
    </row>
    <row r="21" spans="2:12">
      <c r="B21" s="483" t="s">
        <v>3894</v>
      </c>
      <c r="C21" s="483" t="s">
        <v>3895</v>
      </c>
      <c r="D21" s="486"/>
      <c r="E21" s="486">
        <v>6052116</v>
      </c>
      <c r="F21" s="486">
        <f t="shared" si="3"/>
        <v>93994057.899999991</v>
      </c>
      <c r="H21" s="483" t="s">
        <v>3896</v>
      </c>
      <c r="I21" s="483" t="s">
        <v>3897</v>
      </c>
      <c r="J21" s="484">
        <v>20000</v>
      </c>
      <c r="K21" s="484"/>
      <c r="L21" s="484">
        <f t="shared" si="4"/>
        <v>110000</v>
      </c>
    </row>
    <row r="22" spans="2:12" ht="23">
      <c r="B22" s="483" t="s">
        <v>3893</v>
      </c>
      <c r="C22" s="483" t="s">
        <v>3898</v>
      </c>
      <c r="D22" s="486">
        <v>925000</v>
      </c>
      <c r="E22" s="486"/>
      <c r="F22" s="486">
        <f t="shared" si="3"/>
        <v>93069057.899999991</v>
      </c>
      <c r="H22" s="483" t="s">
        <v>3899</v>
      </c>
      <c r="I22" s="483" t="s">
        <v>3900</v>
      </c>
      <c r="J22" s="484">
        <v>25000</v>
      </c>
      <c r="K22" s="484"/>
      <c r="L22" s="484">
        <f t="shared" si="4"/>
        <v>85000</v>
      </c>
    </row>
    <row r="23" spans="2:12" ht="23">
      <c r="B23" s="483" t="s">
        <v>3893</v>
      </c>
      <c r="C23" s="483" t="s">
        <v>3901</v>
      </c>
      <c r="D23" s="486">
        <v>4901400</v>
      </c>
      <c r="E23" s="486"/>
      <c r="F23" s="486">
        <f t="shared" si="3"/>
        <v>88167657.899999991</v>
      </c>
      <c r="H23" s="483" t="s">
        <v>2863</v>
      </c>
      <c r="I23" s="483" t="s">
        <v>3902</v>
      </c>
      <c r="J23" s="484">
        <v>20000</v>
      </c>
      <c r="K23" s="484"/>
      <c r="L23" s="484">
        <f t="shared" si="4"/>
        <v>65000</v>
      </c>
    </row>
    <row r="24" spans="2:12">
      <c r="B24" s="483" t="s">
        <v>3893</v>
      </c>
      <c r="C24" s="483" t="s">
        <v>3903</v>
      </c>
      <c r="D24" s="486">
        <v>2349500</v>
      </c>
      <c r="E24" s="486"/>
      <c r="F24" s="486">
        <f t="shared" si="3"/>
        <v>85818157.899999991</v>
      </c>
      <c r="H24" s="1104" t="s">
        <v>3875</v>
      </c>
      <c r="I24" s="1104"/>
      <c r="J24" s="487">
        <f>SUM(J15:J23)</f>
        <v>135000</v>
      </c>
      <c r="K24" s="487">
        <f>SUM(K15:K23)</f>
        <v>200000</v>
      </c>
      <c r="L24" s="487">
        <f>K24-J24</f>
        <v>65000</v>
      </c>
    </row>
    <row r="25" spans="2:12">
      <c r="B25" s="483" t="s">
        <v>3904</v>
      </c>
      <c r="C25" s="483" t="s">
        <v>3905</v>
      </c>
      <c r="D25" s="486">
        <v>999000</v>
      </c>
      <c r="E25" s="486"/>
      <c r="F25" s="486">
        <f t="shared" si="3"/>
        <v>84819157.899999991</v>
      </c>
    </row>
    <row r="26" spans="2:12">
      <c r="B26" s="483" t="s">
        <v>3906</v>
      </c>
      <c r="C26" s="483" t="s">
        <v>3907</v>
      </c>
      <c r="D26" s="486">
        <v>595238</v>
      </c>
      <c r="E26" s="486"/>
      <c r="F26" s="486">
        <f t="shared" si="3"/>
        <v>84223919.899999991</v>
      </c>
    </row>
    <row r="27" spans="2:12">
      <c r="B27" s="483" t="s">
        <v>3906</v>
      </c>
      <c r="C27" s="483" t="s">
        <v>3908</v>
      </c>
      <c r="D27" s="486">
        <v>5500</v>
      </c>
      <c r="E27" s="486"/>
      <c r="F27" s="486">
        <f t="shared" si="3"/>
        <v>84218419.899999991</v>
      </c>
    </row>
    <row r="28" spans="2:12">
      <c r="B28" s="483" t="s">
        <v>3896</v>
      </c>
      <c r="C28" s="483" t="s">
        <v>3909</v>
      </c>
      <c r="D28" s="486">
        <v>3038575</v>
      </c>
      <c r="E28" s="486"/>
      <c r="F28" s="486">
        <f t="shared" si="3"/>
        <v>81179844.899999991</v>
      </c>
    </row>
    <row r="29" spans="2:12">
      <c r="B29" s="483" t="s">
        <v>3896</v>
      </c>
      <c r="C29" s="483" t="s">
        <v>3910</v>
      </c>
      <c r="D29" s="486">
        <v>2900</v>
      </c>
      <c r="E29" s="486"/>
      <c r="F29" s="486">
        <f t="shared" si="3"/>
        <v>81176944.899999991</v>
      </c>
    </row>
    <row r="30" spans="2:12">
      <c r="B30" s="483" t="s">
        <v>3899</v>
      </c>
      <c r="C30" s="483" t="s">
        <v>3911</v>
      </c>
      <c r="D30" s="486"/>
      <c r="E30" s="486">
        <v>1365000</v>
      </c>
      <c r="F30" s="486">
        <f t="shared" si="3"/>
        <v>82541944.899999991</v>
      </c>
    </row>
    <row r="31" spans="2:12">
      <c r="B31" s="483" t="s">
        <v>3912</v>
      </c>
      <c r="C31" s="483" t="s">
        <v>3913</v>
      </c>
      <c r="D31" s="486">
        <v>1945097</v>
      </c>
      <c r="E31" s="486"/>
      <c r="F31" s="486">
        <f t="shared" si="3"/>
        <v>80596847.899999991</v>
      </c>
    </row>
    <row r="32" spans="2:12" ht="23">
      <c r="B32" s="483" t="s">
        <v>3872</v>
      </c>
      <c r="C32" s="483" t="s">
        <v>3914</v>
      </c>
      <c r="D32" s="486">
        <v>4886347</v>
      </c>
      <c r="E32" s="486"/>
      <c r="F32" s="486">
        <f t="shared" si="3"/>
        <v>75710500.899999991</v>
      </c>
    </row>
    <row r="33" spans="2:12">
      <c r="B33" s="483" t="s">
        <v>3872</v>
      </c>
      <c r="C33" s="483" t="s">
        <v>3882</v>
      </c>
      <c r="D33" s="486">
        <v>12500</v>
      </c>
      <c r="E33" s="486"/>
      <c r="F33" s="486">
        <f t="shared" si="3"/>
        <v>75698000.899999991</v>
      </c>
    </row>
    <row r="34" spans="2:12">
      <c r="B34" s="483" t="s">
        <v>3872</v>
      </c>
      <c r="C34" s="483" t="s">
        <v>3883</v>
      </c>
      <c r="D34" s="486"/>
      <c r="E34" s="486">
        <v>42021.4</v>
      </c>
      <c r="F34" s="486">
        <f t="shared" si="3"/>
        <v>75740022.299999997</v>
      </c>
      <c r="G34" s="491">
        <f>SUM(E17:E35)</f>
        <v>7459137.4000000004</v>
      </c>
      <c r="H34" s="479" t="s">
        <v>3859</v>
      </c>
    </row>
    <row r="35" spans="2:12">
      <c r="B35" s="483" t="s">
        <v>3872</v>
      </c>
      <c r="C35" s="483" t="s">
        <v>3884</v>
      </c>
      <c r="D35" s="486">
        <v>8404.2800000000007</v>
      </c>
      <c r="E35" s="486"/>
      <c r="F35" s="492">
        <f t="shared" si="3"/>
        <v>75731618.019999996</v>
      </c>
      <c r="G35" s="491">
        <f>SUM(D17:D35)</f>
        <v>20761278.280000001</v>
      </c>
      <c r="H35" s="479" t="s">
        <v>3885</v>
      </c>
    </row>
    <row r="36" spans="2:12" ht="17.5">
      <c r="B36" s="1103" t="s">
        <v>3915</v>
      </c>
      <c r="C36" s="1103"/>
      <c r="D36" s="1103"/>
      <c r="E36" s="1103"/>
      <c r="F36" s="1103"/>
      <c r="H36" s="1105" t="s">
        <v>3916</v>
      </c>
      <c r="I36" s="1105"/>
      <c r="J36" s="1105"/>
      <c r="K36" s="1105"/>
      <c r="L36" s="1105"/>
    </row>
    <row r="37" spans="2:12">
      <c r="B37" s="482">
        <v>44938</v>
      </c>
      <c r="C37" s="483" t="s">
        <v>3917</v>
      </c>
      <c r="D37" s="486"/>
      <c r="E37" s="486">
        <v>3626000</v>
      </c>
      <c r="F37" s="486">
        <f>F35-D37+E37</f>
        <v>79357618.019999996</v>
      </c>
      <c r="H37" s="480" t="s">
        <v>3854</v>
      </c>
      <c r="I37" s="480" t="s">
        <v>3698</v>
      </c>
      <c r="J37" s="480" t="s">
        <v>3855</v>
      </c>
      <c r="K37" s="480" t="s">
        <v>3856</v>
      </c>
      <c r="L37" s="480" t="s">
        <v>3857</v>
      </c>
    </row>
    <row r="38" spans="2:12">
      <c r="B38" s="482">
        <v>44938</v>
      </c>
      <c r="C38" s="483" t="s">
        <v>3918</v>
      </c>
      <c r="D38" s="486"/>
      <c r="E38" s="486">
        <v>1262100</v>
      </c>
      <c r="F38" s="486">
        <f t="shared" ref="F38:F82" si="5">F37-D38+E38</f>
        <v>80619718.019999996</v>
      </c>
      <c r="H38" s="482" t="s">
        <v>2863</v>
      </c>
      <c r="I38" s="483" t="s">
        <v>3919</v>
      </c>
      <c r="J38" s="484"/>
      <c r="K38" s="484"/>
      <c r="L38" s="484">
        <v>65000</v>
      </c>
    </row>
    <row r="39" spans="2:12">
      <c r="B39" s="482">
        <v>44938</v>
      </c>
      <c r="C39" s="483" t="s">
        <v>3920</v>
      </c>
      <c r="D39" s="486"/>
      <c r="E39" s="486">
        <v>16082364</v>
      </c>
      <c r="F39" s="486">
        <f t="shared" si="5"/>
        <v>96702082.019999996</v>
      </c>
      <c r="H39" s="482" t="s">
        <v>3921</v>
      </c>
      <c r="I39" s="483" t="s">
        <v>3922</v>
      </c>
      <c r="J39" s="484"/>
      <c r="K39" s="484">
        <v>8100000</v>
      </c>
      <c r="L39" s="484">
        <f t="shared" ref="L39:L43" si="6">L38-J39+K39</f>
        <v>8165000</v>
      </c>
    </row>
    <row r="40" spans="2:12">
      <c r="B40" s="482">
        <v>44938</v>
      </c>
      <c r="C40" s="483" t="s">
        <v>3923</v>
      </c>
      <c r="D40" s="486"/>
      <c r="E40" s="486">
        <v>5849472</v>
      </c>
      <c r="F40" s="486">
        <f t="shared" si="5"/>
        <v>102551554.02</v>
      </c>
      <c r="H40" s="482" t="s">
        <v>3921</v>
      </c>
      <c r="I40" s="483" t="s">
        <v>3924</v>
      </c>
      <c r="J40" s="484">
        <v>8006200</v>
      </c>
      <c r="K40" s="484"/>
      <c r="L40" s="484">
        <f t="shared" si="6"/>
        <v>158800</v>
      </c>
    </row>
    <row r="41" spans="2:12">
      <c r="B41" s="482">
        <v>44938</v>
      </c>
      <c r="C41" s="483" t="s">
        <v>3925</v>
      </c>
      <c r="D41" s="486">
        <v>2327100</v>
      </c>
      <c r="E41" s="486"/>
      <c r="F41" s="486">
        <f t="shared" si="5"/>
        <v>100224454.02</v>
      </c>
      <c r="H41" s="483" t="s">
        <v>3926</v>
      </c>
      <c r="I41" s="483" t="s">
        <v>3927</v>
      </c>
      <c r="J41" s="484">
        <v>47000</v>
      </c>
      <c r="K41" s="484"/>
      <c r="L41" s="484">
        <f t="shared" si="6"/>
        <v>111800</v>
      </c>
    </row>
    <row r="42" spans="2:12">
      <c r="B42" s="482">
        <v>45028</v>
      </c>
      <c r="C42" s="483" t="s">
        <v>3928</v>
      </c>
      <c r="D42" s="486">
        <v>400000</v>
      </c>
      <c r="E42" s="486"/>
      <c r="F42" s="486">
        <f t="shared" si="5"/>
        <v>99824454.019999996</v>
      </c>
      <c r="H42" s="483" t="s">
        <v>2824</v>
      </c>
      <c r="I42" s="483" t="s">
        <v>3929</v>
      </c>
      <c r="J42" s="484">
        <v>20000</v>
      </c>
      <c r="K42" s="484"/>
      <c r="L42" s="484">
        <f t="shared" si="6"/>
        <v>91800</v>
      </c>
    </row>
    <row r="43" spans="2:12">
      <c r="B43" s="482">
        <v>45028</v>
      </c>
      <c r="C43" s="483" t="s">
        <v>3930</v>
      </c>
      <c r="D43" s="486">
        <v>1079021</v>
      </c>
      <c r="E43" s="486"/>
      <c r="F43" s="486">
        <f t="shared" si="5"/>
        <v>98745433.019999996</v>
      </c>
      <c r="H43" s="483" t="s">
        <v>3745</v>
      </c>
      <c r="I43" s="483" t="s">
        <v>3931</v>
      </c>
      <c r="J43" s="484">
        <v>10000</v>
      </c>
      <c r="K43" s="484"/>
      <c r="L43" s="484">
        <f t="shared" si="6"/>
        <v>81800</v>
      </c>
    </row>
    <row r="44" spans="2:12">
      <c r="B44" s="482">
        <v>45058</v>
      </c>
      <c r="C44" s="483" t="s">
        <v>3932</v>
      </c>
      <c r="D44" s="486">
        <v>3317369</v>
      </c>
      <c r="E44" s="486"/>
      <c r="F44" s="486">
        <f t="shared" si="5"/>
        <v>95428064.019999996</v>
      </c>
      <c r="H44" s="1104" t="s">
        <v>3875</v>
      </c>
      <c r="I44" s="1104"/>
      <c r="J44" s="487">
        <f>SUM(J38:J43)</f>
        <v>8083200</v>
      </c>
      <c r="K44" s="487">
        <f>SUM(K35:K43)</f>
        <v>8100000</v>
      </c>
      <c r="L44" s="487">
        <f>L43</f>
        <v>81800</v>
      </c>
    </row>
    <row r="45" spans="2:12">
      <c r="B45" s="482">
        <v>45089</v>
      </c>
      <c r="C45" s="483" t="s">
        <v>3933</v>
      </c>
      <c r="D45" s="486"/>
      <c r="E45" s="486">
        <v>6000000</v>
      </c>
      <c r="F45" s="486">
        <f t="shared" si="5"/>
        <v>101428064.02</v>
      </c>
    </row>
    <row r="46" spans="2:12">
      <c r="B46" s="482">
        <v>45089</v>
      </c>
      <c r="C46" s="483" t="s">
        <v>3934</v>
      </c>
      <c r="D46" s="486">
        <v>1600000</v>
      </c>
      <c r="E46" s="486"/>
      <c r="F46" s="486">
        <f t="shared" si="5"/>
        <v>99828064.019999996</v>
      </c>
    </row>
    <row r="47" spans="2:12">
      <c r="B47" s="482">
        <v>45089</v>
      </c>
      <c r="C47" s="483" t="s">
        <v>3737</v>
      </c>
      <c r="D47" s="486">
        <v>4357379</v>
      </c>
      <c r="E47" s="486"/>
      <c r="F47" s="486">
        <f t="shared" si="5"/>
        <v>95470685.019999996</v>
      </c>
    </row>
    <row r="48" spans="2:12">
      <c r="B48" s="482">
        <v>45089</v>
      </c>
      <c r="C48" s="483" t="s">
        <v>3935</v>
      </c>
      <c r="D48" s="486">
        <v>1003642</v>
      </c>
      <c r="E48" s="486"/>
      <c r="F48" s="486">
        <f t="shared" si="5"/>
        <v>94467043.019999996</v>
      </c>
    </row>
    <row r="49" spans="2:8">
      <c r="B49" s="483" t="s">
        <v>3921</v>
      </c>
      <c r="C49" s="483" t="s">
        <v>3936</v>
      </c>
      <c r="D49" s="486">
        <v>2500000</v>
      </c>
      <c r="E49" s="486"/>
      <c r="F49" s="486">
        <f t="shared" si="5"/>
        <v>91967043.019999996</v>
      </c>
    </row>
    <row r="50" spans="2:8">
      <c r="B50" s="483" t="s">
        <v>3921</v>
      </c>
      <c r="C50" s="483" t="s">
        <v>3936</v>
      </c>
      <c r="D50" s="486">
        <v>2500000</v>
      </c>
      <c r="E50" s="486"/>
      <c r="F50" s="486">
        <f t="shared" si="5"/>
        <v>89467043.019999996</v>
      </c>
    </row>
    <row r="51" spans="2:8">
      <c r="B51" s="483" t="s">
        <v>3921</v>
      </c>
      <c r="C51" s="483" t="s">
        <v>3936</v>
      </c>
      <c r="D51" s="486">
        <v>2500000</v>
      </c>
      <c r="E51" s="486"/>
      <c r="F51" s="486">
        <f t="shared" si="5"/>
        <v>86967043.019999996</v>
      </c>
    </row>
    <row r="52" spans="2:8">
      <c r="B52" s="483" t="s">
        <v>3921</v>
      </c>
      <c r="C52" s="483" t="s">
        <v>3936</v>
      </c>
      <c r="D52" s="486">
        <v>600000</v>
      </c>
      <c r="E52" s="486"/>
      <c r="F52" s="486">
        <f t="shared" si="5"/>
        <v>86367043.019999996</v>
      </c>
    </row>
    <row r="53" spans="2:8">
      <c r="B53" s="483" t="s">
        <v>3926</v>
      </c>
      <c r="C53" s="483" t="s">
        <v>3937</v>
      </c>
      <c r="D53" s="486"/>
      <c r="E53" s="486">
        <v>11120000</v>
      </c>
      <c r="F53" s="486">
        <f t="shared" si="5"/>
        <v>97487043.019999996</v>
      </c>
    </row>
    <row r="54" spans="2:8">
      <c r="B54" s="483" t="s">
        <v>3926</v>
      </c>
      <c r="C54" s="483" t="s">
        <v>3938</v>
      </c>
      <c r="D54" s="486">
        <v>12500000</v>
      </c>
      <c r="E54" s="486"/>
      <c r="F54" s="486">
        <f t="shared" si="5"/>
        <v>84987043.019999996</v>
      </c>
    </row>
    <row r="55" spans="2:8">
      <c r="B55" s="483" t="s">
        <v>3926</v>
      </c>
      <c r="C55" s="483" t="s">
        <v>3939</v>
      </c>
      <c r="D55" s="486">
        <v>25051601</v>
      </c>
      <c r="E55" s="486"/>
      <c r="F55" s="486">
        <f t="shared" si="5"/>
        <v>59935442.019999996</v>
      </c>
    </row>
    <row r="56" spans="2:8">
      <c r="B56" s="483" t="s">
        <v>3926</v>
      </c>
      <c r="C56" s="483" t="s">
        <v>3940</v>
      </c>
      <c r="D56" s="486">
        <v>550000</v>
      </c>
      <c r="E56" s="486"/>
      <c r="F56" s="486">
        <f t="shared" si="5"/>
        <v>59385442.019999996</v>
      </c>
    </row>
    <row r="57" spans="2:8">
      <c r="B57" s="483" t="s">
        <v>3941</v>
      </c>
      <c r="C57" s="483" t="s">
        <v>3942</v>
      </c>
      <c r="D57" s="486">
        <v>762948</v>
      </c>
      <c r="E57" s="486"/>
      <c r="F57" s="486">
        <f t="shared" si="5"/>
        <v>58622494.019999996</v>
      </c>
    </row>
    <row r="58" spans="2:8">
      <c r="B58" s="483" t="s">
        <v>3745</v>
      </c>
      <c r="C58" s="483" t="s">
        <v>3943</v>
      </c>
      <c r="D58" s="486">
        <v>5500</v>
      </c>
      <c r="E58" s="486"/>
      <c r="F58" s="486">
        <f t="shared" si="5"/>
        <v>58616994.019999996</v>
      </c>
      <c r="G58" s="491">
        <f>SUM(E37:E66)</f>
        <v>47603636.409999996</v>
      </c>
      <c r="H58" s="479" t="s">
        <v>3859</v>
      </c>
    </row>
    <row r="59" spans="2:8">
      <c r="B59" s="483" t="s">
        <v>2964</v>
      </c>
      <c r="C59" s="483" t="s">
        <v>3944</v>
      </c>
      <c r="D59" s="486"/>
      <c r="E59" s="486">
        <v>3626000</v>
      </c>
      <c r="F59" s="486">
        <f t="shared" si="5"/>
        <v>62242994.019999996</v>
      </c>
      <c r="G59" s="491">
        <f>SUM(D37:D66)</f>
        <v>68064913.079999998</v>
      </c>
      <c r="H59" s="479" t="s">
        <v>3885</v>
      </c>
    </row>
    <row r="60" spans="2:8">
      <c r="B60" s="483" t="s">
        <v>2964</v>
      </c>
      <c r="C60" s="483" t="s">
        <v>3945</v>
      </c>
      <c r="D60" s="486">
        <v>1970250</v>
      </c>
      <c r="E60" s="486"/>
      <c r="F60" s="486">
        <f t="shared" si="5"/>
        <v>60272744.019999996</v>
      </c>
    </row>
    <row r="61" spans="2:8">
      <c r="B61" s="483" t="s">
        <v>2964</v>
      </c>
      <c r="C61" s="483" t="s">
        <v>3946</v>
      </c>
      <c r="D61" s="486">
        <v>2500</v>
      </c>
      <c r="E61" s="486"/>
      <c r="F61" s="486">
        <f t="shared" si="5"/>
        <v>60270244.019999996</v>
      </c>
    </row>
    <row r="62" spans="2:8">
      <c r="B62" s="483" t="s">
        <v>2964</v>
      </c>
      <c r="C62" s="483" t="s">
        <v>3947</v>
      </c>
      <c r="D62" s="486">
        <v>2782023</v>
      </c>
      <c r="E62" s="486"/>
      <c r="F62" s="486">
        <f t="shared" si="5"/>
        <v>57488221.019999996</v>
      </c>
      <c r="G62" s="491"/>
    </row>
    <row r="63" spans="2:8">
      <c r="B63" s="483" t="s">
        <v>2865</v>
      </c>
      <c r="C63" s="483" t="s">
        <v>3948</v>
      </c>
      <c r="D63" s="486">
        <v>2235540</v>
      </c>
      <c r="E63" s="486"/>
      <c r="F63" s="486">
        <f t="shared" si="5"/>
        <v>55252681.019999996</v>
      </c>
      <c r="G63" s="491"/>
    </row>
    <row r="64" spans="2:8">
      <c r="B64" s="483" t="s">
        <v>3949</v>
      </c>
      <c r="C64" s="483" t="s">
        <v>3882</v>
      </c>
      <c r="D64" s="486">
        <v>12500</v>
      </c>
      <c r="E64" s="486"/>
      <c r="F64" s="486">
        <f t="shared" si="5"/>
        <v>55240181.019999996</v>
      </c>
    </row>
    <row r="65" spans="2:12">
      <c r="B65" s="483" t="s">
        <v>3949</v>
      </c>
      <c r="C65" s="483" t="s">
        <v>3883</v>
      </c>
      <c r="D65" s="486"/>
      <c r="E65" s="486">
        <v>37700.410000000003</v>
      </c>
      <c r="F65" s="486">
        <f t="shared" si="5"/>
        <v>55277881.429999992</v>
      </c>
    </row>
    <row r="66" spans="2:12">
      <c r="B66" s="483" t="s">
        <v>3949</v>
      </c>
      <c r="C66" s="483" t="s">
        <v>3884</v>
      </c>
      <c r="D66" s="486">
        <v>7540.08</v>
      </c>
      <c r="E66" s="486"/>
      <c r="F66" s="656">
        <f t="shared" si="5"/>
        <v>55270341.349999994</v>
      </c>
    </row>
    <row r="67" spans="2:12" ht="17.5">
      <c r="B67" s="1103" t="s">
        <v>3950</v>
      </c>
      <c r="C67" s="1103"/>
      <c r="D67" s="1103"/>
      <c r="E67" s="1103"/>
      <c r="F67" s="1103"/>
      <c r="H67" s="1105" t="s">
        <v>3951</v>
      </c>
      <c r="I67" s="1105"/>
      <c r="J67" s="1105"/>
      <c r="K67" s="1105"/>
      <c r="L67" s="1105"/>
    </row>
    <row r="68" spans="2:12">
      <c r="B68" s="482">
        <v>45323</v>
      </c>
      <c r="C68" s="483" t="s">
        <v>3952</v>
      </c>
      <c r="D68" s="486">
        <v>2488999</v>
      </c>
      <c r="E68" s="486"/>
      <c r="F68" s="486">
        <f>F66-D68+E68</f>
        <v>52781342.349999994</v>
      </c>
      <c r="H68" s="480" t="s">
        <v>3854</v>
      </c>
      <c r="I68" s="480" t="s">
        <v>3698</v>
      </c>
      <c r="J68" s="480" t="s">
        <v>3855</v>
      </c>
      <c r="K68" s="480" t="s">
        <v>3856</v>
      </c>
      <c r="L68" s="480" t="s">
        <v>3857</v>
      </c>
    </row>
    <row r="69" spans="2:12">
      <c r="B69" s="482">
        <v>45323</v>
      </c>
      <c r="C69" s="483" t="s">
        <v>3953</v>
      </c>
      <c r="D69" s="486">
        <v>6798500</v>
      </c>
      <c r="E69" s="486"/>
      <c r="F69" s="486">
        <f>F68-D69+E69</f>
        <v>45982842.349999994</v>
      </c>
      <c r="H69" s="482" t="s">
        <v>3949</v>
      </c>
      <c r="I69" s="483" t="s">
        <v>3954</v>
      </c>
      <c r="J69" s="484"/>
      <c r="K69" s="484"/>
      <c r="L69" s="484">
        <v>81800</v>
      </c>
    </row>
    <row r="70" spans="2:12" ht="19.75" customHeight="1">
      <c r="B70" s="482">
        <v>45383</v>
      </c>
      <c r="C70" s="483" t="s">
        <v>3955</v>
      </c>
      <c r="D70" s="486"/>
      <c r="E70" s="486">
        <v>31380652</v>
      </c>
      <c r="F70" s="486">
        <f t="shared" si="5"/>
        <v>77363494.349999994</v>
      </c>
      <c r="H70" s="482">
        <v>45566</v>
      </c>
      <c r="I70" s="483" t="s">
        <v>3956</v>
      </c>
      <c r="J70" s="484">
        <v>42000</v>
      </c>
      <c r="K70" s="484"/>
      <c r="L70" s="484">
        <f t="shared" ref="L70:L74" si="7">L69-J70+K70</f>
        <v>39800</v>
      </c>
    </row>
    <row r="71" spans="2:12">
      <c r="B71" s="482">
        <v>45383</v>
      </c>
      <c r="C71" s="483" t="s">
        <v>3957</v>
      </c>
      <c r="D71" s="486">
        <v>410000</v>
      </c>
      <c r="E71" s="486"/>
      <c r="F71" s="486">
        <f t="shared" si="5"/>
        <v>76953494.349999994</v>
      </c>
      <c r="H71" s="482"/>
      <c r="I71" s="483"/>
      <c r="J71" s="484"/>
      <c r="K71" s="484"/>
      <c r="L71" s="484">
        <f t="shared" si="7"/>
        <v>39800</v>
      </c>
    </row>
    <row r="72" spans="2:12">
      <c r="B72" s="482">
        <v>45383</v>
      </c>
      <c r="C72" s="483" t="s">
        <v>3876</v>
      </c>
      <c r="D72" s="486">
        <v>2500</v>
      </c>
      <c r="E72" s="486"/>
      <c r="F72" s="486">
        <f t="shared" si="5"/>
        <v>76950994.349999994</v>
      </c>
      <c r="H72" s="483"/>
      <c r="I72" s="483"/>
      <c r="J72" s="484"/>
      <c r="K72" s="484"/>
      <c r="L72" s="484">
        <f t="shared" si="7"/>
        <v>39800</v>
      </c>
    </row>
    <row r="73" spans="2:12">
      <c r="B73" s="482">
        <v>45383</v>
      </c>
      <c r="C73" s="483" t="s">
        <v>3958</v>
      </c>
      <c r="D73" s="486">
        <v>2950000</v>
      </c>
      <c r="E73" s="486"/>
      <c r="F73" s="486">
        <f t="shared" si="5"/>
        <v>74000994.349999994</v>
      </c>
      <c r="H73" s="483"/>
      <c r="I73" s="483"/>
      <c r="J73" s="484"/>
      <c r="K73" s="484"/>
      <c r="L73" s="484">
        <f t="shared" si="7"/>
        <v>39800</v>
      </c>
    </row>
    <row r="74" spans="2:12">
      <c r="B74" s="482">
        <v>45383</v>
      </c>
      <c r="C74" s="483" t="s">
        <v>3876</v>
      </c>
      <c r="D74" s="486">
        <v>2500</v>
      </c>
      <c r="E74" s="486"/>
      <c r="F74" s="486">
        <f t="shared" si="5"/>
        <v>73998494.349999994</v>
      </c>
      <c r="H74" s="483"/>
      <c r="I74" s="483"/>
      <c r="J74" s="484"/>
      <c r="K74" s="484"/>
      <c r="L74" s="484">
        <f t="shared" si="7"/>
        <v>39800</v>
      </c>
    </row>
    <row r="75" spans="2:12">
      <c r="B75" s="482">
        <v>45383</v>
      </c>
      <c r="C75" s="483" t="s">
        <v>3959</v>
      </c>
      <c r="D75" s="486">
        <v>22051500</v>
      </c>
      <c r="E75" s="486"/>
      <c r="F75" s="486">
        <f t="shared" si="5"/>
        <v>51946994.349999994</v>
      </c>
      <c r="H75" s="1104" t="s">
        <v>3875</v>
      </c>
      <c r="I75" s="1104"/>
      <c r="J75" s="487">
        <f>SUM(J69:J74)</f>
        <v>42000</v>
      </c>
      <c r="K75" s="487">
        <f>SUM(K66:K74)</f>
        <v>0</v>
      </c>
      <c r="L75" s="487">
        <f>L74</f>
        <v>39800</v>
      </c>
    </row>
    <row r="76" spans="2:12">
      <c r="B76" s="482">
        <v>45444</v>
      </c>
      <c r="C76" s="483" t="s">
        <v>3960</v>
      </c>
      <c r="D76" s="486">
        <v>300000</v>
      </c>
      <c r="E76" s="486"/>
      <c r="F76" s="486">
        <f t="shared" si="5"/>
        <v>51646994.349999994</v>
      </c>
    </row>
    <row r="77" spans="2:12">
      <c r="B77" s="482">
        <v>45444</v>
      </c>
      <c r="C77" s="483" t="s">
        <v>3961</v>
      </c>
      <c r="D77" s="486">
        <v>700000</v>
      </c>
      <c r="E77" s="486"/>
      <c r="F77" s="486">
        <f t="shared" si="5"/>
        <v>50946994.349999994</v>
      </c>
    </row>
    <row r="78" spans="2:12">
      <c r="B78" s="482">
        <v>45597</v>
      </c>
      <c r="C78" s="483" t="s">
        <v>3962</v>
      </c>
      <c r="D78" s="486">
        <v>762949</v>
      </c>
      <c r="E78" s="486"/>
      <c r="F78" s="486">
        <f t="shared" si="5"/>
        <v>50184045.349999994</v>
      </c>
    </row>
    <row r="79" spans="2:12">
      <c r="B79" s="483"/>
      <c r="C79" s="483"/>
      <c r="D79" s="486"/>
      <c r="E79" s="486"/>
      <c r="F79" s="486">
        <f t="shared" si="5"/>
        <v>50184045.349999994</v>
      </c>
    </row>
    <row r="80" spans="2:12">
      <c r="B80" s="483"/>
      <c r="C80" s="483"/>
      <c r="D80" s="486"/>
      <c r="E80" s="486"/>
      <c r="F80" s="486">
        <f t="shared" si="5"/>
        <v>50184045.349999994</v>
      </c>
    </row>
    <row r="81" spans="2:6">
      <c r="B81" s="483"/>
      <c r="C81" s="483"/>
      <c r="D81" s="486"/>
      <c r="E81" s="486"/>
      <c r="F81" s="486">
        <f t="shared" si="5"/>
        <v>50184045.349999994</v>
      </c>
    </row>
    <row r="82" spans="2:6">
      <c r="B82" s="483"/>
      <c r="C82" s="483"/>
      <c r="D82" s="486"/>
      <c r="E82" s="486"/>
      <c r="F82" s="486">
        <f t="shared" si="5"/>
        <v>50184045.349999994</v>
      </c>
    </row>
    <row r="83" spans="2:6">
      <c r="B83" s="483"/>
      <c r="C83" s="483"/>
      <c r="D83" s="486"/>
      <c r="E83" s="486"/>
      <c r="F83" s="486">
        <f t="shared" ref="F83:F105" si="8">F82-D83+E83</f>
        <v>50184045.349999994</v>
      </c>
    </row>
    <row r="84" spans="2:6">
      <c r="B84" s="483"/>
      <c r="C84" s="483"/>
      <c r="D84" s="486"/>
      <c r="E84" s="486"/>
      <c r="F84" s="486">
        <f t="shared" si="8"/>
        <v>50184045.349999994</v>
      </c>
    </row>
    <row r="85" spans="2:6">
      <c r="B85" s="483"/>
      <c r="C85" s="483"/>
      <c r="D85" s="486"/>
      <c r="E85" s="486"/>
      <c r="F85" s="486">
        <f t="shared" si="8"/>
        <v>50184045.349999994</v>
      </c>
    </row>
    <row r="86" spans="2:6">
      <c r="B86" s="483"/>
      <c r="C86" s="483"/>
      <c r="D86" s="486"/>
      <c r="E86" s="486"/>
      <c r="F86" s="486">
        <f t="shared" si="8"/>
        <v>50184045.349999994</v>
      </c>
    </row>
    <row r="87" spans="2:6">
      <c r="B87" s="483"/>
      <c r="C87" s="483"/>
      <c r="D87" s="486"/>
      <c r="E87" s="486"/>
      <c r="F87" s="486">
        <f t="shared" si="8"/>
        <v>50184045.349999994</v>
      </c>
    </row>
    <row r="88" spans="2:6">
      <c r="B88" s="483"/>
      <c r="C88" s="483"/>
      <c r="D88" s="486"/>
      <c r="E88" s="486"/>
      <c r="F88" s="486">
        <f t="shared" si="8"/>
        <v>50184045.349999994</v>
      </c>
    </row>
    <row r="89" spans="2:6">
      <c r="B89" s="483"/>
      <c r="C89" s="483"/>
      <c r="D89" s="486"/>
      <c r="E89" s="486"/>
      <c r="F89" s="486">
        <f t="shared" si="8"/>
        <v>50184045.349999994</v>
      </c>
    </row>
    <row r="90" spans="2:6">
      <c r="B90" s="483"/>
      <c r="C90" s="483"/>
      <c r="D90" s="486"/>
      <c r="E90" s="486"/>
      <c r="F90" s="486">
        <f t="shared" si="8"/>
        <v>50184045.349999994</v>
      </c>
    </row>
    <row r="91" spans="2:6">
      <c r="B91" s="483"/>
      <c r="C91" s="483"/>
      <c r="D91" s="486"/>
      <c r="E91" s="486"/>
      <c r="F91" s="486">
        <f t="shared" si="8"/>
        <v>50184045.349999994</v>
      </c>
    </row>
    <row r="92" spans="2:6">
      <c r="B92" s="483"/>
      <c r="C92" s="483"/>
      <c r="D92" s="486"/>
      <c r="E92" s="486"/>
      <c r="F92" s="486">
        <f t="shared" si="8"/>
        <v>50184045.349999994</v>
      </c>
    </row>
    <row r="93" spans="2:6">
      <c r="B93" s="483"/>
      <c r="C93" s="483"/>
      <c r="D93" s="486"/>
      <c r="E93" s="486"/>
      <c r="F93" s="486">
        <f t="shared" si="8"/>
        <v>50184045.349999994</v>
      </c>
    </row>
    <row r="94" spans="2:6">
      <c r="B94" s="483"/>
      <c r="C94" s="483"/>
      <c r="D94" s="486"/>
      <c r="E94" s="486"/>
      <c r="F94" s="486">
        <f t="shared" si="8"/>
        <v>50184045.349999994</v>
      </c>
    </row>
    <row r="95" spans="2:6">
      <c r="B95" s="483"/>
      <c r="C95" s="483"/>
      <c r="D95" s="486"/>
      <c r="E95" s="486"/>
      <c r="F95" s="486">
        <f t="shared" si="8"/>
        <v>50184045.349999994</v>
      </c>
    </row>
    <row r="96" spans="2:6">
      <c r="B96" s="483"/>
      <c r="C96" s="483"/>
      <c r="D96" s="486"/>
      <c r="E96" s="486"/>
      <c r="F96" s="486">
        <f t="shared" si="8"/>
        <v>50184045.349999994</v>
      </c>
    </row>
    <row r="97" spans="2:6">
      <c r="B97" s="483"/>
      <c r="C97" s="483"/>
      <c r="D97" s="486"/>
      <c r="E97" s="486"/>
      <c r="F97" s="486">
        <f t="shared" si="8"/>
        <v>50184045.349999994</v>
      </c>
    </row>
    <row r="98" spans="2:6">
      <c r="B98" s="483"/>
      <c r="C98" s="483"/>
      <c r="D98" s="486"/>
      <c r="E98" s="486"/>
      <c r="F98" s="486">
        <f t="shared" si="8"/>
        <v>50184045.349999994</v>
      </c>
    </row>
    <row r="99" spans="2:6">
      <c r="B99" s="483"/>
      <c r="C99" s="483"/>
      <c r="D99" s="486"/>
      <c r="E99" s="486"/>
      <c r="F99" s="486">
        <f t="shared" si="8"/>
        <v>50184045.349999994</v>
      </c>
    </row>
    <row r="100" spans="2:6">
      <c r="B100" s="483"/>
      <c r="C100" s="483"/>
      <c r="D100" s="486"/>
      <c r="E100" s="486"/>
      <c r="F100" s="486">
        <f t="shared" si="8"/>
        <v>50184045.349999994</v>
      </c>
    </row>
    <row r="101" spans="2:6">
      <c r="B101" s="483"/>
      <c r="C101" s="483"/>
      <c r="D101" s="486"/>
      <c r="E101" s="486"/>
      <c r="F101" s="486">
        <f t="shared" si="8"/>
        <v>50184045.349999994</v>
      </c>
    </row>
    <row r="102" spans="2:6">
      <c r="B102" s="483"/>
      <c r="C102" s="483"/>
      <c r="D102" s="486"/>
      <c r="E102" s="486"/>
      <c r="F102" s="486">
        <f t="shared" si="8"/>
        <v>50184045.349999994</v>
      </c>
    </row>
    <row r="103" spans="2:6">
      <c r="B103" s="483"/>
      <c r="C103" s="483"/>
      <c r="D103" s="486"/>
      <c r="E103" s="486"/>
      <c r="F103" s="486">
        <f t="shared" si="8"/>
        <v>50184045.349999994</v>
      </c>
    </row>
    <row r="104" spans="2:6">
      <c r="B104" s="483"/>
      <c r="C104" s="483"/>
      <c r="D104" s="486"/>
      <c r="E104" s="486"/>
      <c r="F104" s="486">
        <f t="shared" si="8"/>
        <v>50184045.349999994</v>
      </c>
    </row>
    <row r="105" spans="2:6">
      <c r="B105" s="483"/>
      <c r="C105" s="483"/>
      <c r="D105" s="486"/>
      <c r="E105" s="486"/>
      <c r="F105" s="486">
        <f t="shared" si="8"/>
        <v>50184045.349999994</v>
      </c>
    </row>
    <row r="106" spans="2:6">
      <c r="D106" s="488"/>
      <c r="E106" s="488"/>
      <c r="F106" s="488"/>
    </row>
    <row r="107" spans="2:6">
      <c r="D107" s="488"/>
      <c r="E107" s="488"/>
      <c r="F107" s="488"/>
    </row>
    <row r="108" spans="2:6">
      <c r="D108" s="488"/>
      <c r="E108" s="488"/>
      <c r="F108" s="488"/>
    </row>
    <row r="109" spans="2:6">
      <c r="D109" s="488"/>
      <c r="E109" s="488"/>
      <c r="F109" s="488"/>
    </row>
    <row r="110" spans="2:6">
      <c r="D110" s="488"/>
      <c r="E110" s="488"/>
      <c r="F110" s="488"/>
    </row>
    <row r="111" spans="2:6">
      <c r="D111" s="488"/>
      <c r="E111" s="488"/>
      <c r="F111" s="488"/>
    </row>
    <row r="112" spans="2:6">
      <c r="D112" s="488"/>
      <c r="E112" s="488"/>
      <c r="F112" s="488"/>
    </row>
    <row r="113" spans="4:6">
      <c r="D113" s="488"/>
      <c r="E113" s="488"/>
      <c r="F113" s="488"/>
    </row>
    <row r="114" spans="4:6">
      <c r="D114" s="488"/>
      <c r="E114" s="488"/>
      <c r="F114" s="488"/>
    </row>
    <row r="115" spans="4:6">
      <c r="D115" s="488"/>
      <c r="E115" s="488"/>
      <c r="F115" s="488"/>
    </row>
  </sheetData>
  <mergeCells count="13">
    <mergeCell ref="B1:F1"/>
    <mergeCell ref="H1:L1"/>
    <mergeCell ref="H16:L16"/>
    <mergeCell ref="B36:F36"/>
    <mergeCell ref="H44:I44"/>
    <mergeCell ref="B2:F2"/>
    <mergeCell ref="H24:I24"/>
    <mergeCell ref="B16:F16"/>
    <mergeCell ref="B67:F67"/>
    <mergeCell ref="H8:I8"/>
    <mergeCell ref="H36:L36"/>
    <mergeCell ref="H67:L67"/>
    <mergeCell ref="H75:I75"/>
  </mergeCells>
  <pageMargins left="0.75" right="0.75" top="1" bottom="1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1"/>
  <sheetViews>
    <sheetView zoomScale="58" workbookViewId="0">
      <pane xSplit="4" ySplit="4" topLeftCell="E7" activePane="bottomRight" state="frozen"/>
      <selection pane="topRight"/>
      <selection pane="bottomLeft"/>
      <selection pane="bottomRight" activeCell="B10" sqref="B10"/>
    </sheetView>
  </sheetViews>
  <sheetFormatPr defaultColWidth="9" defaultRowHeight="14"/>
  <cols>
    <col min="1" max="1" width="4.75" style="493" customWidth="1"/>
    <col min="2" max="2" width="9.33203125" style="493" customWidth="1"/>
    <col min="3" max="3" width="10.75" style="493" customWidth="1"/>
    <col min="4" max="4" width="22.58203125" style="493" customWidth="1"/>
    <col min="5" max="5" width="27.5" style="493" customWidth="1"/>
    <col min="6" max="6" width="8.58203125" style="493"/>
    <col min="7" max="7" width="17" style="493" customWidth="1"/>
    <col min="8" max="8" width="17.08203125" style="493" customWidth="1"/>
    <col min="9" max="9" width="14.5" style="493" customWidth="1"/>
    <col min="10" max="10" width="24" style="493" customWidth="1"/>
  </cols>
  <sheetData>
    <row r="1" spans="1:10" ht="30">
      <c r="A1" s="1108" t="s">
        <v>3963</v>
      </c>
      <c r="B1" s="1108"/>
      <c r="C1" s="1108"/>
      <c r="D1" s="1108"/>
      <c r="E1" s="1108"/>
      <c r="F1" s="1108"/>
      <c r="G1" s="1108"/>
      <c r="H1" s="1108"/>
      <c r="I1" s="1108"/>
      <c r="J1" s="1108"/>
    </row>
    <row r="2" spans="1:10">
      <c r="A2" s="1109" t="s">
        <v>3964</v>
      </c>
      <c r="B2" s="1109"/>
      <c r="C2" s="1109"/>
      <c r="D2" s="1109"/>
      <c r="E2" s="1109"/>
      <c r="F2" s="1109"/>
      <c r="G2" s="1109"/>
      <c r="H2" s="1109"/>
      <c r="I2" s="1109"/>
      <c r="J2" s="1109"/>
    </row>
    <row r="3" spans="1:10">
      <c r="A3" s="1110" t="s">
        <v>3965</v>
      </c>
      <c r="B3" s="1110"/>
      <c r="C3" s="1110"/>
      <c r="D3" s="1110"/>
      <c r="E3" s="1110"/>
      <c r="F3" s="1110"/>
      <c r="G3" s="1110"/>
      <c r="H3" s="1110"/>
      <c r="I3" s="1110"/>
      <c r="J3" s="1110"/>
    </row>
    <row r="4" spans="1:10" ht="28">
      <c r="A4" s="494" t="s">
        <v>1</v>
      </c>
      <c r="B4" s="494" t="s">
        <v>3966</v>
      </c>
      <c r="C4" s="494" t="s">
        <v>3967</v>
      </c>
      <c r="D4" s="494" t="s">
        <v>3968</v>
      </c>
      <c r="E4" s="494" t="s">
        <v>3969</v>
      </c>
      <c r="F4" s="494" t="s">
        <v>3970</v>
      </c>
      <c r="G4" s="494" t="s">
        <v>3971</v>
      </c>
      <c r="H4" s="494" t="s">
        <v>3972</v>
      </c>
      <c r="I4" s="494" t="s">
        <v>3973</v>
      </c>
      <c r="J4" s="494" t="s">
        <v>3389</v>
      </c>
    </row>
    <row r="5" spans="1:10" ht="42">
      <c r="A5" s="495">
        <v>1</v>
      </c>
      <c r="B5" s="496">
        <v>44938</v>
      </c>
      <c r="C5" s="495"/>
      <c r="D5" s="495" t="s">
        <v>3974</v>
      </c>
      <c r="E5" s="495" t="s">
        <v>3975</v>
      </c>
      <c r="F5" s="495" t="s">
        <v>3976</v>
      </c>
      <c r="G5" s="497" t="s">
        <v>3977</v>
      </c>
      <c r="H5" s="495" t="s">
        <v>3978</v>
      </c>
      <c r="I5" s="495" t="s">
        <v>3979</v>
      </c>
      <c r="J5" s="495"/>
    </row>
    <row r="6" spans="1:10" ht="42">
      <c r="A6" s="495">
        <v>2</v>
      </c>
      <c r="B6" s="496">
        <v>44938</v>
      </c>
      <c r="C6" s="495"/>
      <c r="D6" s="495" t="s">
        <v>3980</v>
      </c>
      <c r="E6" s="495" t="s">
        <v>3981</v>
      </c>
      <c r="F6" s="495" t="s">
        <v>3982</v>
      </c>
      <c r="G6" s="497" t="s">
        <v>3983</v>
      </c>
      <c r="H6" s="495" t="s">
        <v>3984</v>
      </c>
      <c r="I6" s="495" t="s">
        <v>3979</v>
      </c>
      <c r="J6" s="495"/>
    </row>
    <row r="7" spans="1:10" ht="42">
      <c r="A7" s="495">
        <v>3</v>
      </c>
      <c r="B7" s="496">
        <v>44938</v>
      </c>
      <c r="C7" s="495"/>
      <c r="D7" s="495" t="s">
        <v>3985</v>
      </c>
      <c r="E7" s="495" t="s">
        <v>3986</v>
      </c>
      <c r="F7" s="495" t="s">
        <v>3987</v>
      </c>
      <c r="G7" s="497" t="s">
        <v>3988</v>
      </c>
      <c r="H7" s="495" t="s">
        <v>3989</v>
      </c>
      <c r="I7" s="495" t="s">
        <v>3990</v>
      </c>
      <c r="J7" s="495" t="s">
        <v>3991</v>
      </c>
    </row>
    <row r="8" spans="1:10">
      <c r="A8" s="1111" t="s">
        <v>3992</v>
      </c>
      <c r="B8" s="1111"/>
      <c r="C8" s="1111"/>
      <c r="D8" s="1111"/>
      <c r="E8" s="1111"/>
      <c r="F8" s="1111"/>
      <c r="G8" s="1111"/>
      <c r="H8" s="1111"/>
      <c r="I8" s="1111"/>
      <c r="J8" s="1111"/>
    </row>
    <row r="9" spans="1:10" ht="70">
      <c r="A9" s="495">
        <v>1</v>
      </c>
      <c r="B9" s="496">
        <v>45242</v>
      </c>
      <c r="C9" s="495"/>
      <c r="D9" s="495" t="s">
        <v>3993</v>
      </c>
      <c r="E9" s="495" t="s">
        <v>3994</v>
      </c>
      <c r="F9" s="495"/>
      <c r="G9" s="497" t="s">
        <v>3995</v>
      </c>
      <c r="H9" s="495"/>
      <c r="I9" s="495"/>
      <c r="J9" s="495"/>
    </row>
    <row r="10" spans="1:10" ht="56">
      <c r="A10" s="495">
        <v>2</v>
      </c>
      <c r="B10" s="495"/>
      <c r="C10" s="495"/>
      <c r="D10" s="495" t="s">
        <v>3996</v>
      </c>
      <c r="E10" s="495" t="s">
        <v>3997</v>
      </c>
      <c r="F10" s="495"/>
      <c r="G10" s="495">
        <v>81293559672</v>
      </c>
      <c r="H10" s="495" t="s">
        <v>3998</v>
      </c>
      <c r="I10" s="495"/>
      <c r="J10" s="495"/>
    </row>
    <row r="11" spans="1:10" ht="42">
      <c r="A11" s="495">
        <v>3</v>
      </c>
      <c r="B11" s="495"/>
      <c r="C11" s="495"/>
      <c r="D11" s="495" t="s">
        <v>3999</v>
      </c>
      <c r="E11" s="495" t="s">
        <v>4000</v>
      </c>
      <c r="F11" s="495"/>
      <c r="G11" s="495"/>
      <c r="H11" s="495"/>
      <c r="I11" s="495"/>
      <c r="J11" s="495"/>
    </row>
    <row r="12" spans="1:10" ht="42">
      <c r="A12" s="495">
        <v>4</v>
      </c>
      <c r="B12" s="495"/>
      <c r="C12" s="495"/>
      <c r="D12" s="495" t="s">
        <v>4001</v>
      </c>
      <c r="E12" s="495" t="s">
        <v>4002</v>
      </c>
      <c r="F12" s="495"/>
      <c r="G12" s="497" t="s">
        <v>4003</v>
      </c>
      <c r="H12" s="495" t="s">
        <v>4004</v>
      </c>
      <c r="I12" s="495"/>
      <c r="J12" s="495"/>
    </row>
    <row r="13" spans="1:10" ht="56">
      <c r="A13" s="495">
        <v>5</v>
      </c>
      <c r="B13" s="495"/>
      <c r="C13" s="495"/>
      <c r="D13" s="495" t="s">
        <v>4005</v>
      </c>
      <c r="E13" s="495" t="s">
        <v>4006</v>
      </c>
      <c r="F13" s="495"/>
      <c r="G13" s="497" t="s">
        <v>4007</v>
      </c>
      <c r="H13" s="495" t="s">
        <v>4008</v>
      </c>
      <c r="I13" s="495"/>
      <c r="J13" s="495"/>
    </row>
    <row r="14" spans="1:10" ht="56">
      <c r="A14" s="495">
        <v>6</v>
      </c>
      <c r="B14" s="495"/>
      <c r="C14" s="495"/>
      <c r="D14" s="495" t="s">
        <v>4009</v>
      </c>
      <c r="E14" s="495" t="s">
        <v>4010</v>
      </c>
      <c r="F14" s="495"/>
      <c r="G14" s="495"/>
      <c r="H14" s="495" t="s">
        <v>4011</v>
      </c>
      <c r="I14" s="495"/>
      <c r="J14" s="495"/>
    </row>
    <row r="15" spans="1:10" ht="42">
      <c r="A15" s="495">
        <v>7</v>
      </c>
      <c r="B15" s="495"/>
      <c r="C15" s="495"/>
      <c r="D15" s="495" t="s">
        <v>4012</v>
      </c>
      <c r="E15" s="495" t="s">
        <v>4013</v>
      </c>
      <c r="F15" s="495"/>
      <c r="G15" s="497" t="s">
        <v>4014</v>
      </c>
      <c r="H15" s="495" t="s">
        <v>4015</v>
      </c>
      <c r="I15" s="495"/>
      <c r="J15" s="495"/>
    </row>
    <row r="16" spans="1:10" ht="84">
      <c r="A16" s="495">
        <v>8</v>
      </c>
      <c r="B16" s="495"/>
      <c r="C16" s="495"/>
      <c r="D16" s="495" t="s">
        <v>4016</v>
      </c>
      <c r="E16" s="495" t="s">
        <v>4017</v>
      </c>
      <c r="F16" s="495"/>
      <c r="G16" s="497" t="s">
        <v>4018</v>
      </c>
      <c r="H16" s="495" t="s">
        <v>4019</v>
      </c>
      <c r="I16" s="495"/>
      <c r="J16" s="495"/>
    </row>
    <row r="17" spans="1:10" ht="56">
      <c r="A17" s="495">
        <v>9</v>
      </c>
      <c r="B17" s="495"/>
      <c r="C17" s="495"/>
      <c r="D17" s="495" t="s">
        <v>4020</v>
      </c>
      <c r="E17" s="495" t="s">
        <v>4021</v>
      </c>
      <c r="F17" s="495"/>
      <c r="G17" s="497" t="s">
        <v>4022</v>
      </c>
      <c r="H17" s="495" t="s">
        <v>4023</v>
      </c>
      <c r="I17" s="495"/>
      <c r="J17" s="495"/>
    </row>
    <row r="18" spans="1:10" ht="42">
      <c r="A18" s="495">
        <v>10</v>
      </c>
      <c r="B18" s="495"/>
      <c r="C18" s="495"/>
      <c r="D18" s="495" t="s">
        <v>4024</v>
      </c>
      <c r="E18" s="495" t="s">
        <v>4025</v>
      </c>
      <c r="F18" s="495"/>
      <c r="G18" s="497" t="s">
        <v>4026</v>
      </c>
      <c r="H18" s="495" t="s">
        <v>4027</v>
      </c>
      <c r="I18" s="495"/>
      <c r="J18" s="495"/>
    </row>
    <row r="19" spans="1:10">
      <c r="A19" s="498"/>
      <c r="B19" s="498"/>
      <c r="C19" s="498"/>
      <c r="D19" s="498"/>
      <c r="E19" s="498"/>
      <c r="F19" s="498"/>
      <c r="G19" s="498"/>
      <c r="H19" s="498"/>
      <c r="I19" s="498"/>
      <c r="J19" s="498"/>
    </row>
    <row r="20" spans="1:10">
      <c r="A20" s="498"/>
      <c r="B20" s="498"/>
      <c r="C20" s="498"/>
      <c r="D20" s="498"/>
      <c r="E20" s="498"/>
      <c r="F20" s="498"/>
      <c r="G20" s="498"/>
      <c r="H20" s="498"/>
      <c r="I20" s="498"/>
      <c r="J20" s="498"/>
    </row>
    <row r="21" spans="1:10">
      <c r="A21" s="498"/>
      <c r="B21" s="498"/>
      <c r="C21" s="498"/>
      <c r="D21" s="498"/>
      <c r="E21" s="498"/>
      <c r="F21" s="498"/>
      <c r="G21" s="498"/>
      <c r="H21" s="498"/>
      <c r="I21" s="498"/>
      <c r="J21" s="498"/>
    </row>
    <row r="22" spans="1:10">
      <c r="A22" s="498"/>
      <c r="B22" s="498"/>
      <c r="C22" s="498"/>
      <c r="D22" s="498"/>
      <c r="E22" s="498"/>
      <c r="F22" s="498"/>
      <c r="G22" s="498"/>
      <c r="H22" s="498"/>
      <c r="I22" s="498"/>
      <c r="J22" s="498"/>
    </row>
    <row r="23" spans="1:10">
      <c r="A23" s="498"/>
      <c r="B23" s="498"/>
      <c r="C23" s="498"/>
      <c r="D23" s="498"/>
      <c r="E23" s="498"/>
      <c r="F23" s="498"/>
      <c r="G23" s="498"/>
      <c r="H23" s="498"/>
      <c r="I23" s="498"/>
      <c r="J23" s="498"/>
    </row>
    <row r="24" spans="1:10">
      <c r="A24" s="498"/>
      <c r="B24" s="498"/>
      <c r="C24" s="498"/>
      <c r="D24" s="498"/>
      <c r="E24" s="498"/>
      <c r="F24" s="498"/>
      <c r="G24" s="498"/>
      <c r="H24" s="498"/>
      <c r="I24" s="498"/>
      <c r="J24" s="498"/>
    </row>
    <row r="25" spans="1:10">
      <c r="A25" s="498"/>
      <c r="B25" s="498"/>
      <c r="C25" s="498"/>
      <c r="D25" s="498"/>
      <c r="E25" s="498"/>
      <c r="F25" s="498"/>
      <c r="G25" s="498"/>
      <c r="H25" s="498"/>
      <c r="I25" s="498"/>
      <c r="J25" s="498"/>
    </row>
    <row r="26" spans="1:10">
      <c r="A26" s="498"/>
      <c r="B26" s="498"/>
      <c r="C26" s="498"/>
      <c r="D26" s="498"/>
      <c r="E26" s="498"/>
      <c r="F26" s="498"/>
      <c r="G26" s="498"/>
      <c r="H26" s="498"/>
      <c r="I26" s="498"/>
      <c r="J26" s="498"/>
    </row>
    <row r="27" spans="1:10">
      <c r="A27" s="498"/>
      <c r="B27" s="498"/>
      <c r="C27" s="498"/>
      <c r="D27" s="498"/>
      <c r="E27" s="498"/>
      <c r="F27" s="498"/>
      <c r="G27" s="498"/>
      <c r="H27" s="498"/>
      <c r="I27" s="498"/>
      <c r="J27" s="498"/>
    </row>
    <row r="28" spans="1:10">
      <c r="A28" s="498"/>
      <c r="B28" s="498"/>
      <c r="C28" s="498"/>
      <c r="D28" s="498"/>
      <c r="E28" s="498"/>
      <c r="F28" s="498"/>
      <c r="G28" s="498"/>
      <c r="H28" s="498"/>
      <c r="I28" s="498"/>
      <c r="J28" s="498"/>
    </row>
    <row r="29" spans="1:10">
      <c r="A29" s="498"/>
      <c r="B29" s="498"/>
      <c r="C29" s="498"/>
      <c r="D29" s="498"/>
      <c r="E29" s="498"/>
      <c r="F29" s="498"/>
      <c r="G29" s="498"/>
      <c r="H29" s="498"/>
      <c r="I29" s="498"/>
      <c r="J29" s="498"/>
    </row>
    <row r="30" spans="1:10">
      <c r="A30" s="498"/>
      <c r="B30" s="498"/>
      <c r="C30" s="498"/>
      <c r="D30" s="498"/>
      <c r="E30" s="498"/>
      <c r="F30" s="498"/>
      <c r="G30" s="498"/>
      <c r="H30" s="498"/>
      <c r="I30" s="498"/>
      <c r="J30" s="498"/>
    </row>
    <row r="31" spans="1:10">
      <c r="A31" s="498"/>
      <c r="B31" s="498"/>
      <c r="C31" s="498"/>
      <c r="D31" s="498"/>
      <c r="E31" s="498"/>
      <c r="F31" s="498"/>
      <c r="G31" s="498"/>
      <c r="H31" s="498"/>
      <c r="I31" s="498"/>
      <c r="J31" s="498"/>
    </row>
  </sheetData>
  <mergeCells count="4">
    <mergeCell ref="A1:J1"/>
    <mergeCell ref="A2:J2"/>
    <mergeCell ref="A3:J3"/>
    <mergeCell ref="A8:J8"/>
  </mergeCells>
  <pageMargins left="0.75" right="0.75" top="1" bottom="1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5"/>
  <sheetViews>
    <sheetView topLeftCell="A19" zoomScale="130" workbookViewId="0">
      <selection activeCell="C39" sqref="C39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5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7" ht="15">
      <c r="E1" s="1115" t="s">
        <v>4540</v>
      </c>
      <c r="F1" s="1115"/>
      <c r="G1" s="1115"/>
    </row>
    <row r="2" spans="2:7">
      <c r="B2" s="1113" t="s">
        <v>4028</v>
      </c>
      <c r="C2" s="1116"/>
      <c r="E2" s="1112" t="s">
        <v>4529</v>
      </c>
      <c r="F2" s="1112"/>
      <c r="G2" s="1112"/>
    </row>
    <row r="3" spans="2:7">
      <c r="B3" s="1113" t="s">
        <v>4029</v>
      </c>
      <c r="C3" s="1116"/>
      <c r="D3" s="672"/>
      <c r="E3" s="673" t="s">
        <v>1</v>
      </c>
      <c r="F3" s="673" t="s">
        <v>3698</v>
      </c>
      <c r="G3" s="673" t="s">
        <v>4524</v>
      </c>
    </row>
    <row r="4" spans="2:7">
      <c r="B4" s="1113" t="s">
        <v>4030</v>
      </c>
      <c r="C4" s="1116"/>
      <c r="D4" s="672"/>
      <c r="E4" s="674">
        <v>1</v>
      </c>
      <c r="F4" s="674" t="s">
        <v>4525</v>
      </c>
      <c r="G4" s="536">
        <v>1080000</v>
      </c>
    </row>
    <row r="5" spans="2:7">
      <c r="B5" s="632"/>
      <c r="C5" s="633"/>
      <c r="E5" s="674">
        <v>2</v>
      </c>
      <c r="F5" s="674" t="s">
        <v>4526</v>
      </c>
      <c r="G5" s="536">
        <v>83000</v>
      </c>
    </row>
    <row r="6" spans="2:7">
      <c r="B6" s="634" t="s">
        <v>3455</v>
      </c>
      <c r="C6" s="634" t="s">
        <v>3857</v>
      </c>
      <c r="E6" s="674">
        <v>3</v>
      </c>
      <c r="F6" s="674" t="s">
        <v>4527</v>
      </c>
      <c r="G6" s="536">
        <v>160000</v>
      </c>
    </row>
    <row r="7" spans="2:7">
      <c r="B7" s="635" t="s">
        <v>4031</v>
      </c>
      <c r="C7" s="636"/>
      <c r="E7" s="674">
        <v>4</v>
      </c>
      <c r="F7" s="674" t="s">
        <v>4532</v>
      </c>
      <c r="G7" s="536">
        <v>10000</v>
      </c>
    </row>
    <row r="8" spans="2:7">
      <c r="B8" s="632" t="s">
        <v>4032</v>
      </c>
      <c r="C8" s="636"/>
      <c r="E8" s="674">
        <v>5</v>
      </c>
      <c r="F8" s="674" t="s">
        <v>4530</v>
      </c>
      <c r="G8" s="536">
        <v>52000</v>
      </c>
    </row>
    <row r="9" spans="2:7">
      <c r="B9" s="632" t="s">
        <v>4548</v>
      </c>
      <c r="C9" s="636">
        <f>'REKON MANDIRI EWILOG'!E6</f>
        <v>100000000</v>
      </c>
      <c r="E9" s="674">
        <v>6</v>
      </c>
      <c r="F9" s="674" t="s">
        <v>4531</v>
      </c>
      <c r="G9" s="536">
        <v>65000</v>
      </c>
    </row>
    <row r="10" spans="2:7">
      <c r="B10" s="635" t="s">
        <v>4034</v>
      </c>
      <c r="C10" s="637">
        <f>SUM(C8:C9)</f>
        <v>100000000</v>
      </c>
      <c r="E10" s="1113" t="s">
        <v>4493</v>
      </c>
      <c r="F10" s="1113"/>
      <c r="G10" s="675">
        <f>SUM(G4:G9)</f>
        <v>1450000</v>
      </c>
    </row>
    <row r="11" spans="2:7">
      <c r="B11" s="632"/>
      <c r="C11" s="636"/>
    </row>
    <row r="12" spans="2:7">
      <c r="B12" s="635" t="s">
        <v>4035</v>
      </c>
      <c r="C12" s="636"/>
      <c r="E12" s="1112" t="s">
        <v>4533</v>
      </c>
      <c r="F12" s="1112"/>
      <c r="G12" s="1112"/>
    </row>
    <row r="13" spans="2:7">
      <c r="B13" s="632" t="s">
        <v>4036</v>
      </c>
      <c r="C13" s="636" t="e">
        <f>SHIPMENT!#REF!</f>
        <v>#REF!</v>
      </c>
      <c r="E13" s="674">
        <v>1</v>
      </c>
      <c r="F13" s="674" t="s">
        <v>4534</v>
      </c>
      <c r="G13" s="536">
        <v>2750000</v>
      </c>
    </row>
    <row r="14" spans="2:7">
      <c r="B14" s="632" t="s">
        <v>4037</v>
      </c>
      <c r="C14" s="636">
        <f>'REKON MANDIRI EWILOG'!E14</f>
        <v>11334.88</v>
      </c>
      <c r="E14" s="674">
        <v>2</v>
      </c>
      <c r="F14" s="674" t="s">
        <v>4535</v>
      </c>
      <c r="G14" s="536">
        <v>1800000</v>
      </c>
    </row>
    <row r="15" spans="2:7">
      <c r="B15" s="635" t="s">
        <v>4038</v>
      </c>
      <c r="C15" s="637" t="e">
        <f>SUM(C13:C14)</f>
        <v>#REF!</v>
      </c>
      <c r="E15" s="674">
        <v>3</v>
      </c>
      <c r="F15" s="674" t="s">
        <v>4536</v>
      </c>
      <c r="G15" s="536">
        <v>152000</v>
      </c>
    </row>
    <row r="16" spans="2:7">
      <c r="B16" s="632"/>
      <c r="C16" s="636"/>
      <c r="E16" s="674">
        <v>4</v>
      </c>
      <c r="F16" s="674" t="s">
        <v>4537</v>
      </c>
      <c r="G16" s="536">
        <v>2750000</v>
      </c>
    </row>
    <row r="17" spans="2:9">
      <c r="B17" s="635" t="s">
        <v>4039</v>
      </c>
      <c r="C17" s="636"/>
      <c r="E17" s="674">
        <v>5</v>
      </c>
      <c r="F17" s="674" t="s">
        <v>4538</v>
      </c>
      <c r="G17" s="536">
        <v>500000</v>
      </c>
    </row>
    <row r="18" spans="2:9">
      <c r="B18" s="632" t="s">
        <v>4040</v>
      </c>
      <c r="C18" s="636"/>
      <c r="E18" s="674">
        <v>6</v>
      </c>
      <c r="F18" s="674" t="s">
        <v>4539</v>
      </c>
      <c r="G18" s="536">
        <v>3500000</v>
      </c>
    </row>
    <row r="19" spans="2:9">
      <c r="B19" s="632"/>
      <c r="C19" s="636"/>
      <c r="E19" s="1113" t="s">
        <v>4493</v>
      </c>
      <c r="F19" s="1113"/>
      <c r="G19" s="675">
        <f>SUM(G12:G18)</f>
        <v>11452000</v>
      </c>
    </row>
    <row r="20" spans="2:9">
      <c r="B20" s="635"/>
      <c r="C20" s="636"/>
    </row>
    <row r="21" spans="2:9" ht="14.5">
      <c r="B21" s="632"/>
      <c r="C21" s="636"/>
      <c r="E21" s="1112" t="s">
        <v>4043</v>
      </c>
      <c r="F21" s="1112"/>
      <c r="G21" s="1112"/>
      <c r="H21" s="1112"/>
      <c r="I21" s="645"/>
    </row>
    <row r="22" spans="2:9" ht="14.5">
      <c r="B22" s="632"/>
      <c r="C22" s="636"/>
      <c r="E22" s="673" t="s">
        <v>3385</v>
      </c>
      <c r="F22" s="673" t="s">
        <v>4262</v>
      </c>
      <c r="G22" s="673" t="s">
        <v>4502</v>
      </c>
      <c r="H22" s="673" t="s">
        <v>3213</v>
      </c>
      <c r="I22" s="628"/>
    </row>
    <row r="23" spans="2:9" ht="14.5">
      <c r="B23" s="635" t="s">
        <v>4042</v>
      </c>
      <c r="C23" s="636"/>
      <c r="E23" s="674">
        <v>1</v>
      </c>
      <c r="F23" s="674" t="s">
        <v>3801</v>
      </c>
      <c r="G23" s="674" t="s">
        <v>4509</v>
      </c>
      <c r="H23" s="536">
        <v>0</v>
      </c>
      <c r="I23" s="628"/>
    </row>
    <row r="24" spans="2:9" ht="14.5">
      <c r="B24" s="632" t="s">
        <v>4043</v>
      </c>
      <c r="C24" s="636">
        <f>H25</f>
        <v>0</v>
      </c>
      <c r="E24" s="674">
        <v>2</v>
      </c>
      <c r="F24" s="674" t="s">
        <v>4510</v>
      </c>
      <c r="G24" s="674" t="s">
        <v>4482</v>
      </c>
      <c r="H24" s="536">
        <v>0</v>
      </c>
      <c r="I24" s="628"/>
    </row>
    <row r="25" spans="2:9" ht="14.5">
      <c r="B25" s="632" t="s">
        <v>4044</v>
      </c>
      <c r="C25" s="636">
        <v>0</v>
      </c>
      <c r="E25" s="1113" t="s">
        <v>4493</v>
      </c>
      <c r="F25" s="1113"/>
      <c r="G25" s="1113"/>
      <c r="H25" s="675">
        <f>SUM(H21:H24)</f>
        <v>0</v>
      </c>
      <c r="I25" s="628"/>
    </row>
    <row r="26" spans="2:9" ht="14.5">
      <c r="B26" s="632" t="s">
        <v>4045</v>
      </c>
      <c r="C26" s="636">
        <v>0</v>
      </c>
      <c r="I26" s="628"/>
    </row>
    <row r="27" spans="2:9" ht="14.5">
      <c r="B27" s="632" t="s">
        <v>4046</v>
      </c>
      <c r="C27" s="636">
        <v>0</v>
      </c>
      <c r="E27" s="1112" t="s">
        <v>4050</v>
      </c>
      <c r="F27" s="1112"/>
      <c r="G27" s="1112"/>
      <c r="I27" s="628"/>
    </row>
    <row r="28" spans="2:9">
      <c r="B28" s="632" t="s">
        <v>4047</v>
      </c>
      <c r="C28" s="636">
        <v>0</v>
      </c>
      <c r="E28" s="674">
        <v>1</v>
      </c>
      <c r="F28" s="674" t="s">
        <v>4525</v>
      </c>
      <c r="G28" s="536">
        <v>1080000</v>
      </c>
    </row>
    <row r="29" spans="2:9">
      <c r="B29" s="632" t="s">
        <v>4048</v>
      </c>
      <c r="C29" s="636">
        <v>83000</v>
      </c>
      <c r="E29" s="674">
        <v>2</v>
      </c>
      <c r="F29" s="674" t="s">
        <v>4528</v>
      </c>
      <c r="G29" s="536">
        <v>80000</v>
      </c>
    </row>
    <row r="30" spans="2:9">
      <c r="B30" s="632" t="s">
        <v>4545</v>
      </c>
      <c r="C30" s="636">
        <v>1800000</v>
      </c>
      <c r="E30" s="674">
        <v>3</v>
      </c>
      <c r="F30" s="674" t="s">
        <v>4541</v>
      </c>
      <c r="G30" s="536">
        <v>52000</v>
      </c>
    </row>
    <row r="31" spans="2:9">
      <c r="B31" s="632" t="s">
        <v>4050</v>
      </c>
      <c r="C31" s="636">
        <f>G34</f>
        <v>1929000</v>
      </c>
      <c r="E31" s="674">
        <v>4</v>
      </c>
      <c r="F31" s="674" t="s">
        <v>4531</v>
      </c>
      <c r="G31" s="536">
        <v>65000</v>
      </c>
    </row>
    <row r="32" spans="2:9">
      <c r="B32" s="632" t="s">
        <v>4051</v>
      </c>
      <c r="C32" s="636">
        <f>G39</f>
        <v>9000000</v>
      </c>
      <c r="E32" s="674">
        <v>5</v>
      </c>
      <c r="F32" s="674" t="s">
        <v>4536</v>
      </c>
      <c r="G32" s="536">
        <v>152000</v>
      </c>
    </row>
    <row r="33" spans="2:7">
      <c r="B33" s="632" t="s">
        <v>4052</v>
      </c>
      <c r="C33" s="636">
        <v>0</v>
      </c>
      <c r="E33" s="674">
        <v>6</v>
      </c>
      <c r="F33" s="674" t="s">
        <v>4542</v>
      </c>
      <c r="G33" s="536">
        <v>500000</v>
      </c>
    </row>
    <row r="34" spans="2:7">
      <c r="B34" s="632" t="s">
        <v>4053</v>
      </c>
      <c r="C34" s="636">
        <v>0</v>
      </c>
      <c r="E34" s="1113" t="s">
        <v>4493</v>
      </c>
      <c r="F34" s="1113"/>
      <c r="G34" s="675">
        <f>SUM(G28:G33)</f>
        <v>1929000</v>
      </c>
    </row>
    <row r="35" spans="2:7">
      <c r="B35" s="632" t="s">
        <v>4054</v>
      </c>
      <c r="C35" s="636">
        <v>0</v>
      </c>
    </row>
    <row r="36" spans="2:7">
      <c r="B36" s="632" t="s">
        <v>4055</v>
      </c>
      <c r="C36" s="636">
        <f>G45</f>
        <v>17266.98</v>
      </c>
      <c r="E36" s="1112" t="s">
        <v>4543</v>
      </c>
      <c r="F36" s="1112"/>
      <c r="G36" s="1112"/>
    </row>
    <row r="37" spans="2:7">
      <c r="B37" s="632" t="s">
        <v>4056</v>
      </c>
      <c r="C37" s="636">
        <v>0</v>
      </c>
      <c r="E37" s="674">
        <v>1</v>
      </c>
      <c r="F37" s="674" t="s">
        <v>4544</v>
      </c>
      <c r="G37" s="536">
        <v>5500000</v>
      </c>
    </row>
    <row r="38" spans="2:7">
      <c r="B38" s="635" t="s">
        <v>4057</v>
      </c>
      <c r="C38" s="637">
        <f>SUM(C24:C37)</f>
        <v>12829266.98</v>
      </c>
      <c r="E38" s="674">
        <v>2</v>
      </c>
      <c r="F38" s="674" t="s">
        <v>4539</v>
      </c>
      <c r="G38" s="536">
        <v>3500000</v>
      </c>
    </row>
    <row r="39" spans="2:7">
      <c r="B39" s="632"/>
      <c r="C39" s="636"/>
      <c r="E39" s="1113" t="s">
        <v>4493</v>
      </c>
      <c r="F39" s="1113"/>
      <c r="G39" s="675">
        <f>SUM(G37:G38)</f>
        <v>9000000</v>
      </c>
    </row>
    <row r="40" spans="2:7">
      <c r="B40" s="632"/>
      <c r="C40" s="636"/>
    </row>
    <row r="41" spans="2:7">
      <c r="B41" s="632"/>
      <c r="C41" s="636"/>
      <c r="E41" s="1112" t="s">
        <v>4546</v>
      </c>
      <c r="F41" s="1112"/>
      <c r="G41" s="1112"/>
    </row>
    <row r="42" spans="2:7">
      <c r="B42" s="635" t="s">
        <v>4058</v>
      </c>
      <c r="C42" s="637" t="e">
        <f>C15-C38</f>
        <v>#REF!</v>
      </c>
      <c r="E42" s="679">
        <v>1</v>
      </c>
      <c r="F42" s="677" t="s">
        <v>4547</v>
      </c>
      <c r="G42" s="678">
        <v>2500</v>
      </c>
    </row>
    <row r="43" spans="2:7">
      <c r="B43" s="638"/>
      <c r="C43" s="639"/>
      <c r="E43" s="679">
        <v>2</v>
      </c>
      <c r="F43" s="677" t="s">
        <v>3882</v>
      </c>
      <c r="G43" s="678">
        <v>12500</v>
      </c>
    </row>
    <row r="44" spans="2:7">
      <c r="E44" s="679">
        <v>3</v>
      </c>
      <c r="F44" s="677" t="s">
        <v>3884</v>
      </c>
      <c r="G44" s="678">
        <v>2266.98</v>
      </c>
    </row>
    <row r="45" spans="2:7">
      <c r="B45" s="681" t="s">
        <v>4549</v>
      </c>
      <c r="C45" s="682">
        <f>'REKON MANDIRI EWILOG'!F15</f>
        <v>89033758.899999991</v>
      </c>
      <c r="E45" s="1114" t="s">
        <v>4493</v>
      </c>
      <c r="F45" s="1114"/>
      <c r="G45" s="680">
        <f>SUM(G42:G44)</f>
        <v>17266.98</v>
      </c>
    </row>
  </sheetData>
  <mergeCells count="16">
    <mergeCell ref="E19:F19"/>
    <mergeCell ref="E1:G1"/>
    <mergeCell ref="E12:G12"/>
    <mergeCell ref="B2:C2"/>
    <mergeCell ref="B3:C3"/>
    <mergeCell ref="B4:C4"/>
    <mergeCell ref="E2:G2"/>
    <mergeCell ref="E10:F10"/>
    <mergeCell ref="E36:G36"/>
    <mergeCell ref="E39:F39"/>
    <mergeCell ref="E41:G41"/>
    <mergeCell ref="E45:F45"/>
    <mergeCell ref="E21:H21"/>
    <mergeCell ref="E27:G27"/>
    <mergeCell ref="E25:G25"/>
    <mergeCell ref="E34:F3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E9C9-C900-4688-8F2E-66678A093231}">
  <dimension ref="A1:I48"/>
  <sheetViews>
    <sheetView topLeftCell="A16" zoomScale="130" workbookViewId="0">
      <selection activeCell="C45" sqref="C45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4567</v>
      </c>
      <c r="G3" s="684" t="s">
        <v>4579</v>
      </c>
      <c r="H3" s="643">
        <v>8795141</v>
      </c>
      <c r="I3" s="628"/>
    </row>
    <row r="4" spans="2:9" ht="14.5">
      <c r="B4" s="1113" t="s">
        <v>4060</v>
      </c>
      <c r="C4" s="1116"/>
      <c r="D4" s="672"/>
      <c r="E4" s="642">
        <v>2</v>
      </c>
      <c r="F4" s="642" t="s">
        <v>4568</v>
      </c>
      <c r="G4" s="683" t="s">
        <v>4580</v>
      </c>
      <c r="H4" s="643">
        <v>1425000</v>
      </c>
      <c r="I4" s="628"/>
    </row>
    <row r="5" spans="2:9" ht="14.5">
      <c r="B5" s="632"/>
      <c r="C5" s="633"/>
      <c r="E5" s="642">
        <v>3</v>
      </c>
      <c r="F5" s="642" t="s">
        <v>4569</v>
      </c>
      <c r="G5" s="683" t="s">
        <v>4580</v>
      </c>
      <c r="H5" s="643">
        <v>3568000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4570</v>
      </c>
      <c r="G6" s="683" t="s">
        <v>4580</v>
      </c>
      <c r="H6" s="643">
        <v>4911450</v>
      </c>
      <c r="I6" s="628"/>
    </row>
    <row r="7" spans="2:9" ht="14.5">
      <c r="B7" s="635" t="s">
        <v>4031</v>
      </c>
      <c r="C7" s="636"/>
      <c r="E7" s="642">
        <v>5</v>
      </c>
      <c r="F7" s="642" t="s">
        <v>4572</v>
      </c>
      <c r="G7" s="683" t="s">
        <v>4581</v>
      </c>
      <c r="H7" s="643">
        <v>4620000</v>
      </c>
      <c r="I7" s="628"/>
    </row>
    <row r="8" spans="2:9" ht="14.5">
      <c r="B8" s="632" t="s">
        <v>4032</v>
      </c>
      <c r="C8" s="636"/>
      <c r="E8" s="642">
        <v>6</v>
      </c>
      <c r="F8" s="642" t="s">
        <v>4573</v>
      </c>
      <c r="G8" s="683" t="s">
        <v>4582</v>
      </c>
      <c r="H8" s="643">
        <v>281552</v>
      </c>
      <c r="I8" s="628"/>
    </row>
    <row r="9" spans="2:9" ht="14.5">
      <c r="B9" s="632" t="s">
        <v>4548</v>
      </c>
      <c r="C9" s="636">
        <f>'LR NOV 2023'!C45</f>
        <v>75731618.019999996</v>
      </c>
      <c r="E9" s="642">
        <v>7</v>
      </c>
      <c r="F9" s="642" t="s">
        <v>4575</v>
      </c>
      <c r="G9" s="683" t="s">
        <v>4583</v>
      </c>
      <c r="H9" s="643">
        <v>18899865</v>
      </c>
      <c r="I9" s="628"/>
    </row>
    <row r="10" spans="2:9" ht="14.5">
      <c r="B10" s="635" t="s">
        <v>4034</v>
      </c>
      <c r="C10" s="637">
        <f>SUM(C8:C9)</f>
        <v>75731618.019999996</v>
      </c>
      <c r="E10" s="642">
        <v>8</v>
      </c>
      <c r="F10" s="642" t="s">
        <v>4576</v>
      </c>
      <c r="G10" s="683" t="s">
        <v>4580</v>
      </c>
      <c r="H10" s="643">
        <v>16232000</v>
      </c>
    </row>
    <row r="11" spans="2:9" ht="14.5">
      <c r="B11" s="632"/>
      <c r="C11" s="636"/>
      <c r="E11" s="642">
        <v>9</v>
      </c>
      <c r="F11" s="642" t="s">
        <v>4577</v>
      </c>
      <c r="G11" s="683" t="s">
        <v>4580</v>
      </c>
      <c r="H11" s="643">
        <v>10427000</v>
      </c>
    </row>
    <row r="12" spans="2:9" ht="14.5">
      <c r="B12" s="635" t="s">
        <v>4035</v>
      </c>
      <c r="C12" s="636"/>
      <c r="E12" s="642">
        <v>10</v>
      </c>
      <c r="F12" s="642" t="s">
        <v>4578</v>
      </c>
      <c r="G12" s="683" t="s">
        <v>4584</v>
      </c>
      <c r="H12" s="643">
        <v>250000</v>
      </c>
    </row>
    <row r="13" spans="2:9" ht="15">
      <c r="B13" s="632" t="s">
        <v>4036</v>
      </c>
      <c r="C13" s="636">
        <f>H13</f>
        <v>69410008</v>
      </c>
      <c r="E13" s="1121" t="s">
        <v>4493</v>
      </c>
      <c r="F13" s="1121"/>
      <c r="G13" s="1121"/>
      <c r="H13" s="644">
        <f>SUM(H3:H12)</f>
        <v>69410008</v>
      </c>
    </row>
    <row r="14" spans="2:9" ht="15">
      <c r="B14" s="632" t="s">
        <v>4037</v>
      </c>
      <c r="C14" s="636">
        <v>37700.410000000003</v>
      </c>
      <c r="E14" s="1122"/>
      <c r="F14" s="1122"/>
      <c r="G14" s="1122"/>
    </row>
    <row r="15" spans="2:9">
      <c r="B15" s="635" t="s">
        <v>4038</v>
      </c>
      <c r="C15" s="637">
        <f>SUM(C13:C14)</f>
        <v>69447708.409999996</v>
      </c>
      <c r="E15" s="1117" t="s">
        <v>4043</v>
      </c>
      <c r="F15" s="1118"/>
      <c r="G15" s="1118"/>
      <c r="H15" s="1119"/>
    </row>
    <row r="16" spans="2:9">
      <c r="B16" s="632"/>
      <c r="C16" s="636"/>
      <c r="E16" s="673" t="s">
        <v>3385</v>
      </c>
      <c r="F16" s="673" t="s">
        <v>4262</v>
      </c>
      <c r="G16" s="673" t="s">
        <v>4502</v>
      </c>
      <c r="H16" s="673" t="s">
        <v>3213</v>
      </c>
    </row>
    <row r="17" spans="2:9">
      <c r="B17" s="635" t="s">
        <v>4039</v>
      </c>
      <c r="C17" s="636"/>
      <c r="E17" s="674">
        <v>1</v>
      </c>
      <c r="F17" s="674" t="s">
        <v>3801</v>
      </c>
      <c r="G17" s="674" t="s">
        <v>4509</v>
      </c>
      <c r="H17" s="536">
        <v>0</v>
      </c>
    </row>
    <row r="18" spans="2:9">
      <c r="B18" s="632" t="s">
        <v>4040</v>
      </c>
      <c r="C18" s="636"/>
      <c r="E18" s="674">
        <v>2</v>
      </c>
      <c r="F18" s="674" t="s">
        <v>4510</v>
      </c>
      <c r="G18" s="674" t="s">
        <v>4482</v>
      </c>
      <c r="H18" s="536">
        <v>15000000</v>
      </c>
      <c r="I18" s="517" t="s">
        <v>4585</v>
      </c>
    </row>
    <row r="19" spans="2:9">
      <c r="B19" s="632"/>
      <c r="C19" s="636"/>
    </row>
    <row r="20" spans="2:9">
      <c r="B20" s="635"/>
      <c r="C20" s="636"/>
      <c r="E20" s="1117" t="s">
        <v>4546</v>
      </c>
      <c r="F20" s="1118"/>
      <c r="G20" s="1119"/>
    </row>
    <row r="21" spans="2:9">
      <c r="B21" s="632"/>
      <c r="C21" s="636"/>
      <c r="E21" s="679">
        <v>1</v>
      </c>
      <c r="F21" s="677" t="s">
        <v>4563</v>
      </c>
      <c r="G21" s="678">
        <v>5500</v>
      </c>
    </row>
    <row r="22" spans="2:9">
      <c r="B22" s="632"/>
      <c r="C22" s="636"/>
      <c r="E22" s="679">
        <v>2</v>
      </c>
      <c r="F22" s="677" t="s">
        <v>4586</v>
      </c>
      <c r="G22" s="678">
        <v>2500</v>
      </c>
    </row>
    <row r="23" spans="2:9">
      <c r="B23" s="635" t="s">
        <v>4042</v>
      </c>
      <c r="C23" s="636"/>
      <c r="E23" s="679">
        <v>3</v>
      </c>
      <c r="F23" s="677" t="s">
        <v>4565</v>
      </c>
      <c r="G23" s="678">
        <v>12500</v>
      </c>
    </row>
    <row r="24" spans="2:9">
      <c r="B24" s="632" t="s">
        <v>4043</v>
      </c>
      <c r="C24" s="636">
        <f>H18</f>
        <v>15000000</v>
      </c>
      <c r="E24" s="679">
        <v>4</v>
      </c>
      <c r="F24" s="677" t="s">
        <v>4566</v>
      </c>
      <c r="G24" s="678">
        <v>7540.08</v>
      </c>
    </row>
    <row r="25" spans="2:9" ht="14.25" customHeight="1">
      <c r="B25" s="632" t="s">
        <v>4044</v>
      </c>
      <c r="C25" s="636">
        <v>0</v>
      </c>
      <c r="E25" s="1114" t="s">
        <v>4493</v>
      </c>
      <c r="F25" s="1114"/>
      <c r="G25" s="680">
        <f>SUM(G21:G24)</f>
        <v>28040.080000000002</v>
      </c>
    </row>
    <row r="26" spans="2:9">
      <c r="B26" s="632" t="s">
        <v>4045</v>
      </c>
      <c r="C26" s="636">
        <v>0</v>
      </c>
    </row>
    <row r="27" spans="2:9">
      <c r="B27" s="632" t="s">
        <v>4046</v>
      </c>
      <c r="C27" s="636">
        <v>0</v>
      </c>
    </row>
    <row r="28" spans="2:9">
      <c r="B28" s="632" t="s">
        <v>4047</v>
      </c>
      <c r="C28" s="636">
        <v>0</v>
      </c>
    </row>
    <row r="29" spans="2:9">
      <c r="B29" s="632" t="s">
        <v>4048</v>
      </c>
      <c r="C29" s="636">
        <v>230000</v>
      </c>
    </row>
    <row r="30" spans="2:9" ht="14.5">
      <c r="B30" s="632" t="s">
        <v>4545</v>
      </c>
      <c r="C30" s="636">
        <v>0</v>
      </c>
      <c r="I30" s="645"/>
    </row>
    <row r="31" spans="2:9" ht="14.5">
      <c r="B31" s="632" t="s">
        <v>4050</v>
      </c>
      <c r="C31" s="636">
        <v>0</v>
      </c>
      <c r="I31" s="628"/>
    </row>
    <row r="32" spans="2:9" ht="14.5">
      <c r="B32" s="632" t="s">
        <v>4051</v>
      </c>
      <c r="C32" s="636">
        <v>0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4054</v>
      </c>
      <c r="C35" s="636">
        <v>0</v>
      </c>
      <c r="I35" s="628"/>
    </row>
    <row r="36" spans="2:9" ht="14.5">
      <c r="B36" s="632" t="s">
        <v>4055</v>
      </c>
      <c r="C36" s="636">
        <f>G25</f>
        <v>28040.080000000002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15258040.08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54189668.329999998</v>
      </c>
    </row>
    <row r="43" spans="2:9">
      <c r="B43" s="638"/>
      <c r="C43" s="639"/>
    </row>
    <row r="45" spans="2:9">
      <c r="B45" s="681" t="s">
        <v>4549</v>
      </c>
      <c r="C45" s="682">
        <f>'LR NOV 2023'!C45</f>
        <v>75731618.019999996</v>
      </c>
    </row>
    <row r="48" spans="2:9" ht="14.25" customHeight="1"/>
  </sheetData>
  <mergeCells count="9">
    <mergeCell ref="E15:H15"/>
    <mergeCell ref="E20:G20"/>
    <mergeCell ref="E25:F25"/>
    <mergeCell ref="E1:H1"/>
    <mergeCell ref="B2:C2"/>
    <mergeCell ref="B3:C3"/>
    <mergeCell ref="B4:C4"/>
    <mergeCell ref="E13:G13"/>
    <mergeCell ref="E14:G14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D44"/>
  <sheetViews>
    <sheetView topLeftCell="A16" zoomScale="130" workbookViewId="0">
      <selection activeCell="B61" sqref="B61"/>
    </sheetView>
  </sheetViews>
  <sheetFormatPr defaultColWidth="9" defaultRowHeight="14"/>
  <cols>
    <col min="1" max="1" width="3.25" customWidth="1"/>
    <col min="2" max="2" width="34.75" style="499" customWidth="1"/>
    <col min="3" max="3" width="27.33203125" style="500" customWidth="1"/>
    <col min="4" max="4" width="1.58203125" customWidth="1"/>
  </cols>
  <sheetData>
    <row r="2" spans="2:4" ht="17.5">
      <c r="B2" s="1123" t="s">
        <v>4028</v>
      </c>
      <c r="C2" s="1124"/>
    </row>
    <row r="3" spans="2:4" ht="15.5">
      <c r="B3" s="1125" t="s">
        <v>4029</v>
      </c>
      <c r="C3" s="1126"/>
      <c r="D3" s="501"/>
    </row>
    <row r="4" spans="2:4" ht="15.5">
      <c r="B4" s="1125" t="s">
        <v>4061</v>
      </c>
      <c r="C4" s="1126"/>
      <c r="D4" s="501"/>
    </row>
    <row r="5" spans="2:4">
      <c r="B5" s="502"/>
      <c r="C5" s="503"/>
    </row>
    <row r="6" spans="2:4">
      <c r="B6" s="504" t="s">
        <v>3455</v>
      </c>
      <c r="C6" s="504" t="s">
        <v>3857</v>
      </c>
    </row>
    <row r="7" spans="2:4">
      <c r="B7" s="505" t="s">
        <v>4031</v>
      </c>
      <c r="C7" s="506"/>
    </row>
    <row r="8" spans="2:4">
      <c r="B8" s="502" t="s">
        <v>4032</v>
      </c>
      <c r="C8" s="506">
        <v>81800</v>
      </c>
    </row>
    <row r="9" spans="2:4">
      <c r="B9" s="502" t="s">
        <v>4033</v>
      </c>
      <c r="C9" s="506">
        <v>55270341.450000003</v>
      </c>
    </row>
    <row r="10" spans="2:4">
      <c r="B10" s="505" t="s">
        <v>4034</v>
      </c>
      <c r="C10" s="507">
        <f>SUM(C8:C9)</f>
        <v>55352141.450000003</v>
      </c>
    </row>
    <row r="11" spans="2:4">
      <c r="B11" s="502"/>
      <c r="C11" s="506"/>
    </row>
    <row r="12" spans="2:4">
      <c r="B12" s="505" t="s">
        <v>4035</v>
      </c>
      <c r="C12" s="506"/>
    </row>
    <row r="13" spans="2:4">
      <c r="B13" s="502" t="s">
        <v>4062</v>
      </c>
      <c r="C13" s="506">
        <v>38650912</v>
      </c>
    </row>
    <row r="14" spans="2:4">
      <c r="B14" s="502" t="s">
        <v>4037</v>
      </c>
      <c r="C14" s="506">
        <v>37243.43</v>
      </c>
    </row>
    <row r="15" spans="2:4">
      <c r="B15" s="505" t="s">
        <v>4038</v>
      </c>
      <c r="C15" s="507">
        <f>SUM(C13:C14)</f>
        <v>38688155.43</v>
      </c>
    </row>
    <row r="16" spans="2:4">
      <c r="B16" s="502"/>
      <c r="C16" s="506"/>
    </row>
    <row r="17" spans="2:3">
      <c r="B17" s="505" t="s">
        <v>4039</v>
      </c>
      <c r="C17" s="506"/>
    </row>
    <row r="18" spans="2:3">
      <c r="B18" s="502" t="s">
        <v>4040</v>
      </c>
      <c r="C18" s="506"/>
    </row>
    <row r="19" spans="2:3">
      <c r="B19" s="502"/>
      <c r="C19" s="506"/>
    </row>
    <row r="20" spans="2:3">
      <c r="B20" s="505" t="s">
        <v>4041</v>
      </c>
      <c r="C20" s="506"/>
    </row>
    <row r="21" spans="2:3">
      <c r="B21" s="502"/>
      <c r="C21" s="506"/>
    </row>
    <row r="22" spans="2:3">
      <c r="B22" s="502"/>
      <c r="C22" s="506"/>
    </row>
    <row r="23" spans="2:3">
      <c r="B23" s="505" t="s">
        <v>4042</v>
      </c>
      <c r="C23" s="506"/>
    </row>
    <row r="24" spans="2:3">
      <c r="B24" s="502" t="s">
        <v>4043</v>
      </c>
      <c r="C24" s="506">
        <v>9753822</v>
      </c>
    </row>
    <row r="25" spans="2:3">
      <c r="B25" s="502" t="s">
        <v>4044</v>
      </c>
      <c r="C25" s="506"/>
    </row>
    <row r="26" spans="2:3">
      <c r="B26" s="502" t="s">
        <v>4045</v>
      </c>
      <c r="C26" s="506"/>
    </row>
    <row r="27" spans="2:3">
      <c r="B27" s="502" t="s">
        <v>4059</v>
      </c>
      <c r="C27" s="506">
        <v>120000</v>
      </c>
    </row>
    <row r="28" spans="2:3">
      <c r="B28" s="502" t="s">
        <v>4047</v>
      </c>
      <c r="C28" s="506"/>
    </row>
    <row r="29" spans="2:3">
      <c r="B29" s="502" t="s">
        <v>4048</v>
      </c>
      <c r="C29" s="506"/>
    </row>
    <row r="30" spans="2:3">
      <c r="B30" s="502" t="s">
        <v>4049</v>
      </c>
      <c r="C30" s="506"/>
    </row>
    <row r="31" spans="2:3">
      <c r="B31" s="502" t="s">
        <v>4050</v>
      </c>
      <c r="C31" s="506"/>
    </row>
    <row r="32" spans="2:3">
      <c r="B32" s="502" t="s">
        <v>4051</v>
      </c>
      <c r="C32" s="506"/>
    </row>
    <row r="33" spans="2:3">
      <c r="B33" s="502" t="s">
        <v>4052</v>
      </c>
      <c r="C33" s="506"/>
    </row>
    <row r="34" spans="2:3">
      <c r="B34" s="502" t="s">
        <v>4053</v>
      </c>
      <c r="C34" s="506"/>
    </row>
    <row r="35" spans="2:3">
      <c r="B35" s="502" t="s">
        <v>4054</v>
      </c>
      <c r="C35" s="506"/>
    </row>
    <row r="36" spans="2:3">
      <c r="B36" s="502" t="s">
        <v>4055</v>
      </c>
      <c r="C36" s="506">
        <v>19948.689999999999</v>
      </c>
    </row>
    <row r="37" spans="2:3">
      <c r="B37" s="502"/>
      <c r="C37" s="506"/>
    </row>
    <row r="38" spans="2:3">
      <c r="B38" s="505" t="s">
        <v>4057</v>
      </c>
      <c r="C38" s="507">
        <f>SUM(C24:C37)</f>
        <v>9893770.6899999995</v>
      </c>
    </row>
    <row r="39" spans="2:3">
      <c r="B39" s="502"/>
      <c r="C39" s="506"/>
    </row>
    <row r="40" spans="2:3">
      <c r="B40" s="502"/>
      <c r="C40" s="506"/>
    </row>
    <row r="41" spans="2:3">
      <c r="B41" s="502"/>
      <c r="C41" s="506"/>
    </row>
    <row r="42" spans="2:3">
      <c r="B42" s="505" t="s">
        <v>4058</v>
      </c>
      <c r="C42" s="506">
        <f>C15-C17+C20-C38</f>
        <v>28794384.740000002</v>
      </c>
    </row>
    <row r="43" spans="2:3">
      <c r="B43" s="508"/>
      <c r="C43" s="509"/>
    </row>
    <row r="44" spans="2:3">
      <c r="C44" s="500" t="s">
        <v>4063</v>
      </c>
    </row>
  </sheetData>
  <mergeCells count="3">
    <mergeCell ref="B2:C2"/>
    <mergeCell ref="B3:C3"/>
    <mergeCell ref="B4:C4"/>
  </mergeCells>
  <pageMargins left="0.75" right="0.75" top="1" bottom="1" header="0.51180555555555596" footer="0.51180555555555596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D44"/>
  <sheetViews>
    <sheetView topLeftCell="A7" zoomScale="102" workbookViewId="0">
      <selection sqref="A1:D45"/>
    </sheetView>
  </sheetViews>
  <sheetFormatPr defaultColWidth="9" defaultRowHeight="14"/>
  <cols>
    <col min="1" max="1" width="3.25" customWidth="1"/>
    <col min="2" max="2" width="34.75" style="499" customWidth="1"/>
    <col min="3" max="3" width="27.33203125" style="500" customWidth="1"/>
    <col min="4" max="4" width="1.58203125" customWidth="1"/>
  </cols>
  <sheetData>
    <row r="2" spans="2:4" ht="17.5">
      <c r="B2" s="1123" t="s">
        <v>4028</v>
      </c>
      <c r="C2" s="1124"/>
    </row>
    <row r="3" spans="2:4" ht="15.5">
      <c r="B3" s="1125" t="s">
        <v>4029</v>
      </c>
      <c r="C3" s="1126"/>
      <c r="D3" s="501"/>
    </row>
    <row r="4" spans="2:4" ht="15.5">
      <c r="B4" s="1125" t="s">
        <v>4064</v>
      </c>
      <c r="C4" s="1126"/>
      <c r="D4" s="501"/>
    </row>
    <row r="5" spans="2:4">
      <c r="B5" s="502"/>
      <c r="C5" s="503"/>
    </row>
    <row r="6" spans="2:4">
      <c r="B6" s="504" t="s">
        <v>3455</v>
      </c>
      <c r="C6" s="504" t="s">
        <v>3857</v>
      </c>
    </row>
    <row r="7" spans="2:4">
      <c r="B7" s="505" t="s">
        <v>4031</v>
      </c>
      <c r="C7" s="506"/>
    </row>
    <row r="8" spans="2:4">
      <c r="B8" s="502" t="s">
        <v>4032</v>
      </c>
      <c r="C8" s="506">
        <v>39800</v>
      </c>
    </row>
    <row r="9" spans="2:4">
      <c r="B9" s="502" t="s">
        <v>4033</v>
      </c>
      <c r="C9" s="506">
        <v>118408728.34999999</v>
      </c>
    </row>
    <row r="10" spans="2:4">
      <c r="B10" s="505" t="s">
        <v>4034</v>
      </c>
      <c r="C10" s="507">
        <f>SUM(C8:C9)</f>
        <v>118448528.34999999</v>
      </c>
    </row>
    <row r="11" spans="2:4">
      <c r="B11" s="502"/>
      <c r="C11" s="506"/>
    </row>
    <row r="12" spans="2:4">
      <c r="B12" s="505" t="s">
        <v>4035</v>
      </c>
      <c r="C12" s="506"/>
    </row>
    <row r="13" spans="2:4">
      <c r="B13" s="502" t="s">
        <v>4065</v>
      </c>
      <c r="C13" s="506">
        <v>30052482</v>
      </c>
    </row>
    <row r="14" spans="2:4">
      <c r="B14" s="502" t="s">
        <v>4037</v>
      </c>
      <c r="C14" s="506">
        <v>33329.800000000003</v>
      </c>
    </row>
    <row r="15" spans="2:4">
      <c r="B15" s="505" t="s">
        <v>4038</v>
      </c>
      <c r="C15" s="510">
        <f>SUM(C13:C14)</f>
        <v>30085811.800000001</v>
      </c>
    </row>
    <row r="16" spans="2:4">
      <c r="B16" s="502"/>
      <c r="C16" s="506"/>
    </row>
    <row r="17" spans="2:3">
      <c r="B17" s="505" t="s">
        <v>4039</v>
      </c>
      <c r="C17" s="506"/>
    </row>
    <row r="18" spans="2:3">
      <c r="B18" s="502" t="s">
        <v>4040</v>
      </c>
      <c r="C18" s="506"/>
    </row>
    <row r="19" spans="2:3">
      <c r="B19" s="502"/>
      <c r="C19" s="506"/>
    </row>
    <row r="20" spans="2:3">
      <c r="B20" s="505" t="s">
        <v>4066</v>
      </c>
      <c r="C20" s="506"/>
    </row>
    <row r="21" spans="2:3">
      <c r="B21" s="505" t="s">
        <v>4067</v>
      </c>
      <c r="C21" s="506"/>
    </row>
    <row r="22" spans="2:3">
      <c r="B22" s="502"/>
      <c r="C22" s="506"/>
    </row>
    <row r="23" spans="2:3">
      <c r="B23" s="505" t="s">
        <v>4042</v>
      </c>
      <c r="C23" s="506"/>
    </row>
    <row r="24" spans="2:3">
      <c r="B24" s="502" t="s">
        <v>4043</v>
      </c>
      <c r="C24" s="506">
        <v>9753822</v>
      </c>
    </row>
    <row r="25" spans="2:3">
      <c r="B25" s="502" t="s">
        <v>4044</v>
      </c>
      <c r="C25" s="506"/>
    </row>
    <row r="26" spans="2:3">
      <c r="B26" s="502" t="s">
        <v>4045</v>
      </c>
      <c r="C26" s="506"/>
    </row>
    <row r="27" spans="2:3">
      <c r="B27" s="502" t="s">
        <v>4059</v>
      </c>
      <c r="C27" s="506">
        <v>250000</v>
      </c>
    </row>
    <row r="28" spans="2:3">
      <c r="B28" s="502" t="s">
        <v>4047</v>
      </c>
      <c r="C28" s="506"/>
    </row>
    <row r="29" spans="2:3">
      <c r="B29" s="502" t="s">
        <v>4048</v>
      </c>
      <c r="C29" s="506"/>
    </row>
    <row r="30" spans="2:3">
      <c r="B30" s="502" t="s">
        <v>4049</v>
      </c>
      <c r="C30" s="506"/>
    </row>
    <row r="31" spans="2:3">
      <c r="B31" s="502" t="s">
        <v>4050</v>
      </c>
      <c r="C31" s="506"/>
    </row>
    <row r="32" spans="2:3">
      <c r="B32" s="502" t="s">
        <v>4051</v>
      </c>
      <c r="C32" s="506"/>
    </row>
    <row r="33" spans="2:3">
      <c r="B33" s="502" t="s">
        <v>4052</v>
      </c>
      <c r="C33" s="506"/>
    </row>
    <row r="34" spans="2:3">
      <c r="B34" s="502" t="s">
        <v>4053</v>
      </c>
      <c r="C34" s="506"/>
    </row>
    <row r="35" spans="2:3">
      <c r="B35" s="502" t="s">
        <v>4054</v>
      </c>
      <c r="C35" s="506"/>
    </row>
    <row r="36" spans="2:3">
      <c r="B36" s="502" t="s">
        <v>4055</v>
      </c>
      <c r="C36" s="506">
        <v>27165.96</v>
      </c>
    </row>
    <row r="37" spans="2:3">
      <c r="B37" s="502"/>
      <c r="C37" s="506"/>
    </row>
    <row r="38" spans="2:3">
      <c r="B38" s="505" t="s">
        <v>4057</v>
      </c>
      <c r="C38" s="507">
        <f>SUM(C24:C37)</f>
        <v>10030987.960000001</v>
      </c>
    </row>
    <row r="39" spans="2:3">
      <c r="B39" s="502"/>
      <c r="C39" s="506"/>
    </row>
    <row r="40" spans="2:3">
      <c r="B40" s="502"/>
      <c r="C40" s="506"/>
    </row>
    <row r="41" spans="2:3">
      <c r="B41" s="502"/>
      <c r="C41" s="506"/>
    </row>
    <row r="42" spans="2:3">
      <c r="B42" s="505" t="s">
        <v>4058</v>
      </c>
      <c r="C42" s="506">
        <f>C15-C17+C20-C21-C38</f>
        <v>20054823.84</v>
      </c>
    </row>
    <row r="43" spans="2:3">
      <c r="B43" s="508"/>
      <c r="C43" s="509"/>
    </row>
    <row r="44" spans="2:3">
      <c r="C44" s="500" t="s">
        <v>4068</v>
      </c>
    </row>
  </sheetData>
  <mergeCells count="3">
    <mergeCell ref="B2:C2"/>
    <mergeCell ref="B3:C3"/>
    <mergeCell ref="B4:C4"/>
  </mergeCells>
  <pageMargins left="0.75" right="0.75" top="1" bottom="1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D43"/>
  <sheetViews>
    <sheetView topLeftCell="A18" zoomScale="125" workbookViewId="0">
      <selection activeCell="G24" sqref="G24"/>
    </sheetView>
  </sheetViews>
  <sheetFormatPr defaultColWidth="9" defaultRowHeight="14"/>
  <cols>
    <col min="1" max="1" width="3.25" customWidth="1"/>
    <col min="2" max="2" width="34.75" style="499" customWidth="1"/>
    <col min="3" max="3" width="27.33203125" style="500" customWidth="1"/>
    <col min="4" max="4" width="1.58203125" customWidth="1"/>
  </cols>
  <sheetData>
    <row r="2" spans="2:4" ht="17.5">
      <c r="B2" s="1123" t="s">
        <v>4028</v>
      </c>
      <c r="C2" s="1124"/>
    </row>
    <row r="3" spans="2:4" ht="15.5">
      <c r="B3" s="1125" t="s">
        <v>4029</v>
      </c>
      <c r="C3" s="1126"/>
      <c r="D3" s="501"/>
    </row>
    <row r="4" spans="2:4" ht="15.5">
      <c r="B4" s="1125" t="s">
        <v>4069</v>
      </c>
      <c r="C4" s="1126"/>
      <c r="D4" s="501"/>
    </row>
    <row r="5" spans="2:4">
      <c r="B5" s="502"/>
      <c r="C5" s="503"/>
    </row>
    <row r="6" spans="2:4">
      <c r="B6" s="504" t="s">
        <v>3455</v>
      </c>
      <c r="C6" s="504" t="s">
        <v>3857</v>
      </c>
    </row>
    <row r="7" spans="2:4">
      <c r="B7" s="505" t="s">
        <v>4031</v>
      </c>
      <c r="C7" s="506"/>
    </row>
    <row r="8" spans="2:4">
      <c r="B8" s="502" t="s">
        <v>4032</v>
      </c>
      <c r="C8" s="506">
        <v>92000</v>
      </c>
    </row>
    <row r="9" spans="2:4">
      <c r="B9" s="502" t="s">
        <v>4033</v>
      </c>
      <c r="C9" s="506">
        <v>306493723.43000001</v>
      </c>
    </row>
    <row r="10" spans="2:4">
      <c r="B10" s="505" t="s">
        <v>4034</v>
      </c>
      <c r="C10" s="507">
        <f>SUM(C8:C9)</f>
        <v>306585723.43000001</v>
      </c>
    </row>
    <row r="11" spans="2:4">
      <c r="B11" s="502"/>
      <c r="C11" s="506"/>
    </row>
    <row r="12" spans="2:4">
      <c r="B12" s="505" t="s">
        <v>4035</v>
      </c>
      <c r="C12" s="506"/>
    </row>
    <row r="13" spans="2:4">
      <c r="B13" s="502" t="s">
        <v>4070</v>
      </c>
      <c r="C13" s="506">
        <v>13330964</v>
      </c>
    </row>
    <row r="14" spans="2:4">
      <c r="B14" s="502" t="s">
        <v>4037</v>
      </c>
      <c r="C14" s="506">
        <v>89020.63</v>
      </c>
    </row>
    <row r="15" spans="2:4">
      <c r="B15" s="505" t="s">
        <v>4038</v>
      </c>
      <c r="C15" s="510">
        <f>SUM(C13:C14)</f>
        <v>13419984.630000001</v>
      </c>
    </row>
    <row r="16" spans="2:4">
      <c r="B16" s="502"/>
      <c r="C16" s="506"/>
    </row>
    <row r="17" spans="2:3">
      <c r="B17" s="505" t="s">
        <v>4039</v>
      </c>
      <c r="C17" s="506"/>
    </row>
    <row r="18" spans="2:3">
      <c r="B18" s="502" t="s">
        <v>4040</v>
      </c>
      <c r="C18" s="506"/>
    </row>
    <row r="19" spans="2:3">
      <c r="B19" s="502"/>
      <c r="C19" s="506"/>
    </row>
    <row r="20" spans="2:3">
      <c r="B20" s="505" t="s">
        <v>4071</v>
      </c>
      <c r="C20" s="510">
        <v>104830786</v>
      </c>
    </row>
    <row r="21" spans="2:3">
      <c r="B21" s="505" t="s">
        <v>4072</v>
      </c>
      <c r="C21" s="510">
        <v>190286162</v>
      </c>
    </row>
    <row r="22" spans="2:3">
      <c r="B22" s="502"/>
      <c r="C22" s="506"/>
    </row>
    <row r="23" spans="2:3">
      <c r="B23" s="505" t="s">
        <v>4042</v>
      </c>
      <c r="C23" s="506"/>
    </row>
    <row r="24" spans="2:3">
      <c r="B24" s="502" t="s">
        <v>4043</v>
      </c>
      <c r="C24" s="506">
        <v>6000000</v>
      </c>
    </row>
    <row r="25" spans="2:3">
      <c r="B25" s="502" t="s">
        <v>4044</v>
      </c>
      <c r="C25" s="506"/>
    </row>
    <row r="26" spans="2:3">
      <c r="B26" s="502" t="s">
        <v>4045</v>
      </c>
      <c r="C26" s="506"/>
    </row>
    <row r="27" spans="2:3">
      <c r="B27" s="502" t="s">
        <v>4059</v>
      </c>
      <c r="C27" s="506">
        <v>150000</v>
      </c>
    </row>
    <row r="28" spans="2:3">
      <c r="B28" s="502" t="s">
        <v>4047</v>
      </c>
      <c r="C28" s="506"/>
    </row>
    <row r="29" spans="2:3">
      <c r="B29" s="502" t="s">
        <v>4048</v>
      </c>
      <c r="C29" s="506"/>
    </row>
    <row r="30" spans="2:3">
      <c r="B30" s="502" t="s">
        <v>4049</v>
      </c>
      <c r="C30" s="506"/>
    </row>
    <row r="31" spans="2:3">
      <c r="B31" s="502" t="s">
        <v>4050</v>
      </c>
      <c r="C31" s="506"/>
    </row>
    <row r="32" spans="2:3">
      <c r="B32" s="502" t="s">
        <v>4051</v>
      </c>
      <c r="C32" s="506"/>
    </row>
    <row r="33" spans="2:3">
      <c r="B33" s="502" t="s">
        <v>4052</v>
      </c>
      <c r="C33" s="506"/>
    </row>
    <row r="34" spans="2:3">
      <c r="B34" s="502" t="s">
        <v>4053</v>
      </c>
      <c r="C34" s="506"/>
    </row>
    <row r="35" spans="2:3">
      <c r="B35" s="502" t="s">
        <v>4054</v>
      </c>
      <c r="C35" s="506"/>
    </row>
    <row r="36" spans="2:3">
      <c r="B36" s="502" t="s">
        <v>4055</v>
      </c>
      <c r="C36" s="506">
        <v>35804.129999999997</v>
      </c>
    </row>
    <row r="37" spans="2:3">
      <c r="B37" s="502"/>
      <c r="C37" s="506"/>
    </row>
    <row r="38" spans="2:3">
      <c r="B38" s="505" t="s">
        <v>4057</v>
      </c>
      <c r="C38" s="507">
        <f>SUM(C24:C37)</f>
        <v>6185804.1299999999</v>
      </c>
    </row>
    <row r="39" spans="2:3">
      <c r="B39" s="502"/>
      <c r="C39" s="506"/>
    </row>
    <row r="40" spans="2:3">
      <c r="B40" s="502"/>
      <c r="C40" s="506"/>
    </row>
    <row r="41" spans="2:3">
      <c r="B41" s="502"/>
      <c r="C41" s="506"/>
    </row>
    <row r="42" spans="2:3">
      <c r="B42" s="505" t="s">
        <v>4058</v>
      </c>
      <c r="C42" s="506">
        <f>C10+C15-C17+C20-C21-C38</f>
        <v>228364527.93000001</v>
      </c>
    </row>
    <row r="43" spans="2:3">
      <c r="B43" s="508"/>
      <c r="C43" s="509"/>
    </row>
  </sheetData>
  <mergeCells count="3">
    <mergeCell ref="B2:C2"/>
    <mergeCell ref="B3:C3"/>
    <mergeCell ref="B4:C4"/>
  </mergeCells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4"/>
  <sheetViews>
    <sheetView topLeftCell="A19" zoomScale="125" workbookViewId="0">
      <selection activeCell="H18" sqref="H18"/>
    </sheetView>
  </sheetViews>
  <sheetFormatPr defaultColWidth="9" defaultRowHeight="14"/>
  <cols>
    <col min="1" max="1" width="3.25" customWidth="1"/>
    <col min="2" max="2" width="34.75" style="499" customWidth="1"/>
    <col min="3" max="3" width="27.33203125" style="500" customWidth="1"/>
    <col min="4" max="4" width="1.58203125" customWidth="1"/>
  </cols>
  <sheetData>
    <row r="1" spans="1:4">
      <c r="A1" t="s">
        <v>4073</v>
      </c>
    </row>
    <row r="2" spans="1:4" ht="17.5">
      <c r="B2" s="1123" t="s">
        <v>4028</v>
      </c>
      <c r="C2" s="1124"/>
    </row>
    <row r="3" spans="1:4" ht="15.5">
      <c r="B3" s="1125" t="s">
        <v>4029</v>
      </c>
      <c r="C3" s="1126"/>
      <c r="D3" s="501"/>
    </row>
    <row r="4" spans="1:4" ht="15.5">
      <c r="B4" s="1125" t="s">
        <v>4074</v>
      </c>
      <c r="C4" s="1126"/>
      <c r="D4" s="501"/>
    </row>
    <row r="5" spans="1:4">
      <c r="B5" s="502"/>
      <c r="C5" s="503"/>
    </row>
    <row r="6" spans="1:4">
      <c r="B6" s="504" t="s">
        <v>3455</v>
      </c>
      <c r="C6" s="504" t="s">
        <v>3857</v>
      </c>
    </row>
    <row r="7" spans="1:4">
      <c r="B7" s="505" t="s">
        <v>4031</v>
      </c>
      <c r="C7" s="506"/>
    </row>
    <row r="8" spans="1:4">
      <c r="B8" s="502" t="s">
        <v>4032</v>
      </c>
      <c r="C8" s="506">
        <v>62000</v>
      </c>
    </row>
    <row r="9" spans="1:4">
      <c r="B9" s="502" t="s">
        <v>4033</v>
      </c>
      <c r="C9" s="506">
        <v>210038500.84999999</v>
      </c>
    </row>
    <row r="10" spans="1:4">
      <c r="B10" s="505" t="s">
        <v>4034</v>
      </c>
      <c r="C10" s="507">
        <f>SUM(C8:C9)</f>
        <v>210100500.84999999</v>
      </c>
    </row>
    <row r="11" spans="1:4">
      <c r="B11" s="502"/>
      <c r="C11" s="506"/>
    </row>
    <row r="12" spans="1:4">
      <c r="B12" s="505" t="s">
        <v>4035</v>
      </c>
      <c r="C12" s="506"/>
    </row>
    <row r="13" spans="1:4">
      <c r="B13" s="502" t="s">
        <v>4075</v>
      </c>
      <c r="C13" s="506">
        <v>12869562</v>
      </c>
    </row>
    <row r="14" spans="1:4">
      <c r="B14" s="502" t="s">
        <v>4037</v>
      </c>
      <c r="C14" s="506">
        <v>106544.27</v>
      </c>
    </row>
    <row r="15" spans="1:4">
      <c r="B15" s="505" t="s">
        <v>4038</v>
      </c>
      <c r="C15" s="510">
        <f>SUM(C13:C14)</f>
        <v>12976106.27</v>
      </c>
    </row>
    <row r="16" spans="1:4">
      <c r="B16" s="502"/>
      <c r="C16" s="506"/>
    </row>
    <row r="17" spans="2:3">
      <c r="B17" s="505" t="s">
        <v>4039</v>
      </c>
      <c r="C17" s="506"/>
    </row>
    <row r="18" spans="2:3">
      <c r="B18" s="502" t="s">
        <v>4040</v>
      </c>
      <c r="C18" s="506"/>
    </row>
    <row r="19" spans="2:3">
      <c r="B19" s="502"/>
      <c r="C19" s="506"/>
    </row>
    <row r="20" spans="2:3">
      <c r="B20" s="505" t="s">
        <v>4076</v>
      </c>
      <c r="C20" s="510">
        <v>85072989</v>
      </c>
    </row>
    <row r="21" spans="2:3">
      <c r="B21" s="505" t="s">
        <v>4077</v>
      </c>
      <c r="C21" s="510">
        <v>47489773</v>
      </c>
    </row>
    <row r="22" spans="2:3">
      <c r="B22" s="505" t="s">
        <v>4078</v>
      </c>
      <c r="C22" s="510">
        <v>100000000</v>
      </c>
    </row>
    <row r="23" spans="2:3">
      <c r="B23" s="502"/>
      <c r="C23" s="506"/>
    </row>
    <row r="24" spans="2:3">
      <c r="B24" s="505" t="s">
        <v>4042</v>
      </c>
      <c r="C24" s="506"/>
    </row>
    <row r="25" spans="2:3">
      <c r="B25" s="502" t="s">
        <v>4043</v>
      </c>
      <c r="C25" s="506"/>
    </row>
    <row r="26" spans="2:3">
      <c r="B26" s="502" t="s">
        <v>4044</v>
      </c>
      <c r="C26" s="506"/>
    </row>
    <row r="27" spans="2:3">
      <c r="B27" s="502" t="s">
        <v>4045</v>
      </c>
      <c r="C27" s="506"/>
    </row>
    <row r="28" spans="2:3">
      <c r="B28" s="502" t="s">
        <v>4059</v>
      </c>
      <c r="C28" s="506">
        <v>120000</v>
      </c>
    </row>
    <row r="29" spans="2:3">
      <c r="B29" s="502" t="s">
        <v>4047</v>
      </c>
      <c r="C29" s="506"/>
    </row>
    <row r="30" spans="2:3">
      <c r="B30" s="502" t="s">
        <v>4048</v>
      </c>
      <c r="C30" s="506"/>
    </row>
    <row r="31" spans="2:3">
      <c r="B31" s="502" t="s">
        <v>4049</v>
      </c>
      <c r="C31" s="506"/>
    </row>
    <row r="32" spans="2:3">
      <c r="B32" s="502" t="s">
        <v>4050</v>
      </c>
      <c r="C32" s="506"/>
    </row>
    <row r="33" spans="2:3">
      <c r="B33" s="502" t="s">
        <v>4051</v>
      </c>
      <c r="C33" s="506"/>
    </row>
    <row r="34" spans="2:3">
      <c r="B34" s="502" t="s">
        <v>4052</v>
      </c>
      <c r="C34" s="506"/>
    </row>
    <row r="35" spans="2:3">
      <c r="B35" s="502" t="s">
        <v>4053</v>
      </c>
      <c r="C35" s="506"/>
    </row>
    <row r="36" spans="2:3">
      <c r="B36" s="502" t="s">
        <v>4054</v>
      </c>
      <c r="C36" s="506"/>
    </row>
    <row r="37" spans="2:3">
      <c r="B37" s="502" t="s">
        <v>4055</v>
      </c>
      <c r="C37" s="506">
        <v>41808.85</v>
      </c>
    </row>
    <row r="38" spans="2:3">
      <c r="B38" s="502"/>
      <c r="C38" s="506"/>
    </row>
    <row r="39" spans="2:3">
      <c r="B39" s="505" t="s">
        <v>4057</v>
      </c>
      <c r="C39" s="507">
        <f>SUM(C25:C38)</f>
        <v>161808.85</v>
      </c>
    </row>
    <row r="40" spans="2:3">
      <c r="B40" s="502"/>
      <c r="C40" s="506"/>
    </row>
    <row r="41" spans="2:3">
      <c r="B41" s="502"/>
      <c r="C41" s="506"/>
    </row>
    <row r="42" spans="2:3">
      <c r="B42" s="502"/>
      <c r="C42" s="506"/>
    </row>
    <row r="43" spans="2:3">
      <c r="B43" s="505" t="s">
        <v>4058</v>
      </c>
      <c r="C43" s="506">
        <f>C10+C15-C17+C20-C21-C22-C39</f>
        <v>160498014.27000001</v>
      </c>
    </row>
    <row r="44" spans="2:3">
      <c r="B44" s="508"/>
      <c r="C44" s="509"/>
    </row>
  </sheetData>
  <mergeCells count="3">
    <mergeCell ref="B2:C2"/>
    <mergeCell ref="B3:C3"/>
    <mergeCell ref="B4:C4"/>
  </mergeCells>
  <pageMargins left="0.75" right="0.75" top="1" bottom="1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4"/>
  <sheetViews>
    <sheetView topLeftCell="A13" zoomScale="130" zoomScaleNormal="130" workbookViewId="0">
      <selection activeCell="D30" sqref="D30"/>
    </sheetView>
  </sheetViews>
  <sheetFormatPr defaultColWidth="9" defaultRowHeight="14"/>
  <cols>
    <col min="1" max="1" width="3.25" customWidth="1"/>
    <col min="2" max="2" width="34.75" style="499" customWidth="1"/>
    <col min="3" max="3" width="27.33203125" style="500" customWidth="1"/>
    <col min="4" max="4" width="1.58203125" customWidth="1"/>
  </cols>
  <sheetData>
    <row r="1" spans="1:4">
      <c r="A1" t="s">
        <v>4073</v>
      </c>
    </row>
    <row r="2" spans="1:4" ht="17.5">
      <c r="B2" s="1123" t="s">
        <v>4028</v>
      </c>
      <c r="C2" s="1124"/>
    </row>
    <row r="3" spans="1:4" ht="15.5">
      <c r="B3" s="1125" t="s">
        <v>4029</v>
      </c>
      <c r="C3" s="1126"/>
      <c r="D3" s="501"/>
    </row>
    <row r="4" spans="1:4" ht="15.5">
      <c r="B4" s="1125" t="s">
        <v>4079</v>
      </c>
      <c r="C4" s="1126"/>
      <c r="D4" s="501"/>
    </row>
    <row r="5" spans="1:4">
      <c r="B5" s="502"/>
      <c r="C5" s="503"/>
    </row>
    <row r="6" spans="1:4">
      <c r="B6" s="504" t="s">
        <v>3455</v>
      </c>
      <c r="C6" s="504" t="s">
        <v>3857</v>
      </c>
    </row>
    <row r="7" spans="1:4">
      <c r="B7" s="505" t="s">
        <v>4031</v>
      </c>
      <c r="C7" s="506"/>
    </row>
    <row r="8" spans="1:4">
      <c r="B8" s="502" t="s">
        <v>4032</v>
      </c>
      <c r="C8" s="506">
        <v>2000</v>
      </c>
    </row>
    <row r="9" spans="1:4">
      <c r="B9" s="502" t="s">
        <v>4033</v>
      </c>
      <c r="C9" s="506">
        <v>262504536.84999999</v>
      </c>
    </row>
    <row r="10" spans="1:4">
      <c r="B10" s="505" t="s">
        <v>4034</v>
      </c>
      <c r="C10" s="507">
        <f>SUM(C8:C9)</f>
        <v>262506536.84999999</v>
      </c>
    </row>
    <row r="11" spans="1:4">
      <c r="B11" s="502"/>
      <c r="C11" s="506"/>
    </row>
    <row r="12" spans="1:4">
      <c r="B12" s="505" t="s">
        <v>4035</v>
      </c>
      <c r="C12" s="506"/>
    </row>
    <row r="13" spans="1:4">
      <c r="B13" s="502" t="s">
        <v>4080</v>
      </c>
      <c r="C13" s="506">
        <v>50519681</v>
      </c>
    </row>
    <row r="14" spans="1:4">
      <c r="B14" s="502" t="s">
        <v>4037</v>
      </c>
      <c r="C14" s="506"/>
    </row>
    <row r="15" spans="1:4">
      <c r="B15" s="505" t="s">
        <v>4038</v>
      </c>
      <c r="C15" s="510">
        <f>SUM(C13:C14)</f>
        <v>50519681</v>
      </c>
    </row>
    <row r="16" spans="1:4">
      <c r="B16" s="502"/>
      <c r="C16" s="506"/>
    </row>
    <row r="17" spans="2:3">
      <c r="B17" s="505" t="s">
        <v>4039</v>
      </c>
      <c r="C17" s="506"/>
    </row>
    <row r="18" spans="2:3">
      <c r="B18" s="502" t="s">
        <v>4040</v>
      </c>
      <c r="C18" s="506"/>
    </row>
    <row r="19" spans="2:3">
      <c r="B19" s="502"/>
      <c r="C19" s="506"/>
    </row>
    <row r="20" spans="2:3">
      <c r="B20" s="505" t="s">
        <v>4081</v>
      </c>
      <c r="C20" s="510">
        <v>21870490</v>
      </c>
    </row>
    <row r="21" spans="2:3">
      <c r="B21" s="505" t="s">
        <v>4082</v>
      </c>
      <c r="C21" s="510">
        <v>0</v>
      </c>
    </row>
    <row r="22" spans="2:3">
      <c r="B22" s="505" t="s">
        <v>4078</v>
      </c>
      <c r="C22" s="510">
        <v>100000000</v>
      </c>
    </row>
    <row r="23" spans="2:3">
      <c r="B23" s="502"/>
      <c r="C23" s="506"/>
    </row>
    <row r="24" spans="2:3">
      <c r="B24" s="505" t="s">
        <v>4042</v>
      </c>
      <c r="C24" s="506"/>
    </row>
    <row r="25" spans="2:3">
      <c r="B25" s="502" t="s">
        <v>4043</v>
      </c>
      <c r="C25" s="506"/>
    </row>
    <row r="26" spans="2:3">
      <c r="B26" s="502" t="s">
        <v>4044</v>
      </c>
      <c r="C26" s="506"/>
    </row>
    <row r="27" spans="2:3">
      <c r="B27" s="502" t="s">
        <v>4045</v>
      </c>
      <c r="C27" s="506"/>
    </row>
    <row r="28" spans="2:3">
      <c r="B28" s="502" t="s">
        <v>4059</v>
      </c>
      <c r="C28" s="506">
        <v>150000</v>
      </c>
    </row>
    <row r="29" spans="2:3">
      <c r="B29" s="502" t="s">
        <v>4047</v>
      </c>
      <c r="C29" s="506"/>
    </row>
    <row r="30" spans="2:3">
      <c r="B30" s="502" t="s">
        <v>4048</v>
      </c>
      <c r="C30" s="506"/>
    </row>
    <row r="31" spans="2:3">
      <c r="B31" s="502" t="s">
        <v>4049</v>
      </c>
      <c r="C31" s="506"/>
    </row>
    <row r="32" spans="2:3">
      <c r="B32" s="502" t="s">
        <v>4050</v>
      </c>
      <c r="C32" s="506"/>
    </row>
    <row r="33" spans="2:3">
      <c r="B33" s="502" t="s">
        <v>4051</v>
      </c>
      <c r="C33" s="506"/>
    </row>
    <row r="34" spans="2:3">
      <c r="B34" s="502" t="s">
        <v>4052</v>
      </c>
      <c r="C34" s="506"/>
    </row>
    <row r="35" spans="2:3">
      <c r="B35" s="502" t="s">
        <v>4053</v>
      </c>
      <c r="C35" s="506"/>
    </row>
    <row r="36" spans="2:3">
      <c r="B36" s="502" t="s">
        <v>4054</v>
      </c>
      <c r="C36" s="506"/>
    </row>
    <row r="37" spans="2:3">
      <c r="B37" s="502" t="s">
        <v>4055</v>
      </c>
      <c r="C37" s="506"/>
    </row>
    <row r="38" spans="2:3">
      <c r="B38" s="502"/>
      <c r="C38" s="506"/>
    </row>
    <row r="39" spans="2:3">
      <c r="B39" s="505" t="s">
        <v>4057</v>
      </c>
      <c r="C39" s="507">
        <f>SUM(C25:C38)</f>
        <v>150000</v>
      </c>
    </row>
    <row r="40" spans="2:3">
      <c r="B40" s="502"/>
      <c r="C40" s="506"/>
    </row>
    <row r="41" spans="2:3">
      <c r="B41" s="502"/>
      <c r="C41" s="506"/>
    </row>
    <row r="42" spans="2:3">
      <c r="B42" s="502"/>
      <c r="C42" s="506"/>
    </row>
    <row r="43" spans="2:3">
      <c r="B43" s="505" t="s">
        <v>4058</v>
      </c>
      <c r="C43" s="506">
        <f>C10+C15-C17+C20-C21-C22-C39</f>
        <v>234746707.85000002</v>
      </c>
    </row>
    <row r="44" spans="2:3">
      <c r="B44" s="508"/>
      <c r="C44" s="509"/>
    </row>
  </sheetData>
  <mergeCells count="3">
    <mergeCell ref="B2:C2"/>
    <mergeCell ref="B3:C3"/>
    <mergeCell ref="B4:C4"/>
  </mergeCells>
  <pageMargins left="0.75" right="0.75" top="1" bottom="1" header="0.51180555555555596" footer="0.51180555555555596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44"/>
  <sheetViews>
    <sheetView topLeftCell="A19" zoomScale="130" zoomScaleNormal="130" workbookViewId="0">
      <selection activeCell="F30" sqref="F30"/>
    </sheetView>
  </sheetViews>
  <sheetFormatPr defaultColWidth="9" defaultRowHeight="14"/>
  <cols>
    <col min="1" max="1" width="3.25" customWidth="1"/>
    <col min="2" max="2" width="34.75" style="499" customWidth="1"/>
    <col min="3" max="3" width="27.33203125" style="500" customWidth="1"/>
    <col min="4" max="4" width="1.58203125" customWidth="1"/>
  </cols>
  <sheetData>
    <row r="1" spans="1:4">
      <c r="A1" t="s">
        <v>4073</v>
      </c>
    </row>
    <row r="2" spans="1:4" ht="17.5">
      <c r="B2" s="1123" t="s">
        <v>4028</v>
      </c>
      <c r="C2" s="1124"/>
    </row>
    <row r="3" spans="1:4" ht="15.5">
      <c r="B3" s="1125" t="s">
        <v>4029</v>
      </c>
      <c r="C3" s="1126"/>
      <c r="D3" s="501"/>
    </row>
    <row r="4" spans="1:4" ht="15.5">
      <c r="B4" s="1125" t="s">
        <v>4083</v>
      </c>
      <c r="C4" s="1126"/>
      <c r="D4" s="501"/>
    </row>
    <row r="5" spans="1:4">
      <c r="B5" s="502"/>
      <c r="C5" s="503"/>
    </row>
    <row r="6" spans="1:4">
      <c r="B6" s="504" t="s">
        <v>3455</v>
      </c>
      <c r="C6" s="504" t="s">
        <v>3857</v>
      </c>
    </row>
    <row r="7" spans="1:4">
      <c r="B7" s="505" t="s">
        <v>4031</v>
      </c>
      <c r="C7" s="506"/>
    </row>
    <row r="8" spans="1:4">
      <c r="B8" s="502" t="s">
        <v>4032</v>
      </c>
      <c r="C8" s="506"/>
    </row>
    <row r="9" spans="1:4">
      <c r="B9" s="502" t="s">
        <v>4033</v>
      </c>
      <c r="C9" s="506"/>
    </row>
    <row r="10" spans="1:4">
      <c r="B10" s="505" t="s">
        <v>4034</v>
      </c>
      <c r="C10" s="507">
        <f>SUM(C8:C9)</f>
        <v>0</v>
      </c>
    </row>
    <row r="11" spans="1:4">
      <c r="B11" s="502"/>
      <c r="C11" s="506"/>
    </row>
    <row r="12" spans="1:4">
      <c r="B12" s="505" t="s">
        <v>4035</v>
      </c>
      <c r="C12" s="506"/>
    </row>
    <row r="13" spans="1:4">
      <c r="B13" s="502" t="s">
        <v>4084</v>
      </c>
      <c r="C13" s="506">
        <v>19017000</v>
      </c>
    </row>
    <row r="14" spans="1:4">
      <c r="B14" s="502" t="s">
        <v>4037</v>
      </c>
      <c r="C14" s="506">
        <v>115580.12</v>
      </c>
    </row>
    <row r="15" spans="1:4">
      <c r="B15" s="505" t="s">
        <v>4038</v>
      </c>
      <c r="C15" s="510">
        <f>SUM(C13:C14)</f>
        <v>19132580.120000001</v>
      </c>
    </row>
    <row r="16" spans="1:4">
      <c r="B16" s="502"/>
      <c r="C16" s="506"/>
    </row>
    <row r="17" spans="2:3">
      <c r="B17" s="505" t="s">
        <v>4039</v>
      </c>
      <c r="C17" s="506"/>
    </row>
    <row r="18" spans="2:3">
      <c r="B18" s="505" t="s">
        <v>4085</v>
      </c>
      <c r="C18" s="506"/>
    </row>
    <row r="19" spans="2:3">
      <c r="B19" s="502"/>
      <c r="C19" s="506"/>
    </row>
    <row r="20" spans="2:3">
      <c r="B20" s="505" t="s">
        <v>4086</v>
      </c>
      <c r="C20" s="507"/>
    </row>
    <row r="21" spans="2:3">
      <c r="B21" s="505" t="s">
        <v>4087</v>
      </c>
      <c r="C21" s="507"/>
    </row>
    <row r="22" spans="2:3">
      <c r="B22" s="505" t="s">
        <v>4088</v>
      </c>
      <c r="C22" s="507"/>
    </row>
    <row r="23" spans="2:3">
      <c r="B23" s="502"/>
      <c r="C23" s="506"/>
    </row>
    <row r="24" spans="2:3">
      <c r="B24" s="505" t="s">
        <v>4042</v>
      </c>
      <c r="C24" s="506"/>
    </row>
    <row r="25" spans="2:3">
      <c r="B25" s="502" t="s">
        <v>4043</v>
      </c>
      <c r="C25" s="506">
        <v>2000000</v>
      </c>
    </row>
    <row r="26" spans="2:3">
      <c r="B26" s="502" t="s">
        <v>4044</v>
      </c>
      <c r="C26" s="506"/>
    </row>
    <row r="27" spans="2:3">
      <c r="B27" s="502" t="s">
        <v>4045</v>
      </c>
      <c r="C27" s="506"/>
    </row>
    <row r="28" spans="2:3">
      <c r="B28" s="502" t="s">
        <v>4059</v>
      </c>
      <c r="C28" s="506">
        <v>150000</v>
      </c>
    </row>
    <row r="29" spans="2:3">
      <c r="B29" s="502" t="s">
        <v>4047</v>
      </c>
      <c r="C29" s="506"/>
    </row>
    <row r="30" spans="2:3">
      <c r="B30" s="502" t="s">
        <v>4048</v>
      </c>
      <c r="C30" s="506"/>
    </row>
    <row r="31" spans="2:3">
      <c r="B31" s="502" t="s">
        <v>4049</v>
      </c>
      <c r="C31" s="506"/>
    </row>
    <row r="32" spans="2:3">
      <c r="B32" s="502" t="s">
        <v>4050</v>
      </c>
      <c r="C32" s="506"/>
    </row>
    <row r="33" spans="2:3">
      <c r="B33" s="502" t="s">
        <v>4051</v>
      </c>
      <c r="C33" s="506"/>
    </row>
    <row r="34" spans="2:3">
      <c r="B34" s="502" t="s">
        <v>4052</v>
      </c>
      <c r="C34" s="506"/>
    </row>
    <row r="35" spans="2:3">
      <c r="B35" s="502" t="s">
        <v>4053</v>
      </c>
      <c r="C35" s="506"/>
    </row>
    <row r="36" spans="2:3">
      <c r="B36" s="502" t="s">
        <v>4054</v>
      </c>
      <c r="C36" s="506"/>
    </row>
    <row r="37" spans="2:3">
      <c r="B37" s="502" t="s">
        <v>4055</v>
      </c>
      <c r="C37" s="506">
        <v>46116.02</v>
      </c>
    </row>
    <row r="38" spans="2:3">
      <c r="B38" s="502"/>
      <c r="C38" s="506"/>
    </row>
    <row r="39" spans="2:3">
      <c r="B39" s="505" t="s">
        <v>4057</v>
      </c>
      <c r="C39" s="507">
        <f>SUM(C25:C38)</f>
        <v>2196116.02</v>
      </c>
    </row>
    <row r="40" spans="2:3">
      <c r="B40" s="502"/>
      <c r="C40" s="506"/>
    </row>
    <row r="41" spans="2:3">
      <c r="B41" s="502"/>
      <c r="C41" s="506"/>
    </row>
    <row r="42" spans="2:3">
      <c r="B42" s="502"/>
      <c r="C42" s="506"/>
    </row>
    <row r="43" spans="2:3">
      <c r="B43" s="505" t="s">
        <v>4058</v>
      </c>
      <c r="C43" s="506">
        <f>C10+C15-C17+C20-C21-C22-C39</f>
        <v>16936464.100000001</v>
      </c>
    </row>
    <row r="44" spans="2:3">
      <c r="B44" s="508"/>
      <c r="C44" s="509"/>
    </row>
  </sheetData>
  <mergeCells count="3">
    <mergeCell ref="B2:C2"/>
    <mergeCell ref="B3:C3"/>
    <mergeCell ref="B4:C4"/>
  </mergeCells>
  <pageMargins left="0.75" right="0.75" top="1" bottom="1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E302-991E-412C-A9DB-EE5304E745DD}">
  <dimension ref="A1:I50"/>
  <sheetViews>
    <sheetView topLeftCell="A22" zoomScale="130" workbookViewId="0">
      <selection activeCell="C51" sqref="C51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4551</v>
      </c>
      <c r="G3" s="684" t="s">
        <v>4552</v>
      </c>
      <c r="H3" s="643">
        <v>6484375</v>
      </c>
      <c r="I3" s="628"/>
    </row>
    <row r="4" spans="2:9" ht="14.5">
      <c r="B4" s="1113" t="s">
        <v>4550</v>
      </c>
      <c r="C4" s="1116"/>
      <c r="D4" s="672"/>
      <c r="E4" s="642">
        <v>2</v>
      </c>
      <c r="F4" s="642" t="s">
        <v>4553</v>
      </c>
      <c r="G4" s="683" t="s">
        <v>4554</v>
      </c>
      <c r="H4" s="643">
        <v>271762</v>
      </c>
      <c r="I4" s="628"/>
    </row>
    <row r="5" spans="2:9" ht="14.5">
      <c r="B5" s="632"/>
      <c r="C5" s="633"/>
      <c r="E5" s="642">
        <v>3</v>
      </c>
      <c r="F5" s="642" t="s">
        <v>4557</v>
      </c>
      <c r="G5" s="683" t="s">
        <v>4558</v>
      </c>
      <c r="H5" s="643">
        <v>290000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4559</v>
      </c>
      <c r="G6" s="683" t="s">
        <v>4520</v>
      </c>
      <c r="H6" s="643">
        <v>4430000</v>
      </c>
      <c r="I6" s="628"/>
    </row>
    <row r="7" spans="2:9" ht="14.5">
      <c r="B7" s="635" t="s">
        <v>4031</v>
      </c>
      <c r="C7" s="636"/>
      <c r="E7" s="642">
        <v>5</v>
      </c>
      <c r="F7" s="642" t="s">
        <v>4560</v>
      </c>
      <c r="G7" s="683" t="s">
        <v>4520</v>
      </c>
      <c r="H7" s="643">
        <v>1123000</v>
      </c>
      <c r="I7" s="628"/>
    </row>
    <row r="8" spans="2:9" ht="14.5">
      <c r="B8" s="632" t="s">
        <v>4032</v>
      </c>
      <c r="C8" s="636"/>
      <c r="E8" s="642">
        <v>6</v>
      </c>
      <c r="F8" s="642" t="s">
        <v>4561</v>
      </c>
      <c r="G8" s="683" t="s">
        <v>4520</v>
      </c>
      <c r="H8" s="643">
        <v>4430000</v>
      </c>
      <c r="I8" s="628"/>
    </row>
    <row r="9" spans="2:9" ht="15">
      <c r="B9" s="632" t="s">
        <v>4548</v>
      </c>
      <c r="C9" s="636">
        <f>'LR OKT 23'!C45</f>
        <v>89033758.899999991</v>
      </c>
      <c r="E9" s="1121" t="s">
        <v>4493</v>
      </c>
      <c r="F9" s="1121"/>
      <c r="G9" s="1121"/>
      <c r="H9" s="644">
        <f>SUM(H3:H8)</f>
        <v>17029137</v>
      </c>
      <c r="I9" s="628"/>
    </row>
    <row r="10" spans="2:9" ht="15">
      <c r="B10" s="635" t="s">
        <v>4034</v>
      </c>
      <c r="C10" s="637">
        <f>SUM(C8:C9)</f>
        <v>89033758.899999991</v>
      </c>
      <c r="E10" s="1115" t="s">
        <v>4540</v>
      </c>
      <c r="F10" s="1115"/>
      <c r="G10" s="1115"/>
    </row>
    <row r="11" spans="2:9">
      <c r="B11" s="632"/>
      <c r="C11" s="636"/>
      <c r="E11" s="1112" t="s">
        <v>4529</v>
      </c>
      <c r="F11" s="1112"/>
      <c r="G11" s="1112"/>
    </row>
    <row r="12" spans="2:9">
      <c r="B12" s="635" t="s">
        <v>4035</v>
      </c>
      <c r="C12" s="636"/>
      <c r="E12" s="673" t="s">
        <v>1</v>
      </c>
      <c r="F12" s="673" t="s">
        <v>3698</v>
      </c>
      <c r="G12" s="673" t="s">
        <v>4524</v>
      </c>
    </row>
    <row r="13" spans="2:9">
      <c r="B13" s="632" t="s">
        <v>4036</v>
      </c>
      <c r="C13" s="636">
        <f>H9</f>
        <v>17029137</v>
      </c>
      <c r="E13" s="674">
        <v>1</v>
      </c>
      <c r="F13" s="674"/>
      <c r="G13" s="536"/>
    </row>
    <row r="14" spans="2:9">
      <c r="B14" s="632" t="s">
        <v>4037</v>
      </c>
      <c r="C14" s="636">
        <v>42021.4</v>
      </c>
      <c r="E14" s="1113" t="s">
        <v>4493</v>
      </c>
      <c r="F14" s="1113"/>
      <c r="G14" s="675">
        <f>SUM(G8:G13)</f>
        <v>0</v>
      </c>
    </row>
    <row r="15" spans="2:9">
      <c r="B15" s="635" t="s">
        <v>4038</v>
      </c>
      <c r="C15" s="637">
        <f>SUM(C13:C14)</f>
        <v>17071158.399999999</v>
      </c>
      <c r="E15" s="674">
        <v>3</v>
      </c>
      <c r="F15" s="674"/>
      <c r="G15" s="536"/>
    </row>
    <row r="16" spans="2:9">
      <c r="B16" s="632"/>
      <c r="C16" s="636"/>
      <c r="E16" s="674">
        <v>4</v>
      </c>
      <c r="F16" s="674"/>
      <c r="G16" s="536"/>
    </row>
    <row r="17" spans="2:9">
      <c r="B17" s="635" t="s">
        <v>4039</v>
      </c>
      <c r="C17" s="636"/>
      <c r="E17" s="674">
        <v>5</v>
      </c>
      <c r="F17" s="674"/>
      <c r="G17" s="536"/>
    </row>
    <row r="18" spans="2:9">
      <c r="B18" s="632" t="s">
        <v>4040</v>
      </c>
      <c r="C18" s="636"/>
      <c r="E18" s="674">
        <v>6</v>
      </c>
      <c r="F18" s="674"/>
      <c r="G18" s="536"/>
    </row>
    <row r="19" spans="2:9">
      <c r="B19" s="632"/>
      <c r="C19" s="636"/>
      <c r="E19" s="1113" t="s">
        <v>4493</v>
      </c>
      <c r="F19" s="1113"/>
      <c r="G19" s="675">
        <f>SUM(G13:G18)</f>
        <v>0</v>
      </c>
    </row>
    <row r="20" spans="2:9">
      <c r="B20" s="635"/>
      <c r="C20" s="636"/>
    </row>
    <row r="21" spans="2:9">
      <c r="B21" s="632"/>
      <c r="C21" s="636"/>
      <c r="E21" s="1112" t="s">
        <v>4533</v>
      </c>
      <c r="F21" s="1112"/>
      <c r="G21" s="1112"/>
    </row>
    <row r="22" spans="2:9">
      <c r="B22" s="632"/>
      <c r="C22" s="636"/>
      <c r="E22" s="674">
        <v>1</v>
      </c>
      <c r="F22" s="674"/>
      <c r="G22" s="536"/>
    </row>
    <row r="23" spans="2:9">
      <c r="B23" s="635" t="s">
        <v>4042</v>
      </c>
      <c r="C23" s="636"/>
      <c r="E23" s="1113" t="s">
        <v>4493</v>
      </c>
      <c r="F23" s="1113"/>
      <c r="G23" s="675">
        <f>SUM(G17:G22)</f>
        <v>0</v>
      </c>
    </row>
    <row r="24" spans="2:9">
      <c r="B24" s="632" t="s">
        <v>4043</v>
      </c>
      <c r="C24" s="636">
        <f>H34</f>
        <v>2120547</v>
      </c>
      <c r="E24" s="674">
        <v>3</v>
      </c>
      <c r="F24" s="674"/>
      <c r="G24" s="536"/>
    </row>
    <row r="25" spans="2:9">
      <c r="B25" s="632" t="s">
        <v>4044</v>
      </c>
      <c r="C25" s="636">
        <v>0</v>
      </c>
      <c r="E25" s="674">
        <v>4</v>
      </c>
      <c r="F25" s="674"/>
      <c r="G25" s="536"/>
    </row>
    <row r="26" spans="2:9">
      <c r="B26" s="632" t="s">
        <v>4045</v>
      </c>
      <c r="C26" s="636">
        <v>0</v>
      </c>
      <c r="E26" s="674">
        <v>5</v>
      </c>
      <c r="F26" s="674"/>
      <c r="G26" s="536"/>
    </row>
    <row r="27" spans="2:9">
      <c r="B27" s="632" t="s">
        <v>4046</v>
      </c>
      <c r="C27" s="636">
        <v>0</v>
      </c>
      <c r="E27" s="674">
        <v>6</v>
      </c>
      <c r="F27" s="674"/>
      <c r="G27" s="536"/>
    </row>
    <row r="28" spans="2:9">
      <c r="B28" s="632" t="s">
        <v>4047</v>
      </c>
      <c r="C28" s="636">
        <v>0</v>
      </c>
      <c r="E28" s="1127" t="s">
        <v>4493</v>
      </c>
      <c r="F28" s="1128"/>
      <c r="G28" s="675">
        <f>SUM(G21:G27)</f>
        <v>0</v>
      </c>
    </row>
    <row r="29" spans="2:9">
      <c r="B29" s="632" t="s">
        <v>4048</v>
      </c>
      <c r="C29" s="636">
        <v>150000</v>
      </c>
    </row>
    <row r="30" spans="2:9" ht="14.5">
      <c r="B30" s="632" t="s">
        <v>4545</v>
      </c>
      <c r="C30" s="636">
        <v>0</v>
      </c>
      <c r="E30" s="1117" t="s">
        <v>4043</v>
      </c>
      <c r="F30" s="1118"/>
      <c r="G30" s="1118"/>
      <c r="H30" s="1119"/>
      <c r="I30" s="645"/>
    </row>
    <row r="31" spans="2:9" ht="14.5">
      <c r="B31" s="632" t="s">
        <v>4050</v>
      </c>
      <c r="C31" s="636">
        <v>0</v>
      </c>
      <c r="E31" s="673" t="s">
        <v>3385</v>
      </c>
      <c r="F31" s="673" t="s">
        <v>4262</v>
      </c>
      <c r="G31" s="673" t="s">
        <v>4502</v>
      </c>
      <c r="H31" s="673" t="s">
        <v>3213</v>
      </c>
      <c r="I31" s="628"/>
    </row>
    <row r="32" spans="2:9" ht="14.5">
      <c r="B32" s="632" t="s">
        <v>4051</v>
      </c>
      <c r="C32" s="636">
        <v>0</v>
      </c>
      <c r="E32" s="674">
        <v>1</v>
      </c>
      <c r="F32" s="674" t="s">
        <v>3801</v>
      </c>
      <c r="G32" s="674" t="s">
        <v>4509</v>
      </c>
      <c r="H32" s="536">
        <v>0</v>
      </c>
      <c r="I32" s="628"/>
    </row>
    <row r="33" spans="2:9" ht="14.5">
      <c r="B33" s="632" t="s">
        <v>4052</v>
      </c>
      <c r="C33" s="636">
        <v>0</v>
      </c>
      <c r="E33" s="674">
        <v>2</v>
      </c>
      <c r="F33" s="674" t="s">
        <v>4510</v>
      </c>
      <c r="G33" s="674" t="s">
        <v>4482</v>
      </c>
      <c r="H33" s="536">
        <v>2120547</v>
      </c>
      <c r="I33" s="628"/>
    </row>
    <row r="34" spans="2:9" ht="14.5">
      <c r="B34" s="632" t="s">
        <v>4053</v>
      </c>
      <c r="C34" s="636">
        <v>0</v>
      </c>
      <c r="E34" s="1127" t="s">
        <v>4493</v>
      </c>
      <c r="F34" s="1129"/>
      <c r="G34" s="1128"/>
      <c r="H34" s="675">
        <f>SUM(H30:H33)</f>
        <v>2120547</v>
      </c>
      <c r="I34" s="628"/>
    </row>
    <row r="35" spans="2:9" ht="14.5">
      <c r="B35" s="632" t="s">
        <v>4054</v>
      </c>
      <c r="C35" s="636">
        <v>0</v>
      </c>
      <c r="I35" s="628"/>
    </row>
    <row r="36" spans="2:9" ht="14.5">
      <c r="B36" s="632" t="s">
        <v>4055</v>
      </c>
      <c r="C36" s="636">
        <f>G50</f>
        <v>36804.28</v>
      </c>
      <c r="E36" s="1117" t="s">
        <v>4050</v>
      </c>
      <c r="F36" s="1118"/>
      <c r="G36" s="1119"/>
      <c r="I36" s="628"/>
    </row>
    <row r="37" spans="2:9">
      <c r="B37" s="632" t="s">
        <v>4056</v>
      </c>
      <c r="C37" s="636"/>
      <c r="E37" s="674">
        <v>1</v>
      </c>
      <c r="F37" s="674"/>
      <c r="G37" s="536"/>
    </row>
    <row r="38" spans="2:9">
      <c r="B38" s="635" t="s">
        <v>4057</v>
      </c>
      <c r="C38" s="637">
        <f>SUM(C24:C37)</f>
        <v>2307351.2799999998</v>
      </c>
      <c r="E38" s="1127" t="s">
        <v>4493</v>
      </c>
      <c r="F38" s="1128"/>
      <c r="G38" s="675">
        <f>SUM(G37:G37)</f>
        <v>0</v>
      </c>
    </row>
    <row r="39" spans="2:9">
      <c r="B39" s="632"/>
      <c r="C39" s="636"/>
    </row>
    <row r="40" spans="2:9">
      <c r="B40" s="632"/>
      <c r="C40" s="636"/>
      <c r="E40" s="1117" t="s">
        <v>4543</v>
      </c>
      <c r="F40" s="1118"/>
      <c r="G40" s="1119"/>
    </row>
    <row r="41" spans="2:9">
      <c r="B41" s="632"/>
      <c r="C41" s="636"/>
      <c r="E41" s="674">
        <v>1</v>
      </c>
      <c r="F41" s="674"/>
      <c r="G41" s="536"/>
    </row>
    <row r="42" spans="2:9">
      <c r="B42" s="635" t="s">
        <v>4058</v>
      </c>
      <c r="C42" s="637">
        <f>C15-C38</f>
        <v>14763807.119999999</v>
      </c>
      <c r="E42" s="1127" t="s">
        <v>4493</v>
      </c>
      <c r="F42" s="1128"/>
      <c r="G42" s="675">
        <f>SUM(G41:G41)</f>
        <v>0</v>
      </c>
    </row>
    <row r="43" spans="2:9">
      <c r="B43" s="638"/>
      <c r="C43" s="639"/>
    </row>
    <row r="44" spans="2:9">
      <c r="E44" s="1117" t="s">
        <v>4546</v>
      </c>
      <c r="F44" s="1118"/>
      <c r="G44" s="1119"/>
    </row>
    <row r="45" spans="2:9">
      <c r="B45" s="681" t="s">
        <v>4549</v>
      </c>
      <c r="C45" s="682">
        <f>'REKON MANDIRI EWILOG'!F35</f>
        <v>75731618.019999996</v>
      </c>
      <c r="E45" s="679">
        <v>1</v>
      </c>
      <c r="F45" s="677" t="s">
        <v>4562</v>
      </c>
      <c r="G45" s="678">
        <v>7500</v>
      </c>
    </row>
    <row r="46" spans="2:9">
      <c r="E46" s="679">
        <v>2</v>
      </c>
      <c r="F46" s="677" t="s">
        <v>4563</v>
      </c>
      <c r="G46" s="678">
        <v>5500</v>
      </c>
    </row>
    <row r="47" spans="2:9">
      <c r="E47" s="679">
        <v>3</v>
      </c>
      <c r="F47" s="677" t="s">
        <v>4564</v>
      </c>
      <c r="G47" s="678">
        <v>2900</v>
      </c>
    </row>
    <row r="48" spans="2:9">
      <c r="E48" s="679">
        <v>4</v>
      </c>
      <c r="F48" s="677" t="s">
        <v>4565</v>
      </c>
      <c r="G48" s="678">
        <v>12500</v>
      </c>
    </row>
    <row r="49" spans="5:7">
      <c r="E49" s="679">
        <v>5</v>
      </c>
      <c r="F49" s="677" t="s">
        <v>4566</v>
      </c>
      <c r="G49" s="678">
        <v>8404.2800000000007</v>
      </c>
    </row>
    <row r="50" spans="5:7">
      <c r="E50" s="1114" t="s">
        <v>4493</v>
      </c>
      <c r="F50" s="1114"/>
      <c r="G50" s="680">
        <f>SUM(G45:G49)</f>
        <v>36804.28</v>
      </c>
    </row>
  </sheetData>
  <mergeCells count="20">
    <mergeCell ref="B2:C2"/>
    <mergeCell ref="E11:G11"/>
    <mergeCell ref="B3:C3"/>
    <mergeCell ref="B4:C4"/>
    <mergeCell ref="E42:F42"/>
    <mergeCell ref="E44:G44"/>
    <mergeCell ref="E50:F50"/>
    <mergeCell ref="E21:G21"/>
    <mergeCell ref="E28:F28"/>
    <mergeCell ref="E30:H30"/>
    <mergeCell ref="E34:G34"/>
    <mergeCell ref="E36:G36"/>
    <mergeCell ref="E38:F38"/>
    <mergeCell ref="E1:H1"/>
    <mergeCell ref="E9:G9"/>
    <mergeCell ref="E14:F14"/>
    <mergeCell ref="E23:F23"/>
    <mergeCell ref="E40:G40"/>
    <mergeCell ref="E19:F19"/>
    <mergeCell ref="E10:G10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FB2A-E2FE-49E7-A60E-75DAE2332ADC}">
  <dimension ref="A1:I48"/>
  <sheetViews>
    <sheetView topLeftCell="A20" zoomScale="130" workbookViewId="0">
      <selection activeCell="H9" sqref="H9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4587</v>
      </c>
      <c r="G3" s="684" t="s">
        <v>4629</v>
      </c>
      <c r="H3" s="643">
        <v>440000</v>
      </c>
      <c r="I3" s="628"/>
    </row>
    <row r="4" spans="2:9" ht="14.5">
      <c r="B4" s="1113" t="s">
        <v>4628</v>
      </c>
      <c r="C4" s="1116"/>
      <c r="D4" s="672"/>
      <c r="E4" s="642">
        <v>2</v>
      </c>
      <c r="F4" s="642" t="s">
        <v>4588</v>
      </c>
      <c r="G4" s="683" t="s">
        <v>4580</v>
      </c>
      <c r="H4" s="643">
        <v>3290000</v>
      </c>
      <c r="I4" s="628"/>
    </row>
    <row r="5" spans="2:9" ht="14.5">
      <c r="B5" s="632"/>
      <c r="C5" s="633"/>
      <c r="E5" s="642">
        <v>3</v>
      </c>
      <c r="F5" s="642" t="s">
        <v>4590</v>
      </c>
      <c r="G5" s="683" t="s">
        <v>4580</v>
      </c>
      <c r="H5" s="643">
        <v>1560000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4591</v>
      </c>
      <c r="G6" s="683" t="s">
        <v>4580</v>
      </c>
      <c r="H6" s="643">
        <v>910000</v>
      </c>
      <c r="I6" s="628"/>
    </row>
    <row r="7" spans="2:9" ht="14.5">
      <c r="B7" s="635" t="s">
        <v>4031</v>
      </c>
      <c r="C7" s="636"/>
      <c r="E7" s="642">
        <v>5</v>
      </c>
      <c r="F7" s="642" t="s">
        <v>4592</v>
      </c>
      <c r="G7" s="683" t="s">
        <v>4580</v>
      </c>
      <c r="H7" s="643">
        <v>4259538</v>
      </c>
      <c r="I7" s="628"/>
    </row>
    <row r="8" spans="2:9" ht="14.5">
      <c r="B8" s="632" t="s">
        <v>4032</v>
      </c>
      <c r="C8" s="636"/>
      <c r="E8" s="642">
        <v>6</v>
      </c>
      <c r="F8" s="642" t="s">
        <v>4593</v>
      </c>
      <c r="G8" s="683" t="s">
        <v>4580</v>
      </c>
      <c r="H8" s="643">
        <v>2544926</v>
      </c>
      <c r="I8" s="628"/>
    </row>
    <row r="9" spans="2:9" ht="14.5">
      <c r="B9" s="632" t="s">
        <v>4548</v>
      </c>
      <c r="C9" s="636">
        <f>'REKON MANDIRI EWILOG'!F66</f>
        <v>55270341.349999994</v>
      </c>
      <c r="E9" s="642">
        <v>7</v>
      </c>
      <c r="F9" s="642" t="s">
        <v>4594</v>
      </c>
      <c r="G9" s="683" t="s">
        <v>4580</v>
      </c>
      <c r="H9" s="643">
        <v>9105000</v>
      </c>
      <c r="I9" s="628"/>
    </row>
    <row r="10" spans="2:9" ht="14.5">
      <c r="B10" s="635" t="s">
        <v>4034</v>
      </c>
      <c r="C10" s="637">
        <f>SUM(C8:C9)</f>
        <v>55270341.349999994</v>
      </c>
      <c r="E10" s="642">
        <v>8</v>
      </c>
      <c r="F10" s="642" t="s">
        <v>4595</v>
      </c>
      <c r="G10" s="683" t="s">
        <v>4630</v>
      </c>
      <c r="H10" s="643">
        <v>42551</v>
      </c>
    </row>
    <row r="11" spans="2:9" ht="14.5">
      <c r="B11" s="632"/>
      <c r="C11" s="636"/>
      <c r="E11" s="642">
        <v>9</v>
      </c>
      <c r="F11" s="642" t="s">
        <v>4596</v>
      </c>
      <c r="G11" s="683" t="s">
        <v>4631</v>
      </c>
      <c r="H11" s="643">
        <v>7425800</v>
      </c>
    </row>
    <row r="12" spans="2:9" ht="14.5">
      <c r="B12" s="635" t="s">
        <v>4035</v>
      </c>
      <c r="C12" s="636"/>
      <c r="E12" s="642">
        <v>10</v>
      </c>
      <c r="F12" s="642" t="s">
        <v>4597</v>
      </c>
      <c r="G12" s="683" t="s">
        <v>4581</v>
      </c>
      <c r="H12" s="643">
        <v>916000</v>
      </c>
    </row>
    <row r="13" spans="2:9" ht="14.5">
      <c r="B13" s="632" t="s">
        <v>4036</v>
      </c>
      <c r="C13" s="636">
        <f>H16</f>
        <v>38647195</v>
      </c>
      <c r="E13" s="642">
        <v>11</v>
      </c>
      <c r="F13" s="642" t="s">
        <v>4598</v>
      </c>
      <c r="G13" s="683" t="s">
        <v>4581</v>
      </c>
      <c r="H13" s="643">
        <v>1340880</v>
      </c>
    </row>
    <row r="14" spans="2:9" ht="14.5">
      <c r="B14" s="632" t="s">
        <v>4037</v>
      </c>
      <c r="C14" s="636">
        <v>37243.43</v>
      </c>
      <c r="E14" s="642">
        <v>12</v>
      </c>
      <c r="F14" s="642" t="s">
        <v>4599</v>
      </c>
      <c r="G14" s="683" t="s">
        <v>4584</v>
      </c>
      <c r="H14" s="643">
        <v>200000</v>
      </c>
    </row>
    <row r="15" spans="2:9" ht="14.5">
      <c r="B15" s="635" t="s">
        <v>4038</v>
      </c>
      <c r="C15" s="637">
        <f>SUM(C13:C14)</f>
        <v>38684438.43</v>
      </c>
      <c r="E15" s="642">
        <v>13</v>
      </c>
      <c r="F15" s="642" t="s">
        <v>4600</v>
      </c>
      <c r="G15" s="683" t="s">
        <v>4632</v>
      </c>
      <c r="H15" s="643">
        <v>6612500</v>
      </c>
    </row>
    <row r="16" spans="2:9" ht="15">
      <c r="B16" s="632"/>
      <c r="C16" s="636"/>
      <c r="E16" s="1121" t="s">
        <v>4493</v>
      </c>
      <c r="F16" s="1121"/>
      <c r="G16" s="1121"/>
      <c r="H16" s="644">
        <f>SUM(H3:H15)</f>
        <v>38647195</v>
      </c>
    </row>
    <row r="17" spans="2:9" ht="15">
      <c r="B17" s="635" t="s">
        <v>4039</v>
      </c>
      <c r="C17" s="636"/>
      <c r="E17" s="1122"/>
      <c r="F17" s="1122"/>
      <c r="G17" s="1122"/>
    </row>
    <row r="18" spans="2:9">
      <c r="B18" s="632" t="s">
        <v>4040</v>
      </c>
      <c r="C18" s="636"/>
      <c r="E18" s="1117" t="s">
        <v>4043</v>
      </c>
      <c r="F18" s="1118"/>
      <c r="G18" s="1118"/>
      <c r="H18" s="1119"/>
      <c r="I18" s="517"/>
    </row>
    <row r="19" spans="2:9">
      <c r="B19" s="632"/>
      <c r="C19" s="636"/>
      <c r="E19" s="673" t="s">
        <v>3385</v>
      </c>
      <c r="F19" s="673" t="s">
        <v>4262</v>
      </c>
      <c r="G19" s="673" t="s">
        <v>4502</v>
      </c>
      <c r="H19" s="673" t="s">
        <v>3213</v>
      </c>
    </row>
    <row r="20" spans="2:9">
      <c r="B20" s="635"/>
      <c r="C20" s="636"/>
      <c r="E20" s="674">
        <v>1</v>
      </c>
      <c r="F20" s="674" t="s">
        <v>3801</v>
      </c>
      <c r="G20" s="674" t="s">
        <v>4509</v>
      </c>
      <c r="H20" s="536">
        <v>0</v>
      </c>
    </row>
    <row r="21" spans="2:9">
      <c r="B21" s="632"/>
      <c r="C21" s="636"/>
      <c r="E21" s="674">
        <v>2</v>
      </c>
      <c r="F21" s="674" t="s">
        <v>4510</v>
      </c>
      <c r="G21" s="674" t="s">
        <v>4482</v>
      </c>
      <c r="H21" s="536">
        <v>9223110</v>
      </c>
    </row>
    <row r="22" spans="2:9">
      <c r="B22" s="632"/>
      <c r="C22" s="636"/>
    </row>
    <row r="23" spans="2:9">
      <c r="B23" s="635" t="s">
        <v>4042</v>
      </c>
      <c r="C23" s="636"/>
      <c r="E23" s="1117" t="s">
        <v>4546</v>
      </c>
      <c r="F23" s="1118"/>
      <c r="G23" s="1119"/>
    </row>
    <row r="24" spans="2:9">
      <c r="B24" s="632" t="s">
        <v>4043</v>
      </c>
      <c r="C24" s="636">
        <f>H21</f>
        <v>9223110</v>
      </c>
      <c r="E24" s="679">
        <v>1</v>
      </c>
      <c r="F24" s="677" t="s">
        <v>4563</v>
      </c>
      <c r="G24" s="678">
        <v>5500</v>
      </c>
    </row>
    <row r="25" spans="2:9" ht="14.25" customHeight="1">
      <c r="B25" s="632" t="s">
        <v>4044</v>
      </c>
      <c r="C25" s="636">
        <v>0</v>
      </c>
      <c r="E25" s="679">
        <v>2</v>
      </c>
      <c r="F25" s="677" t="s">
        <v>4586</v>
      </c>
      <c r="G25" s="678">
        <v>2500</v>
      </c>
    </row>
    <row r="26" spans="2:9">
      <c r="B26" s="632" t="s">
        <v>4045</v>
      </c>
      <c r="C26" s="636">
        <v>0</v>
      </c>
      <c r="E26" s="679">
        <v>3</v>
      </c>
      <c r="F26" s="677" t="s">
        <v>4565</v>
      </c>
      <c r="G26" s="678">
        <v>12500</v>
      </c>
    </row>
    <row r="27" spans="2:9">
      <c r="B27" s="632" t="s">
        <v>4046</v>
      </c>
      <c r="C27" s="636">
        <v>0</v>
      </c>
      <c r="E27" s="679">
        <v>4</v>
      </c>
      <c r="F27" s="677" t="s">
        <v>4566</v>
      </c>
      <c r="G27" s="678">
        <v>7448.69</v>
      </c>
    </row>
    <row r="28" spans="2:9">
      <c r="B28" s="632" t="s">
        <v>4047</v>
      </c>
      <c r="C28" s="636">
        <v>0</v>
      </c>
      <c r="E28" s="1114" t="s">
        <v>4493</v>
      </c>
      <c r="F28" s="1114"/>
      <c r="G28" s="680">
        <f>SUM(G24:G27)</f>
        <v>27948.69</v>
      </c>
    </row>
    <row r="29" spans="2:9">
      <c r="B29" s="632" t="s">
        <v>4048</v>
      </c>
      <c r="C29" s="636">
        <v>120000</v>
      </c>
    </row>
    <row r="30" spans="2:9" ht="14.5">
      <c r="B30" s="632" t="s">
        <v>4545</v>
      </c>
      <c r="C30" s="636">
        <v>0</v>
      </c>
      <c r="I30" s="645"/>
    </row>
    <row r="31" spans="2:9" ht="14.5">
      <c r="B31" s="632" t="s">
        <v>4050</v>
      </c>
      <c r="C31" s="636">
        <v>0</v>
      </c>
      <c r="I31" s="628"/>
    </row>
    <row r="32" spans="2:9" ht="14.5">
      <c r="B32" s="632" t="s">
        <v>4051</v>
      </c>
      <c r="C32" s="636">
        <v>0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4054</v>
      </c>
      <c r="C35" s="636">
        <v>0</v>
      </c>
      <c r="I35" s="628"/>
    </row>
    <row r="36" spans="2:9" ht="14.5">
      <c r="B36" s="632" t="s">
        <v>4055</v>
      </c>
      <c r="C36" s="636">
        <f>G28</f>
        <v>27948.69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9371058.6899999995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29313379.740000002</v>
      </c>
    </row>
    <row r="43" spans="2:9">
      <c r="B43" s="638"/>
      <c r="C43" s="639"/>
    </row>
    <row r="45" spans="2:9">
      <c r="B45" s="681" t="s">
        <v>4549</v>
      </c>
      <c r="C45" s="682">
        <v>67843185.090000004</v>
      </c>
    </row>
    <row r="48" spans="2:9" ht="14.25" customHeight="1"/>
  </sheetData>
  <mergeCells count="9">
    <mergeCell ref="E18:H18"/>
    <mergeCell ref="E23:G23"/>
    <mergeCell ref="E28:F28"/>
    <mergeCell ref="E1:H1"/>
    <mergeCell ref="B2:C2"/>
    <mergeCell ref="B3:C3"/>
    <mergeCell ref="B4:C4"/>
    <mergeCell ref="E16:G16"/>
    <mergeCell ref="E17:G17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C739-35DD-427B-AA26-5B803258CF96}">
  <dimension ref="A1:I48"/>
  <sheetViews>
    <sheetView zoomScale="130" workbookViewId="0">
      <selection activeCell="F42" sqref="F42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4602</v>
      </c>
      <c r="G3" s="684" t="s">
        <v>4580</v>
      </c>
      <c r="H3" s="643">
        <v>4309500</v>
      </c>
      <c r="I3" s="628"/>
    </row>
    <row r="4" spans="2:9" ht="14.5">
      <c r="B4" s="1113" t="s">
        <v>4637</v>
      </c>
      <c r="C4" s="1116"/>
      <c r="D4" s="672"/>
      <c r="E4" s="642">
        <v>2</v>
      </c>
      <c r="F4" s="642" t="s">
        <v>4604</v>
      </c>
      <c r="G4" s="683" t="s">
        <v>4584</v>
      </c>
      <c r="H4" s="643">
        <v>150000</v>
      </c>
      <c r="I4" s="628"/>
    </row>
    <row r="5" spans="2:9" ht="14.5">
      <c r="B5" s="632"/>
      <c r="C5" s="633"/>
      <c r="E5" s="642">
        <v>3</v>
      </c>
      <c r="F5" s="642" t="s">
        <v>4605</v>
      </c>
      <c r="G5" s="683" t="s">
        <v>4584</v>
      </c>
      <c r="H5" s="643">
        <v>450000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4606</v>
      </c>
      <c r="G6" s="683" t="s">
        <v>4580</v>
      </c>
      <c r="H6" s="643">
        <v>3398702</v>
      </c>
      <c r="I6" s="628"/>
    </row>
    <row r="7" spans="2:9" ht="14.5">
      <c r="B7" s="635" t="s">
        <v>4031</v>
      </c>
      <c r="C7" s="636"/>
      <c r="E7" s="642">
        <v>5</v>
      </c>
      <c r="F7" s="642" t="s">
        <v>4607</v>
      </c>
      <c r="G7" s="683" t="s">
        <v>4584</v>
      </c>
      <c r="H7" s="643">
        <v>150000</v>
      </c>
      <c r="I7" s="628"/>
    </row>
    <row r="8" spans="2:9" ht="14.5">
      <c r="B8" s="632" t="s">
        <v>4032</v>
      </c>
      <c r="C8" s="636"/>
      <c r="E8" s="642">
        <v>6</v>
      </c>
      <c r="F8" s="642" t="s">
        <v>4608</v>
      </c>
      <c r="G8" s="683" t="s">
        <v>4482</v>
      </c>
      <c r="H8" s="643">
        <v>656000</v>
      </c>
      <c r="I8" s="628"/>
    </row>
    <row r="9" spans="2:9" ht="14.5">
      <c r="B9" s="632" t="s">
        <v>4548</v>
      </c>
      <c r="C9" s="636"/>
      <c r="E9" s="642">
        <v>7</v>
      </c>
      <c r="F9" s="642" t="s">
        <v>4609</v>
      </c>
      <c r="G9" s="683" t="s">
        <v>4580</v>
      </c>
      <c r="H9" s="643">
        <v>6118000</v>
      </c>
      <c r="I9" s="628"/>
    </row>
    <row r="10" spans="2:9" ht="14.5">
      <c r="B10" s="635" t="s">
        <v>4034</v>
      </c>
      <c r="C10" s="637">
        <f>SUM(C8:C9)</f>
        <v>0</v>
      </c>
      <c r="E10" s="642">
        <v>8</v>
      </c>
      <c r="F10" s="642" t="s">
        <v>4610</v>
      </c>
      <c r="G10" s="683" t="s">
        <v>4580</v>
      </c>
      <c r="H10" s="643">
        <v>978438</v>
      </c>
    </row>
    <row r="11" spans="2:9" ht="14.5">
      <c r="B11" s="632"/>
      <c r="C11" s="636"/>
      <c r="E11" s="642">
        <v>9</v>
      </c>
      <c r="F11" s="642" t="s">
        <v>4611</v>
      </c>
      <c r="G11" s="683" t="s">
        <v>4580</v>
      </c>
      <c r="H11" s="643">
        <v>1624116</v>
      </c>
    </row>
    <row r="12" spans="2:9" ht="14.5">
      <c r="B12" s="635" t="s">
        <v>4035</v>
      </c>
      <c r="C12" s="636"/>
      <c r="E12" s="642">
        <v>10</v>
      </c>
      <c r="F12" s="642" t="s">
        <v>4612</v>
      </c>
      <c r="G12" s="683" t="s">
        <v>4580</v>
      </c>
      <c r="H12" s="643">
        <v>3665584</v>
      </c>
    </row>
    <row r="13" spans="2:9" ht="14.5">
      <c r="B13" s="632" t="s">
        <v>4036</v>
      </c>
      <c r="C13" s="636">
        <f>H20</f>
        <v>33290104</v>
      </c>
      <c r="E13" s="642">
        <v>11</v>
      </c>
      <c r="F13" s="642" t="s">
        <v>4613</v>
      </c>
      <c r="G13" s="683" t="s">
        <v>4633</v>
      </c>
      <c r="H13" s="643">
        <v>1040000</v>
      </c>
    </row>
    <row r="14" spans="2:9" ht="14.5">
      <c r="B14" s="632" t="s">
        <v>4037</v>
      </c>
      <c r="C14" s="636">
        <v>33329.800000000003</v>
      </c>
      <c r="E14" s="642">
        <v>12</v>
      </c>
      <c r="F14" s="642" t="s">
        <v>4614</v>
      </c>
      <c r="G14" s="683" t="s">
        <v>4634</v>
      </c>
      <c r="H14" s="643">
        <v>600000</v>
      </c>
    </row>
    <row r="15" spans="2:9" ht="14.5">
      <c r="B15" s="635" t="s">
        <v>4038</v>
      </c>
      <c r="C15" s="637">
        <f>SUM(C13:C14)</f>
        <v>33323433.800000001</v>
      </c>
      <c r="E15" s="642">
        <v>13</v>
      </c>
      <c r="F15" s="642" t="s">
        <v>4615</v>
      </c>
      <c r="G15" s="683" t="s">
        <v>4634</v>
      </c>
      <c r="H15" s="643">
        <v>1190000</v>
      </c>
    </row>
    <row r="16" spans="2:9" ht="14.5">
      <c r="B16" s="632"/>
      <c r="C16" s="636"/>
      <c r="E16" s="642">
        <v>14</v>
      </c>
      <c r="F16" s="642" t="s">
        <v>4616</v>
      </c>
      <c r="G16" s="683" t="s">
        <v>4635</v>
      </c>
      <c r="H16" s="643">
        <v>2834880</v>
      </c>
    </row>
    <row r="17" spans="2:9" ht="14.5">
      <c r="B17" s="635" t="s">
        <v>4039</v>
      </c>
      <c r="C17" s="636"/>
      <c r="E17" s="642">
        <v>15</v>
      </c>
      <c r="F17" s="642" t="s">
        <v>4617</v>
      </c>
      <c r="G17" s="683" t="s">
        <v>4580</v>
      </c>
      <c r="H17" s="643">
        <v>1793332</v>
      </c>
    </row>
    <row r="18" spans="2:9" ht="14.5">
      <c r="B18" s="632" t="s">
        <v>4040</v>
      </c>
      <c r="C18" s="636"/>
      <c r="E18" s="642">
        <v>16</v>
      </c>
      <c r="F18" s="642" t="s">
        <v>4618</v>
      </c>
      <c r="G18" s="683" t="s">
        <v>4580</v>
      </c>
      <c r="H18" s="643">
        <v>3967810</v>
      </c>
      <c r="I18" s="517"/>
    </row>
    <row r="19" spans="2:9" ht="14.5">
      <c r="B19" s="632"/>
      <c r="C19" s="636"/>
      <c r="E19" s="642">
        <v>17</v>
      </c>
      <c r="F19" s="642" t="s">
        <v>4619</v>
      </c>
      <c r="G19" s="683" t="s">
        <v>4636</v>
      </c>
      <c r="H19" s="643">
        <v>363742</v>
      </c>
    </row>
    <row r="20" spans="2:9" ht="15">
      <c r="B20" s="635"/>
      <c r="C20" s="636"/>
      <c r="E20" s="1121" t="s">
        <v>4493</v>
      </c>
      <c r="F20" s="1121"/>
      <c r="G20" s="1121"/>
      <c r="H20" s="644">
        <f>SUM(H3:H19)</f>
        <v>33290104</v>
      </c>
    </row>
    <row r="21" spans="2:9" ht="15">
      <c r="B21" s="632"/>
      <c r="C21" s="636"/>
      <c r="E21" s="1122"/>
      <c r="F21" s="1122"/>
      <c r="G21" s="1122"/>
    </row>
    <row r="22" spans="2:9">
      <c r="B22" s="632"/>
      <c r="C22" s="636"/>
      <c r="E22" s="1117" t="s">
        <v>4043</v>
      </c>
      <c r="F22" s="1118"/>
      <c r="G22" s="1118"/>
      <c r="H22" s="1119"/>
    </row>
    <row r="23" spans="2:9">
      <c r="B23" s="635" t="s">
        <v>4042</v>
      </c>
      <c r="C23" s="636"/>
      <c r="E23" s="673" t="s">
        <v>3385</v>
      </c>
      <c r="F23" s="673" t="s">
        <v>4262</v>
      </c>
      <c r="G23" s="673" t="s">
        <v>4502</v>
      </c>
      <c r="H23" s="673" t="s">
        <v>3213</v>
      </c>
    </row>
    <row r="24" spans="2:9">
      <c r="B24" s="632" t="s">
        <v>4043</v>
      </c>
      <c r="C24" s="636">
        <f>SUM(H24:H25)</f>
        <v>9753822</v>
      </c>
      <c r="E24" s="674">
        <v>1</v>
      </c>
      <c r="F24" s="674" t="s">
        <v>3801</v>
      </c>
      <c r="G24" s="674" t="s">
        <v>4509</v>
      </c>
      <c r="H24" s="536">
        <v>2327556</v>
      </c>
    </row>
    <row r="25" spans="2:9" ht="14.25" customHeight="1">
      <c r="B25" s="632" t="s">
        <v>4044</v>
      </c>
      <c r="C25" s="636">
        <v>0</v>
      </c>
      <c r="E25" s="674">
        <v>2</v>
      </c>
      <c r="F25" s="674" t="s">
        <v>4510</v>
      </c>
      <c r="G25" s="674" t="s">
        <v>4482</v>
      </c>
      <c r="H25" s="536">
        <v>7426266</v>
      </c>
    </row>
    <row r="26" spans="2:9">
      <c r="B26" s="632" t="s">
        <v>4045</v>
      </c>
      <c r="C26" s="636">
        <v>0</v>
      </c>
    </row>
    <row r="27" spans="2:9">
      <c r="B27" s="632" t="s">
        <v>4046</v>
      </c>
      <c r="C27" s="636">
        <v>0</v>
      </c>
      <c r="E27" s="1117" t="s">
        <v>4546</v>
      </c>
      <c r="F27" s="1118"/>
      <c r="G27" s="1119"/>
    </row>
    <row r="28" spans="2:9">
      <c r="B28" s="632" t="s">
        <v>4047</v>
      </c>
      <c r="C28" s="636">
        <v>0</v>
      </c>
      <c r="E28" s="679">
        <v>1</v>
      </c>
      <c r="F28" s="677" t="s">
        <v>4563</v>
      </c>
      <c r="G28" s="678">
        <v>5500</v>
      </c>
    </row>
    <row r="29" spans="2:9">
      <c r="B29" s="632" t="s">
        <v>4048</v>
      </c>
      <c r="C29" s="636">
        <v>150000</v>
      </c>
      <c r="E29" s="679">
        <v>2</v>
      </c>
      <c r="F29" s="677" t="s">
        <v>4586</v>
      </c>
      <c r="G29" s="678">
        <v>2500</v>
      </c>
    </row>
    <row r="30" spans="2:9" ht="14.5">
      <c r="B30" s="632" t="s">
        <v>4545</v>
      </c>
      <c r="C30" s="636">
        <v>0</v>
      </c>
      <c r="E30" s="679">
        <v>3</v>
      </c>
      <c r="F30" s="677" t="s">
        <v>4565</v>
      </c>
      <c r="G30" s="678">
        <v>12500</v>
      </c>
      <c r="I30" s="645"/>
    </row>
    <row r="31" spans="2:9" ht="14.5">
      <c r="B31" s="632" t="s">
        <v>4050</v>
      </c>
      <c r="C31" s="636">
        <v>0</v>
      </c>
      <c r="E31" s="679">
        <v>4</v>
      </c>
      <c r="F31" s="677" t="s">
        <v>4566</v>
      </c>
      <c r="G31" s="678">
        <v>6665.96</v>
      </c>
      <c r="I31" s="628"/>
    </row>
    <row r="32" spans="2:9" ht="14.5">
      <c r="B32" s="632" t="s">
        <v>4051</v>
      </c>
      <c r="C32" s="636">
        <v>0</v>
      </c>
      <c r="E32" s="1114" t="s">
        <v>4493</v>
      </c>
      <c r="F32" s="1114"/>
      <c r="G32" s="680">
        <f>SUM(G28:G31)</f>
        <v>27165.96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4054</v>
      </c>
      <c r="C35" s="636">
        <v>0</v>
      </c>
      <c r="I35" s="628"/>
    </row>
    <row r="36" spans="2:9" ht="14.5">
      <c r="B36" s="632" t="s">
        <v>4055</v>
      </c>
      <c r="C36" s="636">
        <f>G32</f>
        <v>27165.96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9930987.9600000009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23392445.84</v>
      </c>
    </row>
    <row r="43" spans="2:9">
      <c r="B43" s="638"/>
      <c r="C43" s="639"/>
    </row>
    <row r="45" spans="2:9">
      <c r="B45" s="681" t="s">
        <v>4549</v>
      </c>
      <c r="C45" s="682">
        <v>221762983.93000001</v>
      </c>
    </row>
    <row r="48" spans="2:9" ht="14.25" customHeight="1"/>
  </sheetData>
  <mergeCells count="9">
    <mergeCell ref="E22:H22"/>
    <mergeCell ref="E27:G27"/>
    <mergeCell ref="E32:F32"/>
    <mergeCell ref="E1:H1"/>
    <mergeCell ref="B2:C2"/>
    <mergeCell ref="B3:C3"/>
    <mergeCell ref="B4:C4"/>
    <mergeCell ref="E20:G20"/>
    <mergeCell ref="E21:G21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EDC9-E818-4345-B3E3-1CCAB8C99854}">
  <dimension ref="A1:I48"/>
  <sheetViews>
    <sheetView topLeftCell="A28" zoomScale="130" workbookViewId="0">
      <selection sqref="A1:D46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4620</v>
      </c>
      <c r="G3" s="684" t="s">
        <v>4584</v>
      </c>
      <c r="H3" s="643">
        <v>400000</v>
      </c>
      <c r="I3" s="628"/>
    </row>
    <row r="4" spans="2:9" ht="14.5">
      <c r="B4" s="1113" t="s">
        <v>4709</v>
      </c>
      <c r="C4" s="1116"/>
      <c r="D4" s="672"/>
      <c r="E4" s="642">
        <v>2</v>
      </c>
      <c r="F4" s="642" t="s">
        <v>4621</v>
      </c>
      <c r="G4" s="683" t="s">
        <v>4584</v>
      </c>
      <c r="H4" s="643">
        <v>1800000</v>
      </c>
      <c r="I4" s="628"/>
    </row>
    <row r="5" spans="2:9" ht="14.5">
      <c r="B5" s="632"/>
      <c r="C5" s="633"/>
      <c r="E5" s="642">
        <v>3</v>
      </c>
      <c r="F5" s="642" t="s">
        <v>4622</v>
      </c>
      <c r="G5" s="683" t="s">
        <v>4584</v>
      </c>
      <c r="H5" s="643">
        <v>400000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4623</v>
      </c>
      <c r="G6" s="683" t="s">
        <v>4580</v>
      </c>
      <c r="H6" s="643">
        <v>1476000</v>
      </c>
      <c r="I6" s="628"/>
    </row>
    <row r="7" spans="2:9" ht="14.5">
      <c r="B7" s="635" t="s">
        <v>4031</v>
      </c>
      <c r="C7" s="636"/>
      <c r="E7" s="642">
        <v>5</v>
      </c>
      <c r="F7" s="642" t="s">
        <v>4625</v>
      </c>
      <c r="G7" s="683" t="s">
        <v>4710</v>
      </c>
      <c r="H7" s="643">
        <v>2604250</v>
      </c>
      <c r="I7" s="628"/>
    </row>
    <row r="8" spans="2:9" ht="14.5">
      <c r="B8" s="632" t="s">
        <v>4032</v>
      </c>
      <c r="C8" s="636"/>
      <c r="E8" s="642">
        <v>6</v>
      </c>
      <c r="F8" s="642" t="s">
        <v>4626</v>
      </c>
      <c r="G8" s="683" t="s">
        <v>4629</v>
      </c>
      <c r="H8" s="643">
        <v>5771000</v>
      </c>
      <c r="I8" s="628"/>
    </row>
    <row r="9" spans="2:9" ht="14.5">
      <c r="B9" s="632" t="s">
        <v>4548</v>
      </c>
      <c r="C9" s="636">
        <f>'LR FEB 24'!C45</f>
        <v>221762983.93000001</v>
      </c>
      <c r="E9" s="642">
        <v>7</v>
      </c>
      <c r="F9" s="642" t="s">
        <v>4627</v>
      </c>
      <c r="G9" s="683" t="s">
        <v>4711</v>
      </c>
      <c r="H9" s="643">
        <v>690000</v>
      </c>
      <c r="I9" s="628"/>
    </row>
    <row r="10" spans="2:9" ht="15">
      <c r="B10" s="635" t="s">
        <v>4034</v>
      </c>
      <c r="C10" s="637">
        <f>SUM(C8:C9)</f>
        <v>221762983.93000001</v>
      </c>
      <c r="E10" s="1121" t="s">
        <v>4493</v>
      </c>
      <c r="F10" s="1121"/>
      <c r="G10" s="1121"/>
      <c r="H10" s="644">
        <f>SUM(H3:H9)</f>
        <v>13141250</v>
      </c>
    </row>
    <row r="11" spans="2:9" ht="15">
      <c r="B11" s="632"/>
      <c r="C11" s="636"/>
      <c r="E11" s="1122"/>
      <c r="F11" s="1122"/>
      <c r="G11" s="1122"/>
    </row>
    <row r="12" spans="2:9">
      <c r="B12" s="635" t="s">
        <v>4035</v>
      </c>
      <c r="C12" s="636"/>
      <c r="E12" s="1117" t="s">
        <v>4043</v>
      </c>
      <c r="F12" s="1118"/>
      <c r="G12" s="1118"/>
      <c r="H12" s="1119"/>
    </row>
    <row r="13" spans="2:9">
      <c r="B13" s="632" t="s">
        <v>4070</v>
      </c>
      <c r="C13" s="636">
        <f>H10</f>
        <v>13141250</v>
      </c>
      <c r="E13" s="673" t="s">
        <v>3385</v>
      </c>
      <c r="F13" s="673" t="s">
        <v>4262</v>
      </c>
      <c r="G13" s="673" t="s">
        <v>4502</v>
      </c>
      <c r="H13" s="673" t="s">
        <v>3213</v>
      </c>
    </row>
    <row r="14" spans="2:9">
      <c r="B14" s="632" t="s">
        <v>4037</v>
      </c>
      <c r="C14" s="636">
        <v>89020.63</v>
      </c>
      <c r="E14" s="674">
        <v>1</v>
      </c>
      <c r="F14" s="674" t="s">
        <v>3801</v>
      </c>
      <c r="G14" s="674" t="s">
        <v>4509</v>
      </c>
      <c r="H14" s="536">
        <v>1000000</v>
      </c>
    </row>
    <row r="15" spans="2:9">
      <c r="B15" s="635" t="s">
        <v>4038</v>
      </c>
      <c r="C15" s="637">
        <f>SUM(C13:C14)</f>
        <v>13230270.630000001</v>
      </c>
      <c r="E15" s="674">
        <v>2</v>
      </c>
      <c r="F15" s="674" t="s">
        <v>4510</v>
      </c>
      <c r="G15" s="674" t="s">
        <v>4482</v>
      </c>
      <c r="H15" s="536">
        <v>5000000</v>
      </c>
    </row>
    <row r="16" spans="2:9">
      <c r="B16" s="632"/>
      <c r="C16" s="636"/>
    </row>
    <row r="17" spans="2:9">
      <c r="B17" s="635" t="s">
        <v>4039</v>
      </c>
      <c r="C17" s="636"/>
      <c r="E17" s="1117" t="s">
        <v>4546</v>
      </c>
      <c r="F17" s="1118"/>
      <c r="G17" s="1119"/>
    </row>
    <row r="18" spans="2:9">
      <c r="B18" s="632" t="s">
        <v>4040</v>
      </c>
      <c r="C18" s="636"/>
      <c r="E18" s="679">
        <v>1</v>
      </c>
      <c r="F18" s="677" t="s">
        <v>4563</v>
      </c>
      <c r="G18" s="678">
        <v>5500</v>
      </c>
      <c r="I18" s="517"/>
    </row>
    <row r="19" spans="2:9">
      <c r="B19" s="632"/>
      <c r="C19" s="636"/>
      <c r="E19" s="679">
        <v>2</v>
      </c>
      <c r="F19" s="677" t="s">
        <v>4565</v>
      </c>
      <c r="G19" s="678">
        <v>12500</v>
      </c>
    </row>
    <row r="20" spans="2:9">
      <c r="B20" s="635"/>
      <c r="C20" s="636"/>
      <c r="E20" s="679">
        <v>3</v>
      </c>
      <c r="F20" s="677" t="s">
        <v>4566</v>
      </c>
      <c r="G20" s="678">
        <v>17804.13</v>
      </c>
    </row>
    <row r="21" spans="2:9">
      <c r="B21" s="632"/>
      <c r="C21" s="636"/>
      <c r="E21" s="1114" t="s">
        <v>4493</v>
      </c>
      <c r="F21" s="1114"/>
      <c r="G21" s="680">
        <f>SUM(G18:G20)</f>
        <v>35804.130000000005</v>
      </c>
    </row>
    <row r="22" spans="2:9">
      <c r="B22" s="632"/>
      <c r="C22" s="636"/>
    </row>
    <row r="23" spans="2:9">
      <c r="B23" s="635" t="s">
        <v>4042</v>
      </c>
      <c r="C23" s="636"/>
    </row>
    <row r="24" spans="2:9">
      <c r="B24" s="632" t="s">
        <v>4043</v>
      </c>
      <c r="C24" s="636">
        <f>SUM(H14:H15)</f>
        <v>6000000</v>
      </c>
    </row>
    <row r="25" spans="2:9" ht="14.25" customHeight="1">
      <c r="B25" s="632" t="s">
        <v>4044</v>
      </c>
      <c r="C25" s="636">
        <v>0</v>
      </c>
    </row>
    <row r="26" spans="2:9">
      <c r="B26" s="632" t="s">
        <v>4045</v>
      </c>
      <c r="C26" s="636">
        <v>0</v>
      </c>
    </row>
    <row r="27" spans="2:9">
      <c r="B27" s="632" t="s">
        <v>4046</v>
      </c>
      <c r="C27" s="636">
        <v>0</v>
      </c>
    </row>
    <row r="28" spans="2:9">
      <c r="B28" s="632" t="s">
        <v>4047</v>
      </c>
      <c r="C28" s="636">
        <v>0</v>
      </c>
    </row>
    <row r="29" spans="2:9">
      <c r="B29" s="632" t="s">
        <v>4048</v>
      </c>
      <c r="C29" s="636">
        <v>150000</v>
      </c>
    </row>
    <row r="30" spans="2:9" ht="14.5">
      <c r="B30" s="632" t="s">
        <v>4545</v>
      </c>
      <c r="C30" s="636">
        <v>0</v>
      </c>
      <c r="I30" s="645"/>
    </row>
    <row r="31" spans="2:9" ht="14.5">
      <c r="B31" s="632" t="s">
        <v>4050</v>
      </c>
      <c r="C31" s="636">
        <v>0</v>
      </c>
      <c r="I31" s="628"/>
    </row>
    <row r="32" spans="2:9" ht="14.5">
      <c r="B32" s="632" t="s">
        <v>4051</v>
      </c>
      <c r="C32" s="636">
        <v>0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4054</v>
      </c>
      <c r="C35" s="636">
        <v>0</v>
      </c>
      <c r="I35" s="628"/>
    </row>
    <row r="36" spans="2:9" ht="14.5">
      <c r="B36" s="632" t="s">
        <v>4055</v>
      </c>
      <c r="C36" s="636">
        <f>G21</f>
        <v>35804.130000000005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6185804.1299999999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7044466.5000000009</v>
      </c>
    </row>
    <row r="43" spans="2:9">
      <c r="B43" s="638"/>
      <c r="C43" s="639"/>
    </row>
    <row r="45" spans="2:9">
      <c r="B45" s="681" t="s">
        <v>4549</v>
      </c>
      <c r="C45" s="682">
        <v>306493723.43000001</v>
      </c>
    </row>
    <row r="48" spans="2:9" ht="14.25" customHeight="1"/>
  </sheetData>
  <mergeCells count="9">
    <mergeCell ref="E12:H12"/>
    <mergeCell ref="E17:G17"/>
    <mergeCell ref="E21:F21"/>
    <mergeCell ref="E1:H1"/>
    <mergeCell ref="B2:C2"/>
    <mergeCell ref="B3:C3"/>
    <mergeCell ref="B4:C4"/>
    <mergeCell ref="E10:G10"/>
    <mergeCell ref="E11:G11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E118-2547-425F-895B-E42783ED350D}">
  <dimension ref="A1:I48"/>
  <sheetViews>
    <sheetView zoomScale="130" workbookViewId="0">
      <selection activeCell="H13" sqref="H13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4638</v>
      </c>
      <c r="G3" s="684" t="s">
        <v>4581</v>
      </c>
      <c r="H3" s="643">
        <v>2637562</v>
      </c>
      <c r="I3" s="628"/>
    </row>
    <row r="4" spans="2:9" ht="14.5">
      <c r="B4" s="1113" t="s">
        <v>4712</v>
      </c>
      <c r="C4" s="1116"/>
      <c r="D4" s="672"/>
      <c r="E4" s="642">
        <v>2</v>
      </c>
      <c r="F4" s="642" t="s">
        <v>4639</v>
      </c>
      <c r="G4" s="683" t="s">
        <v>4713</v>
      </c>
      <c r="H4" s="643">
        <v>1634100</v>
      </c>
      <c r="I4" s="628"/>
    </row>
    <row r="5" spans="2:9" ht="14.5">
      <c r="B5" s="632"/>
      <c r="C5" s="633"/>
      <c r="E5" s="642">
        <v>3</v>
      </c>
      <c r="F5" s="642" t="s">
        <v>4640</v>
      </c>
      <c r="G5" s="683" t="s">
        <v>4580</v>
      </c>
      <c r="H5" s="643">
        <v>3175000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4641</v>
      </c>
      <c r="G6" s="683" t="s">
        <v>4580</v>
      </c>
      <c r="H6" s="643">
        <v>6150000</v>
      </c>
      <c r="I6" s="628"/>
    </row>
    <row r="7" spans="2:9" ht="14.5">
      <c r="B7" s="635" t="s">
        <v>4031</v>
      </c>
      <c r="C7" s="636"/>
      <c r="E7" s="642">
        <v>5</v>
      </c>
      <c r="F7" s="642" t="s">
        <v>4642</v>
      </c>
      <c r="G7" s="683" t="s">
        <v>4580</v>
      </c>
      <c r="H7" s="643">
        <v>6150000</v>
      </c>
      <c r="I7" s="628"/>
    </row>
    <row r="8" spans="2:9" ht="14.5">
      <c r="B8" s="632" t="s">
        <v>4032</v>
      </c>
      <c r="C8" s="636"/>
      <c r="E8" s="642">
        <v>6</v>
      </c>
      <c r="F8" s="642" t="s">
        <v>4643</v>
      </c>
      <c r="G8" s="683" t="s">
        <v>4629</v>
      </c>
      <c r="H8" s="643">
        <v>3570000</v>
      </c>
      <c r="I8" s="628"/>
    </row>
    <row r="9" spans="2:9" ht="15">
      <c r="B9" s="632" t="s">
        <v>4548</v>
      </c>
      <c r="C9" s="636">
        <f>'LR MAR 24'!C45</f>
        <v>306493723.43000001</v>
      </c>
      <c r="E9" s="1121" t="s">
        <v>4493</v>
      </c>
      <c r="F9" s="1121"/>
      <c r="G9" s="1121"/>
      <c r="H9" s="644">
        <f>SUM(H3:H8)</f>
        <v>23316662</v>
      </c>
      <c r="I9" s="628"/>
    </row>
    <row r="10" spans="2:9" ht="15">
      <c r="B10" s="635" t="s">
        <v>4034</v>
      </c>
      <c r="C10" s="637">
        <f>SUM(C8:C9)</f>
        <v>306493723.43000001</v>
      </c>
      <c r="E10" s="1122"/>
      <c r="F10" s="1122"/>
      <c r="G10" s="1122"/>
    </row>
    <row r="11" spans="2:9">
      <c r="B11" s="632"/>
      <c r="C11" s="636"/>
      <c r="E11" s="1117" t="s">
        <v>4043</v>
      </c>
      <c r="F11" s="1118"/>
      <c r="G11" s="1118"/>
      <c r="H11" s="1119"/>
    </row>
    <row r="12" spans="2:9">
      <c r="B12" s="635" t="s">
        <v>4035</v>
      </c>
      <c r="C12" s="636"/>
      <c r="E12" s="673" t="s">
        <v>3385</v>
      </c>
      <c r="F12" s="673" t="s">
        <v>4262</v>
      </c>
      <c r="G12" s="673" t="s">
        <v>4502</v>
      </c>
      <c r="H12" s="673" t="s">
        <v>3213</v>
      </c>
    </row>
    <row r="13" spans="2:9">
      <c r="B13" s="632" t="s">
        <v>4075</v>
      </c>
      <c r="C13" s="636">
        <f>H9</f>
        <v>23316662</v>
      </c>
      <c r="E13" s="674">
        <v>1</v>
      </c>
      <c r="F13" s="674" t="s">
        <v>3801</v>
      </c>
      <c r="G13" s="674" t="s">
        <v>4509</v>
      </c>
      <c r="H13" s="536">
        <v>800000</v>
      </c>
    </row>
    <row r="14" spans="2:9">
      <c r="B14" s="632" t="s">
        <v>4037</v>
      </c>
      <c r="C14" s="636">
        <v>106544.27</v>
      </c>
      <c r="E14" s="674">
        <v>2</v>
      </c>
      <c r="F14" s="674" t="s">
        <v>4510</v>
      </c>
      <c r="G14" s="674" t="s">
        <v>4482</v>
      </c>
      <c r="H14" s="536">
        <v>1026500</v>
      </c>
    </row>
    <row r="15" spans="2:9">
      <c r="B15" s="635" t="s">
        <v>4038</v>
      </c>
      <c r="C15" s="637">
        <f>SUM(C13:C14)</f>
        <v>23423206.27</v>
      </c>
    </row>
    <row r="16" spans="2:9">
      <c r="B16" s="632"/>
      <c r="C16" s="636"/>
      <c r="E16" s="1117" t="s">
        <v>4546</v>
      </c>
      <c r="F16" s="1118"/>
      <c r="G16" s="1119"/>
    </row>
    <row r="17" spans="2:9">
      <c r="B17" s="635" t="s">
        <v>4039</v>
      </c>
      <c r="C17" s="636"/>
      <c r="E17" s="679">
        <v>1</v>
      </c>
      <c r="F17" s="677" t="s">
        <v>4563</v>
      </c>
      <c r="G17" s="678">
        <v>5500</v>
      </c>
    </row>
    <row r="18" spans="2:9">
      <c r="B18" s="632" t="s">
        <v>4040</v>
      </c>
      <c r="C18" s="636"/>
      <c r="E18" s="679">
        <v>2</v>
      </c>
      <c r="F18" s="677" t="s">
        <v>4565</v>
      </c>
      <c r="G18" s="678">
        <v>12500</v>
      </c>
      <c r="I18" s="517"/>
    </row>
    <row r="19" spans="2:9">
      <c r="B19" s="632"/>
      <c r="C19" s="636"/>
      <c r="E19" s="679">
        <v>3</v>
      </c>
      <c r="F19" s="677" t="s">
        <v>4714</v>
      </c>
      <c r="G19" s="678">
        <v>2500</v>
      </c>
    </row>
    <row r="20" spans="2:9">
      <c r="B20" s="635"/>
      <c r="C20" s="636"/>
      <c r="E20" s="679">
        <v>4</v>
      </c>
      <c r="F20" s="677" t="s">
        <v>4566</v>
      </c>
      <c r="G20" s="678">
        <v>21308.85</v>
      </c>
    </row>
    <row r="21" spans="2:9">
      <c r="B21" s="632"/>
      <c r="C21" s="636"/>
      <c r="E21" s="1114" t="s">
        <v>4493</v>
      </c>
      <c r="F21" s="1114"/>
      <c r="G21" s="695">
        <f>SUM(G17:G20)</f>
        <v>41808.85</v>
      </c>
    </row>
    <row r="22" spans="2:9">
      <c r="B22" s="632"/>
      <c r="C22" s="636"/>
    </row>
    <row r="23" spans="2:9">
      <c r="B23" s="635" t="s">
        <v>4042</v>
      </c>
      <c r="C23" s="636"/>
    </row>
    <row r="24" spans="2:9">
      <c r="B24" s="632" t="s">
        <v>4043</v>
      </c>
      <c r="C24" s="636">
        <f>SUM(H13:H14)</f>
        <v>1826500</v>
      </c>
    </row>
    <row r="25" spans="2:9" ht="14.25" customHeight="1">
      <c r="B25" s="632" t="s">
        <v>4044</v>
      </c>
      <c r="C25" s="636">
        <v>0</v>
      </c>
    </row>
    <row r="26" spans="2:9">
      <c r="B26" s="632" t="s">
        <v>4045</v>
      </c>
      <c r="C26" s="636">
        <v>0</v>
      </c>
    </row>
    <row r="27" spans="2:9">
      <c r="B27" s="632" t="s">
        <v>4046</v>
      </c>
      <c r="C27" s="636">
        <v>0</v>
      </c>
    </row>
    <row r="28" spans="2:9">
      <c r="B28" s="632" t="s">
        <v>4047</v>
      </c>
      <c r="C28" s="636">
        <v>0</v>
      </c>
    </row>
    <row r="29" spans="2:9">
      <c r="B29" s="632" t="s">
        <v>4048</v>
      </c>
      <c r="C29" s="636">
        <v>150000</v>
      </c>
    </row>
    <row r="30" spans="2:9" ht="14.5">
      <c r="B30" s="632" t="s">
        <v>4545</v>
      </c>
      <c r="C30" s="636">
        <v>0</v>
      </c>
      <c r="I30" s="645"/>
    </row>
    <row r="31" spans="2:9" ht="14.5">
      <c r="B31" s="632" t="s">
        <v>4050</v>
      </c>
      <c r="C31" s="636">
        <v>0</v>
      </c>
      <c r="I31" s="628"/>
    </row>
    <row r="32" spans="2:9" ht="14.5">
      <c r="B32" s="632" t="s">
        <v>4051</v>
      </c>
      <c r="C32" s="636">
        <v>0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4054</v>
      </c>
      <c r="C35" s="636">
        <v>0</v>
      </c>
      <c r="I35" s="628"/>
    </row>
    <row r="36" spans="2:9" ht="14.5">
      <c r="B36" s="632" t="s">
        <v>4055</v>
      </c>
      <c r="C36" s="636">
        <f>G21</f>
        <v>41808.85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2018308.85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21404897.419999998</v>
      </c>
    </row>
    <row r="43" spans="2:9">
      <c r="B43" s="638"/>
      <c r="C43" s="639"/>
    </row>
    <row r="45" spans="2:9">
      <c r="B45" s="681" t="s">
        <v>4549</v>
      </c>
      <c r="C45" s="682">
        <v>210038500.84999999</v>
      </c>
    </row>
    <row r="48" spans="2:9" ht="14.25" customHeight="1"/>
  </sheetData>
  <mergeCells count="9">
    <mergeCell ref="E11:H11"/>
    <mergeCell ref="E16:G16"/>
    <mergeCell ref="E21:F21"/>
    <mergeCell ref="E1:H1"/>
    <mergeCell ref="B2:C2"/>
    <mergeCell ref="B3:C3"/>
    <mergeCell ref="B4:C4"/>
    <mergeCell ref="E9:G9"/>
    <mergeCell ref="E10:G10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A233-C048-4946-A824-B34FD5E2676F}">
  <dimension ref="A1:I48"/>
  <sheetViews>
    <sheetView topLeftCell="A31" zoomScale="130" workbookViewId="0">
      <selection activeCell="C57" sqref="C57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4644</v>
      </c>
      <c r="G3" s="684" t="s">
        <v>4584</v>
      </c>
      <c r="H3" s="643">
        <v>14566703</v>
      </c>
      <c r="I3" s="628"/>
    </row>
    <row r="4" spans="2:9" ht="14.5">
      <c r="B4" s="1113" t="s">
        <v>4715</v>
      </c>
      <c r="C4" s="1116"/>
      <c r="D4" s="672"/>
      <c r="E4" s="642">
        <v>2</v>
      </c>
      <c r="F4" s="642" t="s">
        <v>4645</v>
      </c>
      <c r="G4" s="684" t="s">
        <v>4717</v>
      </c>
      <c r="H4" s="643">
        <v>541000</v>
      </c>
      <c r="I4" s="628"/>
    </row>
    <row r="5" spans="2:9" ht="14.5">
      <c r="B5" s="632"/>
      <c r="C5" s="633"/>
      <c r="E5" s="642">
        <v>3</v>
      </c>
      <c r="F5" s="642" t="s">
        <v>4646</v>
      </c>
      <c r="G5" s="683" t="s">
        <v>4580</v>
      </c>
      <c r="H5" s="643">
        <v>1725900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4647</v>
      </c>
      <c r="G6" s="683" t="s">
        <v>4580</v>
      </c>
      <c r="H6" s="643">
        <v>867500</v>
      </c>
      <c r="I6" s="628"/>
    </row>
    <row r="7" spans="2:9" ht="14.5">
      <c r="B7" s="635" t="s">
        <v>4031</v>
      </c>
      <c r="C7" s="636"/>
      <c r="E7" s="642">
        <v>5</v>
      </c>
      <c r="F7" s="642" t="s">
        <v>4648</v>
      </c>
      <c r="G7" s="683" t="s">
        <v>4718</v>
      </c>
      <c r="H7" s="643">
        <v>29477440</v>
      </c>
      <c r="I7" s="628"/>
    </row>
    <row r="8" spans="2:9" ht="14.5">
      <c r="B8" s="632" t="s">
        <v>4032</v>
      </c>
      <c r="C8" s="636"/>
      <c r="E8" s="642">
        <v>6</v>
      </c>
      <c r="F8" s="642" t="s">
        <v>4650</v>
      </c>
      <c r="G8" s="683" t="s">
        <v>4719</v>
      </c>
      <c r="H8" s="643">
        <v>3365000</v>
      </c>
      <c r="I8" s="628"/>
    </row>
    <row r="9" spans="2:9" ht="14.5">
      <c r="B9" s="632" t="s">
        <v>4548</v>
      </c>
      <c r="C9" s="636">
        <f>'LR APR 24'!C45</f>
        <v>210038500.84999999</v>
      </c>
      <c r="E9" s="642">
        <v>7</v>
      </c>
      <c r="F9" s="642" t="s">
        <v>4651</v>
      </c>
      <c r="G9" s="683" t="s">
        <v>4720</v>
      </c>
      <c r="H9" s="643">
        <v>1500000</v>
      </c>
      <c r="I9" s="628"/>
    </row>
    <row r="10" spans="2:9" ht="14.5">
      <c r="B10" s="635" t="s">
        <v>4034</v>
      </c>
      <c r="C10" s="637">
        <f>SUM(C8:C9)</f>
        <v>210038500.84999999</v>
      </c>
      <c r="E10" s="642">
        <v>8</v>
      </c>
      <c r="F10" s="642" t="s">
        <v>4652</v>
      </c>
      <c r="G10" s="683" t="s">
        <v>4630</v>
      </c>
      <c r="H10" s="643">
        <v>255181</v>
      </c>
    </row>
    <row r="11" spans="2:9" ht="15">
      <c r="B11" s="632"/>
      <c r="C11" s="636"/>
      <c r="E11" s="1121" t="s">
        <v>4493</v>
      </c>
      <c r="F11" s="1121"/>
      <c r="G11" s="1121"/>
      <c r="H11" s="644">
        <f>SUM(H3:H10)</f>
        <v>52298724</v>
      </c>
    </row>
    <row r="12" spans="2:9" ht="15">
      <c r="B12" s="635" t="s">
        <v>4035</v>
      </c>
      <c r="C12" s="636"/>
      <c r="E12" s="1122"/>
      <c r="F12" s="1122"/>
      <c r="G12" s="1122"/>
    </row>
    <row r="13" spans="2:9">
      <c r="B13" s="632" t="s">
        <v>4716</v>
      </c>
      <c r="C13" s="636">
        <f>H11</f>
        <v>52298724</v>
      </c>
      <c r="E13" s="1117" t="s">
        <v>4043</v>
      </c>
      <c r="F13" s="1118"/>
      <c r="G13" s="1118"/>
      <c r="H13" s="1119"/>
    </row>
    <row r="14" spans="2:9">
      <c r="B14" s="632" t="s">
        <v>4037</v>
      </c>
      <c r="C14" s="636">
        <v>111057.97</v>
      </c>
      <c r="E14" s="673" t="s">
        <v>3385</v>
      </c>
      <c r="F14" s="673" t="s">
        <v>4262</v>
      </c>
      <c r="G14" s="673" t="s">
        <v>4502</v>
      </c>
      <c r="H14" s="673" t="s">
        <v>3213</v>
      </c>
    </row>
    <row r="15" spans="2:9">
      <c r="B15" s="635" t="s">
        <v>4038</v>
      </c>
      <c r="C15" s="637">
        <f>SUM(C13:C14)</f>
        <v>52409781.969999999</v>
      </c>
      <c r="E15" s="674">
        <v>1</v>
      </c>
      <c r="F15" s="674" t="s">
        <v>3801</v>
      </c>
      <c r="G15" s="674" t="s">
        <v>4509</v>
      </c>
      <c r="H15" s="536">
        <v>2000000</v>
      </c>
    </row>
    <row r="16" spans="2:9">
      <c r="B16" s="632"/>
      <c r="C16" s="636"/>
      <c r="E16" s="674">
        <v>2</v>
      </c>
      <c r="F16" s="674" t="s">
        <v>4510</v>
      </c>
      <c r="G16" s="674" t="s">
        <v>4482</v>
      </c>
      <c r="H16" s="536">
        <v>15000000</v>
      </c>
    </row>
    <row r="17" spans="2:9">
      <c r="B17" s="635" t="s">
        <v>4039</v>
      </c>
      <c r="C17" s="636"/>
    </row>
    <row r="18" spans="2:9">
      <c r="B18" s="632" t="s">
        <v>4040</v>
      </c>
      <c r="C18" s="636"/>
      <c r="E18" s="1117" t="s">
        <v>4546</v>
      </c>
      <c r="F18" s="1118"/>
      <c r="G18" s="1119"/>
      <c r="I18" s="517"/>
    </row>
    <row r="19" spans="2:9">
      <c r="B19" s="632"/>
      <c r="C19" s="636"/>
      <c r="E19" s="679">
        <v>1</v>
      </c>
      <c r="F19" s="677" t="s">
        <v>4563</v>
      </c>
      <c r="G19" s="678">
        <v>5500</v>
      </c>
    </row>
    <row r="20" spans="2:9">
      <c r="B20" s="635"/>
      <c r="C20" s="636"/>
      <c r="E20" s="679">
        <v>2</v>
      </c>
      <c r="F20" s="677" t="s">
        <v>4565</v>
      </c>
      <c r="G20" s="678">
        <v>12500</v>
      </c>
    </row>
    <row r="21" spans="2:9">
      <c r="B21" s="632"/>
      <c r="C21" s="636"/>
      <c r="E21" s="679">
        <v>3</v>
      </c>
      <c r="F21" s="677" t="s">
        <v>4714</v>
      </c>
      <c r="G21" s="678">
        <v>2500</v>
      </c>
    </row>
    <row r="22" spans="2:9">
      <c r="B22" s="632"/>
      <c r="C22" s="636"/>
      <c r="E22" s="679">
        <v>4</v>
      </c>
      <c r="F22" s="677" t="s">
        <v>4566</v>
      </c>
      <c r="G22" s="678">
        <v>22211.59</v>
      </c>
    </row>
    <row r="23" spans="2:9">
      <c r="B23" s="635" t="s">
        <v>4042</v>
      </c>
      <c r="C23" s="636"/>
      <c r="E23" s="1114" t="s">
        <v>4493</v>
      </c>
      <c r="F23" s="1114"/>
      <c r="G23" s="695">
        <f>SUM(G19:G22)</f>
        <v>42711.59</v>
      </c>
    </row>
    <row r="24" spans="2:9">
      <c r="B24" s="632" t="s">
        <v>4043</v>
      </c>
      <c r="C24" s="636">
        <f>SUM(H15:H16)</f>
        <v>17000000</v>
      </c>
    </row>
    <row r="25" spans="2:9" ht="14.25" customHeight="1">
      <c r="B25" s="632" t="s">
        <v>4044</v>
      </c>
      <c r="C25" s="636">
        <v>0</v>
      </c>
    </row>
    <row r="26" spans="2:9">
      <c r="B26" s="632" t="s">
        <v>4045</v>
      </c>
      <c r="C26" s="636">
        <v>0</v>
      </c>
    </row>
    <row r="27" spans="2:9">
      <c r="B27" s="632" t="s">
        <v>4046</v>
      </c>
      <c r="C27" s="636">
        <v>0</v>
      </c>
    </row>
    <row r="28" spans="2:9">
      <c r="B28" s="632" t="s">
        <v>4047</v>
      </c>
      <c r="C28" s="636">
        <v>0</v>
      </c>
    </row>
    <row r="29" spans="2:9">
      <c r="B29" s="632" t="s">
        <v>4048</v>
      </c>
      <c r="C29" s="636">
        <v>150000</v>
      </c>
    </row>
    <row r="30" spans="2:9" ht="14.5">
      <c r="B30" s="632" t="s">
        <v>4545</v>
      </c>
      <c r="C30" s="636">
        <v>0</v>
      </c>
      <c r="I30" s="645"/>
    </row>
    <row r="31" spans="2:9" ht="14.5">
      <c r="B31" s="632" t="s">
        <v>4050</v>
      </c>
      <c r="C31" s="636">
        <v>0</v>
      </c>
      <c r="I31" s="628"/>
    </row>
    <row r="32" spans="2:9" ht="14.5">
      <c r="B32" s="632" t="s">
        <v>4051</v>
      </c>
      <c r="C32" s="636">
        <v>0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4054</v>
      </c>
      <c r="C35" s="636">
        <v>0</v>
      </c>
      <c r="I35" s="628"/>
    </row>
    <row r="36" spans="2:9" ht="14.5">
      <c r="B36" s="632" t="s">
        <v>4055</v>
      </c>
      <c r="C36" s="636">
        <f>G23</f>
        <v>42711.59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17192711.59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35217070.379999995</v>
      </c>
    </row>
    <row r="43" spans="2:9">
      <c r="B43" s="638"/>
      <c r="C43" s="639"/>
    </row>
    <row r="45" spans="2:9">
      <c r="B45" s="681" t="s">
        <v>4549</v>
      </c>
      <c r="C45" s="682">
        <v>239264883.22999999</v>
      </c>
    </row>
    <row r="48" spans="2:9" ht="14.25" customHeight="1"/>
  </sheetData>
  <mergeCells count="9">
    <mergeCell ref="E13:H13"/>
    <mergeCell ref="E18:G18"/>
    <mergeCell ref="E23:F23"/>
    <mergeCell ref="E1:H1"/>
    <mergeCell ref="B2:C2"/>
    <mergeCell ref="B3:C3"/>
    <mergeCell ref="B4:C4"/>
    <mergeCell ref="E11:G11"/>
    <mergeCell ref="E12:G12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4D41-5292-476D-9070-4A9FB9F6E307}">
  <dimension ref="A1:I48"/>
  <sheetViews>
    <sheetView topLeftCell="A25" zoomScale="130" workbookViewId="0">
      <selection activeCell="H6" sqref="H6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3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4492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4653</v>
      </c>
      <c r="G3" s="684" t="s">
        <v>4723</v>
      </c>
      <c r="H3" s="643">
        <v>2042000</v>
      </c>
      <c r="I3" s="628"/>
    </row>
    <row r="4" spans="2:9" ht="14.5">
      <c r="B4" s="1113" t="s">
        <v>4722</v>
      </c>
      <c r="C4" s="1116"/>
      <c r="D4" s="672"/>
      <c r="E4" s="642">
        <v>2</v>
      </c>
      <c r="F4" s="642" t="s">
        <v>4654</v>
      </c>
      <c r="G4" s="684" t="s">
        <v>4584</v>
      </c>
      <c r="H4" s="643">
        <v>1400000</v>
      </c>
      <c r="I4" s="628"/>
    </row>
    <row r="5" spans="2:9" ht="14.5">
      <c r="B5" s="632"/>
      <c r="C5" s="633"/>
      <c r="E5" s="642">
        <v>3</v>
      </c>
      <c r="F5" s="642" t="s">
        <v>4655</v>
      </c>
      <c r="G5" s="683" t="s">
        <v>4630</v>
      </c>
      <c r="H5" s="643">
        <v>569242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4656</v>
      </c>
      <c r="G6" s="683" t="s">
        <v>4723</v>
      </c>
      <c r="H6" s="643">
        <v>719250</v>
      </c>
      <c r="I6" s="628"/>
    </row>
    <row r="7" spans="2:9" ht="14.5">
      <c r="B7" s="635" t="s">
        <v>4031</v>
      </c>
      <c r="C7" s="636"/>
      <c r="E7" s="642">
        <v>5</v>
      </c>
      <c r="F7" s="642" t="s">
        <v>4657</v>
      </c>
      <c r="G7" s="683" t="s">
        <v>4724</v>
      </c>
      <c r="H7" s="643">
        <v>14500000</v>
      </c>
      <c r="I7" s="628"/>
    </row>
    <row r="8" spans="2:9" ht="15">
      <c r="B8" s="632" t="s">
        <v>4032</v>
      </c>
      <c r="C8" s="636"/>
      <c r="E8" s="1121" t="s">
        <v>4493</v>
      </c>
      <c r="F8" s="1121"/>
      <c r="G8" s="1121"/>
      <c r="H8" s="644">
        <f>SUM(H3:H7)</f>
        <v>19230492</v>
      </c>
      <c r="I8" s="628"/>
    </row>
    <row r="9" spans="2:9" ht="15">
      <c r="B9" s="632" t="s">
        <v>4548</v>
      </c>
      <c r="C9" s="636">
        <f>'LR MAY 24'!C45</f>
        <v>239264883.22999999</v>
      </c>
      <c r="E9" s="1122"/>
      <c r="F9" s="1122"/>
      <c r="G9" s="1122"/>
      <c r="I9" s="628"/>
    </row>
    <row r="10" spans="2:9">
      <c r="B10" s="635" t="s">
        <v>4034</v>
      </c>
      <c r="C10" s="637">
        <f>SUM(C8:C9)</f>
        <v>239264883.22999999</v>
      </c>
      <c r="E10" s="1117" t="s">
        <v>4043</v>
      </c>
      <c r="F10" s="1118"/>
      <c r="G10" s="1118"/>
      <c r="H10" s="1119"/>
    </row>
    <row r="11" spans="2:9">
      <c r="B11" s="632"/>
      <c r="C11" s="636"/>
      <c r="E11" s="673" t="s">
        <v>3385</v>
      </c>
      <c r="F11" s="673" t="s">
        <v>4262</v>
      </c>
      <c r="G11" s="673" t="s">
        <v>4502</v>
      </c>
      <c r="H11" s="673" t="s">
        <v>3213</v>
      </c>
    </row>
    <row r="12" spans="2:9">
      <c r="B12" s="635" t="s">
        <v>4035</v>
      </c>
      <c r="C12" s="636"/>
      <c r="E12" s="674">
        <v>1</v>
      </c>
      <c r="F12" s="674" t="s">
        <v>3801</v>
      </c>
      <c r="G12" s="674" t="s">
        <v>4509</v>
      </c>
      <c r="H12" s="536">
        <v>2000000</v>
      </c>
    </row>
    <row r="13" spans="2:9">
      <c r="B13" s="632" t="s">
        <v>4721</v>
      </c>
      <c r="C13" s="636">
        <f>H8</f>
        <v>19230492</v>
      </c>
      <c r="E13" s="674">
        <v>2</v>
      </c>
      <c r="F13" s="674" t="s">
        <v>4510</v>
      </c>
      <c r="G13" s="674" t="s">
        <v>4482</v>
      </c>
      <c r="H13" s="536">
        <v>5739775</v>
      </c>
    </row>
    <row r="14" spans="2:9">
      <c r="B14" s="632" t="s">
        <v>4037</v>
      </c>
      <c r="C14" s="636">
        <v>115580.12</v>
      </c>
    </row>
    <row r="15" spans="2:9">
      <c r="B15" s="635" t="s">
        <v>4038</v>
      </c>
      <c r="C15" s="637">
        <f>SUM(C13:C14)</f>
        <v>19346072.120000001</v>
      </c>
      <c r="E15" s="1117" t="s">
        <v>4546</v>
      </c>
      <c r="F15" s="1118"/>
      <c r="G15" s="1119"/>
    </row>
    <row r="16" spans="2:9">
      <c r="B16" s="632"/>
      <c r="C16" s="636"/>
      <c r="E16" s="679">
        <v>1</v>
      </c>
      <c r="F16" s="677" t="s">
        <v>4563</v>
      </c>
      <c r="G16" s="678">
        <v>5500</v>
      </c>
    </row>
    <row r="17" spans="2:9">
      <c r="B17" s="635" t="s">
        <v>4039</v>
      </c>
      <c r="C17" s="636"/>
      <c r="E17" s="679">
        <v>2</v>
      </c>
      <c r="F17" s="677" t="s">
        <v>4565</v>
      </c>
      <c r="G17" s="678">
        <v>12500</v>
      </c>
    </row>
    <row r="18" spans="2:9">
      <c r="B18" s="632" t="s">
        <v>4040</v>
      </c>
      <c r="C18" s="636"/>
      <c r="E18" s="679">
        <v>3</v>
      </c>
      <c r="F18" s="677" t="s">
        <v>4566</v>
      </c>
      <c r="G18" s="678">
        <v>23116.02</v>
      </c>
      <c r="I18" s="517"/>
    </row>
    <row r="19" spans="2:9">
      <c r="B19" s="632"/>
      <c r="C19" s="636"/>
      <c r="E19" s="1114" t="s">
        <v>4493</v>
      </c>
      <c r="F19" s="1114"/>
      <c r="G19" s="695">
        <f>SUM(G16:G18)</f>
        <v>41116.020000000004</v>
      </c>
    </row>
    <row r="20" spans="2:9">
      <c r="B20" s="635"/>
      <c r="C20" s="636"/>
    </row>
    <row r="21" spans="2:9">
      <c r="B21" s="632"/>
      <c r="C21" s="636"/>
    </row>
    <row r="22" spans="2:9">
      <c r="B22" s="632"/>
      <c r="C22" s="636"/>
    </row>
    <row r="23" spans="2:9">
      <c r="B23" s="635" t="s">
        <v>4042</v>
      </c>
      <c r="C23" s="636"/>
    </row>
    <row r="24" spans="2:9">
      <c r="B24" s="632" t="s">
        <v>4043</v>
      </c>
      <c r="C24" s="636">
        <f>SUM(H12:H13)</f>
        <v>7739775</v>
      </c>
    </row>
    <row r="25" spans="2:9" ht="14.25" customHeight="1">
      <c r="B25" s="632" t="s">
        <v>4044</v>
      </c>
      <c r="C25" s="636">
        <v>0</v>
      </c>
    </row>
    <row r="26" spans="2:9">
      <c r="B26" s="632" t="s">
        <v>4045</v>
      </c>
      <c r="C26" s="636">
        <v>0</v>
      </c>
    </row>
    <row r="27" spans="2:9">
      <c r="B27" s="632" t="s">
        <v>4046</v>
      </c>
      <c r="C27" s="636">
        <v>0</v>
      </c>
    </row>
    <row r="28" spans="2:9">
      <c r="B28" s="632" t="s">
        <v>4047</v>
      </c>
      <c r="C28" s="636">
        <v>0</v>
      </c>
    </row>
    <row r="29" spans="2:9">
      <c r="B29" s="632" t="s">
        <v>4048</v>
      </c>
      <c r="C29" s="636">
        <v>150000</v>
      </c>
    </row>
    <row r="30" spans="2:9" ht="14.5">
      <c r="B30" s="632" t="s">
        <v>4545</v>
      </c>
      <c r="C30" s="636">
        <v>0</v>
      </c>
      <c r="I30" s="645"/>
    </row>
    <row r="31" spans="2:9" ht="14.5">
      <c r="B31" s="632" t="s">
        <v>4050</v>
      </c>
      <c r="C31" s="636">
        <v>0</v>
      </c>
      <c r="I31" s="628"/>
    </row>
    <row r="32" spans="2:9" ht="14.5">
      <c r="B32" s="632" t="s">
        <v>4051</v>
      </c>
      <c r="C32" s="636">
        <v>0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4725</v>
      </c>
      <c r="C35" s="636">
        <v>450000</v>
      </c>
      <c r="I35" s="628"/>
    </row>
    <row r="36" spans="2:9" ht="14.5">
      <c r="B36" s="632" t="s">
        <v>4055</v>
      </c>
      <c r="C36" s="636">
        <f>G19</f>
        <v>41116.020000000004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8380891.0199999996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10965181.100000001</v>
      </c>
    </row>
    <row r="43" spans="2:9">
      <c r="B43" s="638"/>
      <c r="C43" s="639"/>
    </row>
    <row r="45" spans="2:9">
      <c r="B45" s="681" t="s">
        <v>4549</v>
      </c>
      <c r="C45" s="682">
        <v>262641033.33000001</v>
      </c>
    </row>
    <row r="48" spans="2:9" ht="14.25" customHeight="1"/>
  </sheetData>
  <mergeCells count="9">
    <mergeCell ref="E10:H10"/>
    <mergeCell ref="E15:G15"/>
    <mergeCell ref="E19:F19"/>
    <mergeCell ref="E1:H1"/>
    <mergeCell ref="B2:C2"/>
    <mergeCell ref="B3:C3"/>
    <mergeCell ref="B4:C4"/>
    <mergeCell ref="E8:G8"/>
    <mergeCell ref="E9:G9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EECC-0293-4AE0-8CFC-81AC8E7B6286}">
  <dimension ref="A1:I48"/>
  <sheetViews>
    <sheetView topLeftCell="A16" zoomScale="130" workbookViewId="0">
      <selection activeCell="E2" sqref="E2"/>
    </sheetView>
  </sheetViews>
  <sheetFormatPr defaultColWidth="9" defaultRowHeight="14"/>
  <cols>
    <col min="1" max="1" width="3.25" style="517" customWidth="1"/>
    <col min="2" max="2" width="39.58203125" style="629" customWidth="1"/>
    <col min="3" max="3" width="27.33203125" style="630" customWidth="1"/>
    <col min="4" max="4" width="1.58203125" style="517" customWidth="1"/>
    <col min="5" max="5" width="3.5" style="676" customWidth="1"/>
    <col min="6" max="6" width="20.08203125" style="517" customWidth="1"/>
    <col min="7" max="7" width="12.83203125" style="517" customWidth="1"/>
    <col min="8" max="8" width="15.58203125" style="517" customWidth="1"/>
    <col min="9" max="9" width="13.08203125" customWidth="1"/>
  </cols>
  <sheetData>
    <row r="1" spans="2:9" ht="15.75" customHeight="1">
      <c r="E1" s="1120" t="s">
        <v>5101</v>
      </c>
      <c r="F1" s="1120"/>
      <c r="G1" s="1120"/>
      <c r="H1" s="1120"/>
      <c r="I1" s="628"/>
    </row>
    <row r="2" spans="2:9" ht="15">
      <c r="B2" s="1113" t="s">
        <v>4028</v>
      </c>
      <c r="C2" s="1116"/>
      <c r="E2" s="641" t="s">
        <v>3385</v>
      </c>
      <c r="F2" s="641" t="s">
        <v>8</v>
      </c>
      <c r="G2" s="641" t="s">
        <v>3543</v>
      </c>
      <c r="H2" s="641" t="s">
        <v>3552</v>
      </c>
      <c r="I2" s="628"/>
    </row>
    <row r="3" spans="2:9" ht="14.5">
      <c r="B3" s="1113" t="s">
        <v>4029</v>
      </c>
      <c r="C3" s="1116"/>
      <c r="D3" s="672"/>
      <c r="E3" s="642">
        <v>1</v>
      </c>
      <c r="F3" s="642" t="s">
        <v>4658</v>
      </c>
      <c r="G3" s="684" t="s">
        <v>4727</v>
      </c>
      <c r="H3" s="643">
        <v>-19329324</v>
      </c>
      <c r="I3" s="628"/>
    </row>
    <row r="4" spans="2:9" ht="14.5">
      <c r="B4" s="1113" t="s">
        <v>4726</v>
      </c>
      <c r="C4" s="1116"/>
      <c r="D4" s="672"/>
      <c r="E4" s="642">
        <v>2</v>
      </c>
      <c r="F4" s="642" t="s">
        <v>4663</v>
      </c>
      <c r="G4" s="684" t="s">
        <v>4727</v>
      </c>
      <c r="H4" s="643">
        <v>9149570</v>
      </c>
      <c r="I4" s="628"/>
    </row>
    <row r="5" spans="2:9" ht="14.5">
      <c r="B5" s="632"/>
      <c r="C5" s="633"/>
      <c r="E5" s="642">
        <v>3</v>
      </c>
      <c r="F5" s="642" t="s">
        <v>4665</v>
      </c>
      <c r="G5" s="683" t="s">
        <v>4579</v>
      </c>
      <c r="H5" s="643">
        <v>11465000</v>
      </c>
      <c r="I5" s="628"/>
    </row>
    <row r="6" spans="2:9" ht="14.5">
      <c r="B6" s="634" t="s">
        <v>3455</v>
      </c>
      <c r="C6" s="634" t="s">
        <v>3857</v>
      </c>
      <c r="E6" s="642">
        <v>4</v>
      </c>
      <c r="F6" s="642" t="s">
        <v>4666</v>
      </c>
      <c r="G6" s="683" t="s">
        <v>4728</v>
      </c>
      <c r="H6" s="643">
        <v>1308000</v>
      </c>
      <c r="I6" s="628"/>
    </row>
    <row r="7" spans="2:9" ht="14.5">
      <c r="B7" s="635" t="s">
        <v>4031</v>
      </c>
      <c r="C7" s="636"/>
      <c r="E7" s="642">
        <v>5</v>
      </c>
      <c r="F7" s="642" t="s">
        <v>4667</v>
      </c>
      <c r="G7" s="683" t="s">
        <v>4723</v>
      </c>
      <c r="H7" s="643">
        <v>229750</v>
      </c>
      <c r="I7" s="628"/>
    </row>
    <row r="8" spans="2:9" ht="14.5">
      <c r="B8" s="632" t="s">
        <v>4032</v>
      </c>
      <c r="C8" s="636"/>
      <c r="E8" s="642">
        <v>6</v>
      </c>
      <c r="F8" s="642" t="s">
        <v>4668</v>
      </c>
      <c r="G8" s="683" t="s">
        <v>4727</v>
      </c>
      <c r="H8" s="643">
        <v>2063460</v>
      </c>
      <c r="I8" s="628"/>
    </row>
    <row r="9" spans="2:9" ht="14.5">
      <c r="B9" s="632" t="s">
        <v>4548</v>
      </c>
      <c r="C9" s="636">
        <f>'LR JUN 24'!C45</f>
        <v>262641033.33000001</v>
      </c>
      <c r="E9" s="642">
        <v>7</v>
      </c>
      <c r="F9" s="642" t="s">
        <v>4669</v>
      </c>
      <c r="G9" s="683" t="s">
        <v>4580</v>
      </c>
      <c r="H9" s="643">
        <v>1070500</v>
      </c>
      <c r="I9" s="628"/>
    </row>
    <row r="10" spans="2:9" ht="14.5">
      <c r="B10" s="635" t="s">
        <v>4034</v>
      </c>
      <c r="C10" s="637">
        <f>SUM(C8:C9)</f>
        <v>262641033.33000001</v>
      </c>
      <c r="E10" s="642">
        <v>8</v>
      </c>
      <c r="F10" s="642" t="s">
        <v>4670</v>
      </c>
      <c r="G10" s="683" t="s">
        <v>4580</v>
      </c>
      <c r="H10" s="643">
        <v>3081500</v>
      </c>
    </row>
    <row r="11" spans="2:9" ht="14.5">
      <c r="B11" s="632"/>
      <c r="C11" s="636"/>
      <c r="E11" s="642">
        <v>9</v>
      </c>
      <c r="F11" s="642" t="s">
        <v>4671</v>
      </c>
      <c r="G11" s="683" t="s">
        <v>4580</v>
      </c>
      <c r="H11" s="643">
        <v>3078000</v>
      </c>
    </row>
    <row r="12" spans="2:9" ht="14.5">
      <c r="B12" s="635" t="s">
        <v>4035</v>
      </c>
      <c r="C12" s="636"/>
      <c r="E12" s="642">
        <v>10</v>
      </c>
      <c r="F12" s="642" t="s">
        <v>4672</v>
      </c>
      <c r="G12" s="683" t="s">
        <v>4580</v>
      </c>
      <c r="H12" s="643">
        <v>921000</v>
      </c>
    </row>
    <row r="13" spans="2:9" ht="14.5">
      <c r="B13" s="632" t="s">
        <v>4721</v>
      </c>
      <c r="C13" s="636">
        <f>H21</f>
        <v>26911600</v>
      </c>
      <c r="E13" s="642">
        <v>11</v>
      </c>
      <c r="F13" s="642" t="s">
        <v>4673</v>
      </c>
      <c r="G13" s="683" t="s">
        <v>4580</v>
      </c>
      <c r="H13" s="643">
        <v>1865626</v>
      </c>
    </row>
    <row r="14" spans="2:9" ht="14.5">
      <c r="B14" s="632" t="s">
        <v>4037</v>
      </c>
      <c r="C14" s="636">
        <v>131894.93</v>
      </c>
      <c r="E14" s="642">
        <v>12</v>
      </c>
      <c r="F14" s="642" t="s">
        <v>4674</v>
      </c>
      <c r="G14" s="683" t="s">
        <v>4580</v>
      </c>
      <c r="H14" s="643">
        <v>2297738</v>
      </c>
    </row>
    <row r="15" spans="2:9" ht="14.5">
      <c r="B15" s="635" t="s">
        <v>4038</v>
      </c>
      <c r="C15" s="637">
        <f>SUM(C13:C14)</f>
        <v>27043494.93</v>
      </c>
      <c r="E15" s="642">
        <v>13</v>
      </c>
      <c r="F15" s="642" t="s">
        <v>4675</v>
      </c>
      <c r="G15" s="683" t="s">
        <v>4584</v>
      </c>
      <c r="H15" s="643">
        <v>2300000</v>
      </c>
    </row>
    <row r="16" spans="2:9" ht="14.5">
      <c r="B16" s="632"/>
      <c r="C16" s="636"/>
      <c r="E16" s="642">
        <v>14</v>
      </c>
      <c r="F16" s="642" t="s">
        <v>4676</v>
      </c>
      <c r="G16" s="683" t="s">
        <v>4580</v>
      </c>
      <c r="H16" s="643">
        <v>1141538</v>
      </c>
    </row>
    <row r="17" spans="2:9" ht="14.5">
      <c r="B17" s="635" t="s">
        <v>4039</v>
      </c>
      <c r="C17" s="636"/>
      <c r="E17" s="642">
        <v>15</v>
      </c>
      <c r="F17" s="642" t="s">
        <v>4677</v>
      </c>
      <c r="G17" s="683" t="s">
        <v>4580</v>
      </c>
      <c r="H17" s="643">
        <v>1141538</v>
      </c>
    </row>
    <row r="18" spans="2:9" ht="14.5">
      <c r="B18" s="632" t="s">
        <v>4040</v>
      </c>
      <c r="C18" s="636"/>
      <c r="E18" s="642">
        <v>16</v>
      </c>
      <c r="F18" s="642" t="s">
        <v>4678</v>
      </c>
      <c r="G18" s="683" t="s">
        <v>4584</v>
      </c>
      <c r="H18" s="643">
        <v>850000</v>
      </c>
      <c r="I18" s="517"/>
    </row>
    <row r="19" spans="2:9" ht="14.5">
      <c r="B19" s="632"/>
      <c r="C19" s="636"/>
      <c r="E19" s="642">
        <v>17</v>
      </c>
      <c r="F19" s="642" t="s">
        <v>4679</v>
      </c>
      <c r="G19" s="683" t="s">
        <v>4630</v>
      </c>
      <c r="H19" s="643">
        <v>443712</v>
      </c>
    </row>
    <row r="20" spans="2:9" ht="14.5">
      <c r="B20" s="635"/>
      <c r="C20" s="636"/>
      <c r="E20" s="642">
        <v>18</v>
      </c>
      <c r="F20" s="642" t="s">
        <v>4680</v>
      </c>
      <c r="G20" s="683" t="s">
        <v>4580</v>
      </c>
      <c r="H20" s="643">
        <v>3833992</v>
      </c>
    </row>
    <row r="21" spans="2:9" ht="15">
      <c r="B21" s="632"/>
      <c r="C21" s="636"/>
      <c r="E21" s="1121" t="s">
        <v>4493</v>
      </c>
      <c r="F21" s="1121"/>
      <c r="G21" s="1121"/>
      <c r="H21" s="644">
        <f>SUM(H3:H20)</f>
        <v>26911600</v>
      </c>
    </row>
    <row r="22" spans="2:9" ht="15">
      <c r="B22" s="632"/>
      <c r="C22" s="636"/>
      <c r="E22" s="1122"/>
      <c r="F22" s="1122"/>
      <c r="G22" s="1122"/>
    </row>
    <row r="23" spans="2:9">
      <c r="B23" s="635" t="s">
        <v>4042</v>
      </c>
      <c r="C23" s="636"/>
      <c r="E23" s="1117" t="s">
        <v>4043</v>
      </c>
      <c r="F23" s="1118"/>
      <c r="G23" s="1118"/>
      <c r="H23" s="1119"/>
    </row>
    <row r="24" spans="2:9">
      <c r="B24" s="632" t="s">
        <v>4043</v>
      </c>
      <c r="C24" s="636">
        <f>SUM(H25:H26)</f>
        <v>7739775</v>
      </c>
      <c r="E24" s="673" t="s">
        <v>3385</v>
      </c>
      <c r="F24" s="673" t="s">
        <v>4262</v>
      </c>
      <c r="G24" s="673" t="s">
        <v>4502</v>
      </c>
      <c r="H24" s="673" t="s">
        <v>3213</v>
      </c>
    </row>
    <row r="25" spans="2:9" ht="14.25" customHeight="1">
      <c r="B25" s="632" t="s">
        <v>4044</v>
      </c>
      <c r="C25" s="636">
        <v>0</v>
      </c>
      <c r="E25" s="674">
        <v>1</v>
      </c>
      <c r="F25" s="674" t="s">
        <v>3801</v>
      </c>
      <c r="G25" s="674" t="s">
        <v>4509</v>
      </c>
      <c r="H25" s="536">
        <v>2000000</v>
      </c>
    </row>
    <row r="26" spans="2:9">
      <c r="B26" s="632" t="s">
        <v>4045</v>
      </c>
      <c r="C26" s="636">
        <v>0</v>
      </c>
      <c r="E26" s="674">
        <v>2</v>
      </c>
      <c r="F26" s="674" t="s">
        <v>4510</v>
      </c>
      <c r="G26" s="674" t="s">
        <v>4482</v>
      </c>
      <c r="H26" s="536">
        <v>5739775</v>
      </c>
    </row>
    <row r="27" spans="2:9">
      <c r="B27" s="632" t="s">
        <v>4046</v>
      </c>
      <c r="C27" s="636">
        <v>0</v>
      </c>
    </row>
    <row r="28" spans="2:9">
      <c r="B28" s="632" t="s">
        <v>4047</v>
      </c>
      <c r="C28" s="636">
        <v>0</v>
      </c>
      <c r="E28" s="1117" t="s">
        <v>4546</v>
      </c>
      <c r="F28" s="1118"/>
      <c r="G28" s="1119"/>
    </row>
    <row r="29" spans="2:9">
      <c r="B29" s="632" t="s">
        <v>4048</v>
      </c>
      <c r="C29" s="636">
        <v>212393</v>
      </c>
      <c r="E29" s="679">
        <v>1</v>
      </c>
      <c r="F29" s="677" t="s">
        <v>4563</v>
      </c>
      <c r="G29" s="678">
        <v>5500</v>
      </c>
    </row>
    <row r="30" spans="2:9" ht="14.5">
      <c r="B30" s="632" t="s">
        <v>4545</v>
      </c>
      <c r="C30" s="636">
        <v>0</v>
      </c>
      <c r="E30" s="679">
        <v>2</v>
      </c>
      <c r="F30" s="677" t="s">
        <v>4565</v>
      </c>
      <c r="G30" s="678">
        <v>12500</v>
      </c>
      <c r="I30" s="645"/>
    </row>
    <row r="31" spans="2:9" ht="14.5">
      <c r="B31" s="632" t="s">
        <v>4050</v>
      </c>
      <c r="C31" s="636">
        <v>0</v>
      </c>
      <c r="E31" s="679">
        <v>3</v>
      </c>
      <c r="F31" s="677" t="s">
        <v>4566</v>
      </c>
      <c r="G31" s="678">
        <v>26378.99</v>
      </c>
      <c r="I31" s="628"/>
    </row>
    <row r="32" spans="2:9" ht="14.5">
      <c r="B32" s="632" t="s">
        <v>4051</v>
      </c>
      <c r="C32" s="636">
        <v>0</v>
      </c>
      <c r="E32" s="1114" t="s">
        <v>4493</v>
      </c>
      <c r="F32" s="1114"/>
      <c r="G32" s="695">
        <f>SUM(G29:G31)</f>
        <v>44378.990000000005</v>
      </c>
      <c r="I32" s="628"/>
    </row>
    <row r="33" spans="2:9" ht="14.5">
      <c r="B33" s="632" t="s">
        <v>4052</v>
      </c>
      <c r="C33" s="636">
        <v>0</v>
      </c>
      <c r="I33" s="628"/>
    </row>
    <row r="34" spans="2:9" ht="14.5">
      <c r="B34" s="632" t="s">
        <v>4053</v>
      </c>
      <c r="C34" s="636">
        <v>0</v>
      </c>
      <c r="I34" s="628"/>
    </row>
    <row r="35" spans="2:9" ht="14.5">
      <c r="B35" s="632" t="s">
        <v>4054</v>
      </c>
      <c r="C35" s="636">
        <v>450000</v>
      </c>
      <c r="I35" s="628"/>
    </row>
    <row r="36" spans="2:9" ht="14.5">
      <c r="B36" s="632" t="s">
        <v>4055</v>
      </c>
      <c r="C36" s="636">
        <f>G32</f>
        <v>44378.990000000005</v>
      </c>
      <c r="I36" s="628"/>
    </row>
    <row r="37" spans="2:9" ht="14.25" customHeight="1">
      <c r="B37" s="632" t="s">
        <v>4056</v>
      </c>
      <c r="C37" s="636"/>
    </row>
    <row r="38" spans="2:9">
      <c r="B38" s="635" t="s">
        <v>4057</v>
      </c>
      <c r="C38" s="637">
        <f>SUM(C24:C37)</f>
        <v>8446546.9900000002</v>
      </c>
    </row>
    <row r="39" spans="2:9">
      <c r="B39" s="632"/>
      <c r="C39" s="636"/>
    </row>
    <row r="40" spans="2:9">
      <c r="B40" s="632"/>
      <c r="C40" s="636"/>
    </row>
    <row r="41" spans="2:9">
      <c r="B41" s="632"/>
      <c r="C41" s="636"/>
    </row>
    <row r="42" spans="2:9">
      <c r="B42" s="635" t="s">
        <v>4058</v>
      </c>
      <c r="C42" s="637">
        <f>C15-C38</f>
        <v>18596947.939999998</v>
      </c>
    </row>
    <row r="43" spans="2:9">
      <c r="B43" s="638"/>
      <c r="C43" s="639"/>
    </row>
    <row r="45" spans="2:9">
      <c r="B45" s="681" t="s">
        <v>4549</v>
      </c>
      <c r="C45" s="682">
        <v>234299058.27000001</v>
      </c>
    </row>
    <row r="48" spans="2:9" ht="14.25" customHeight="1"/>
  </sheetData>
  <mergeCells count="9">
    <mergeCell ref="E23:H23"/>
    <mergeCell ref="E28:G28"/>
    <mergeCell ref="E32:F32"/>
    <mergeCell ref="E1:H1"/>
    <mergeCell ref="B2:C2"/>
    <mergeCell ref="B3:C3"/>
    <mergeCell ref="B4:C4"/>
    <mergeCell ref="E21:G21"/>
    <mergeCell ref="E22:G22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AEBA-8E66-4862-8F8E-C3466BB168FA}">
  <dimension ref="A1:P104"/>
  <sheetViews>
    <sheetView topLeftCell="A10" zoomScaleNormal="100" workbookViewId="0">
      <selection activeCell="I84" sqref="I84"/>
    </sheetView>
  </sheetViews>
  <sheetFormatPr defaultColWidth="9" defaultRowHeight="14.5"/>
  <cols>
    <col min="1" max="1" width="3.25" style="628" customWidth="1"/>
    <col min="2" max="2" width="41.08203125" style="629" customWidth="1"/>
    <col min="3" max="3" width="27.33203125" style="630" customWidth="1"/>
    <col min="4" max="4" width="1.58203125" style="628" customWidth="1"/>
    <col min="5" max="5" width="9" style="628"/>
    <col min="6" max="6" width="4.25" style="628" customWidth="1"/>
    <col min="7" max="7" width="18.75" style="628" customWidth="1"/>
    <col min="8" max="8" width="14.33203125" style="628" customWidth="1"/>
    <col min="9" max="9" width="15.75" style="628" customWidth="1"/>
    <col min="10" max="10" width="14.08203125" style="628" customWidth="1"/>
    <col min="11" max="11" width="4.5" style="701" customWidth="1"/>
    <col min="12" max="12" width="13" style="701" customWidth="1"/>
    <col min="13" max="13" width="20.08203125" style="701" customWidth="1"/>
    <col min="14" max="14" width="16.5" style="701" customWidth="1"/>
    <col min="15" max="15" width="14.33203125" style="701" customWidth="1"/>
    <col min="16" max="16" width="17.58203125" style="701" customWidth="1"/>
  </cols>
  <sheetData>
    <row r="1" spans="1:13">
      <c r="A1" s="628" t="s">
        <v>4073</v>
      </c>
    </row>
    <row r="2" spans="1:13" ht="18.5">
      <c r="B2" s="1136" t="s">
        <v>4028</v>
      </c>
      <c r="C2" s="1137"/>
      <c r="F2" s="1120" t="s">
        <v>4492</v>
      </c>
      <c r="G2" s="1120"/>
      <c r="H2" s="1120"/>
      <c r="I2" s="1120"/>
    </row>
    <row r="3" spans="1:13" ht="16">
      <c r="B3" s="1138" t="s">
        <v>4029</v>
      </c>
      <c r="C3" s="1139"/>
      <c r="D3" s="631"/>
      <c r="F3" s="641" t="s">
        <v>3385</v>
      </c>
      <c r="G3" s="641" t="s">
        <v>8</v>
      </c>
      <c r="H3" s="641" t="s">
        <v>3543</v>
      </c>
      <c r="I3" s="641" t="s">
        <v>3552</v>
      </c>
    </row>
    <row r="4" spans="1:13" ht="16">
      <c r="B4" s="1138" t="s">
        <v>4487</v>
      </c>
      <c r="C4" s="1139"/>
      <c r="D4" s="631"/>
      <c r="F4" s="642">
        <v>1</v>
      </c>
      <c r="G4" s="642" t="s">
        <v>4450</v>
      </c>
      <c r="H4" s="642" t="s">
        <v>4451</v>
      </c>
      <c r="I4" s="643">
        <v>3378000</v>
      </c>
    </row>
    <row r="5" spans="1:13">
      <c r="B5" s="632"/>
      <c r="C5" s="633"/>
      <c r="F5" s="642">
        <v>2</v>
      </c>
      <c r="G5" s="642" t="s">
        <v>4453</v>
      </c>
      <c r="H5" s="642" t="s">
        <v>4451</v>
      </c>
      <c r="I5" s="643">
        <v>1928000</v>
      </c>
    </row>
    <row r="6" spans="1:13">
      <c r="B6" s="634" t="s">
        <v>3455</v>
      </c>
      <c r="C6" s="634" t="s">
        <v>3857</v>
      </c>
      <c r="F6" s="642">
        <v>3</v>
      </c>
      <c r="G6" s="642" t="s">
        <v>4454</v>
      </c>
      <c r="H6" s="642" t="s">
        <v>4494</v>
      </c>
      <c r="I6" s="643">
        <v>8517856</v>
      </c>
    </row>
    <row r="7" spans="1:13">
      <c r="B7" s="635" t="s">
        <v>4031</v>
      </c>
      <c r="C7" s="636"/>
      <c r="F7" s="642">
        <v>4</v>
      </c>
      <c r="G7" s="642" t="s">
        <v>4455</v>
      </c>
      <c r="H7" s="642" t="s">
        <v>4476</v>
      </c>
      <c r="I7" s="643">
        <v>2925000</v>
      </c>
      <c r="J7" s="701" t="s">
        <v>4848</v>
      </c>
      <c r="M7" s="701" t="s">
        <v>4847</v>
      </c>
    </row>
    <row r="8" spans="1:13">
      <c r="B8" s="632" t="s">
        <v>4032</v>
      </c>
      <c r="C8" s="636">
        <v>1679500</v>
      </c>
      <c r="F8" s="642">
        <v>5</v>
      </c>
      <c r="G8" s="642" t="s">
        <v>4456</v>
      </c>
      <c r="H8" s="642" t="s">
        <v>4477</v>
      </c>
      <c r="I8" s="643">
        <v>500000</v>
      </c>
    </row>
    <row r="9" spans="1:13">
      <c r="B9" s="632" t="s">
        <v>4033</v>
      </c>
      <c r="C9" s="636">
        <f>'LR JUL 2024'!C45</f>
        <v>234299058.27000001</v>
      </c>
      <c r="F9" s="642">
        <v>6</v>
      </c>
      <c r="G9" s="642" t="s">
        <v>4457</v>
      </c>
      <c r="H9" s="642" t="s">
        <v>4478</v>
      </c>
      <c r="I9" s="643">
        <v>1399000</v>
      </c>
    </row>
    <row r="10" spans="1:13">
      <c r="B10" s="632" t="s">
        <v>4489</v>
      </c>
      <c r="C10" s="636">
        <v>0</v>
      </c>
      <c r="F10" s="642">
        <v>7</v>
      </c>
      <c r="G10" s="642" t="s">
        <v>4433</v>
      </c>
      <c r="H10" s="642" t="s">
        <v>4497</v>
      </c>
      <c r="I10" s="643">
        <v>1815600</v>
      </c>
    </row>
    <row r="11" spans="1:13">
      <c r="B11" s="635" t="s">
        <v>4034</v>
      </c>
      <c r="C11" s="637">
        <f>SUM(C8:C10)</f>
        <v>235978558.27000001</v>
      </c>
      <c r="F11" s="642">
        <v>8</v>
      </c>
      <c r="G11" s="642" t="s">
        <v>4458</v>
      </c>
      <c r="H11" s="642" t="s">
        <v>4480</v>
      </c>
      <c r="I11" s="643">
        <v>1080000</v>
      </c>
    </row>
    <row r="12" spans="1:13">
      <c r="B12" s="632"/>
      <c r="C12" s="636"/>
      <c r="F12" s="642">
        <v>9</v>
      </c>
      <c r="G12" s="642" t="s">
        <v>4459</v>
      </c>
      <c r="H12" s="642" t="s">
        <v>4480</v>
      </c>
      <c r="I12" s="643">
        <v>4400000</v>
      </c>
    </row>
    <row r="13" spans="1:13">
      <c r="B13" s="635" t="s">
        <v>4035</v>
      </c>
      <c r="C13" s="636"/>
      <c r="F13" s="642">
        <v>10</v>
      </c>
      <c r="G13" s="642" t="s">
        <v>4460</v>
      </c>
      <c r="H13" s="642" t="s">
        <v>4480</v>
      </c>
      <c r="I13" s="643">
        <v>3300000</v>
      </c>
    </row>
    <row r="14" spans="1:13">
      <c r="B14" s="632" t="s">
        <v>4488</v>
      </c>
      <c r="C14" s="636">
        <f>I26</f>
        <v>74715292</v>
      </c>
      <c r="F14" s="642">
        <v>11</v>
      </c>
      <c r="G14" s="642" t="s">
        <v>4461</v>
      </c>
      <c r="H14" s="642" t="s">
        <v>4451</v>
      </c>
      <c r="I14" s="643">
        <v>4798000</v>
      </c>
    </row>
    <row r="15" spans="1:13">
      <c r="B15" s="632" t="s">
        <v>4498</v>
      </c>
      <c r="C15" s="636">
        <f>I67</f>
        <v>135713.32</v>
      </c>
      <c r="F15" s="642">
        <v>12</v>
      </c>
      <c r="G15" s="642" t="s">
        <v>4462</v>
      </c>
      <c r="H15" s="642" t="s">
        <v>4481</v>
      </c>
      <c r="I15" s="643">
        <v>1500000</v>
      </c>
    </row>
    <row r="16" spans="1:13">
      <c r="B16" s="632" t="s">
        <v>4499</v>
      </c>
      <c r="C16" s="636">
        <v>0</v>
      </c>
      <c r="F16" s="642">
        <v>13</v>
      </c>
      <c r="G16" s="642" t="s">
        <v>4463</v>
      </c>
      <c r="H16" s="642" t="s">
        <v>4480</v>
      </c>
      <c r="I16" s="643">
        <v>1200000</v>
      </c>
    </row>
    <row r="17" spans="2:10">
      <c r="B17" s="635" t="s">
        <v>4038</v>
      </c>
      <c r="C17" s="640">
        <f>SUM(C14:C15)</f>
        <v>74851005.319999993</v>
      </c>
      <c r="F17" s="642">
        <v>14</v>
      </c>
      <c r="G17" s="642" t="s">
        <v>4464</v>
      </c>
      <c r="H17" s="642" t="s">
        <v>4480</v>
      </c>
      <c r="I17" s="643">
        <v>1200000</v>
      </c>
    </row>
    <row r="18" spans="2:10">
      <c r="B18" s="632"/>
      <c r="C18" s="636"/>
      <c r="F18" s="642">
        <v>15</v>
      </c>
      <c r="G18" s="642" t="s">
        <v>4465</v>
      </c>
      <c r="H18" s="642" t="s">
        <v>4451</v>
      </c>
      <c r="I18" s="643">
        <v>2969220</v>
      </c>
    </row>
    <row r="19" spans="2:10">
      <c r="B19" s="635" t="s">
        <v>4039</v>
      </c>
      <c r="C19" s="636"/>
      <c r="F19" s="642">
        <v>16</v>
      </c>
      <c r="G19" s="642" t="s">
        <v>4466</v>
      </c>
      <c r="H19" s="642" t="s">
        <v>4451</v>
      </c>
      <c r="I19" s="643">
        <v>4656646</v>
      </c>
    </row>
    <row r="20" spans="2:10">
      <c r="B20" s="632" t="s">
        <v>4333</v>
      </c>
      <c r="C20" s="636"/>
      <c r="F20" s="642">
        <v>17</v>
      </c>
      <c r="G20" s="642" t="s">
        <v>4467</v>
      </c>
      <c r="H20" s="642" t="s">
        <v>4451</v>
      </c>
      <c r="I20" s="643">
        <v>5294526</v>
      </c>
    </row>
    <row r="21" spans="2:10">
      <c r="B21" s="632"/>
      <c r="C21" s="636"/>
      <c r="F21" s="642">
        <v>18</v>
      </c>
      <c r="G21" s="642" t="s">
        <v>4468</v>
      </c>
      <c r="H21" s="642" t="s">
        <v>4480</v>
      </c>
      <c r="I21" s="643">
        <v>9850000</v>
      </c>
    </row>
    <row r="22" spans="2:10">
      <c r="B22" s="635" t="s">
        <v>4490</v>
      </c>
      <c r="C22" s="637">
        <f>I46</f>
        <v>78025720</v>
      </c>
      <c r="F22" s="642">
        <v>19</v>
      </c>
      <c r="G22" s="642" t="s">
        <v>4469</v>
      </c>
      <c r="H22" s="642" t="s">
        <v>4495</v>
      </c>
      <c r="I22" s="643">
        <v>6128444</v>
      </c>
    </row>
    <row r="23" spans="2:10">
      <c r="B23" s="635" t="s">
        <v>4491</v>
      </c>
      <c r="C23" s="637">
        <f>I59</f>
        <v>62583105</v>
      </c>
      <c r="F23" s="642">
        <v>20</v>
      </c>
      <c r="G23" s="642" t="s">
        <v>4470</v>
      </c>
      <c r="H23" s="642" t="s">
        <v>4480</v>
      </c>
      <c r="I23" s="643">
        <v>1000000</v>
      </c>
    </row>
    <row r="24" spans="2:10">
      <c r="B24" s="635" t="s">
        <v>4506</v>
      </c>
      <c r="C24" s="637">
        <v>333594567</v>
      </c>
      <c r="F24" s="642">
        <v>21</v>
      </c>
      <c r="G24" s="642" t="s">
        <v>4471</v>
      </c>
      <c r="H24" s="642" t="s">
        <v>4480</v>
      </c>
      <c r="I24" s="643">
        <v>5575000</v>
      </c>
    </row>
    <row r="25" spans="2:10">
      <c r="B25" s="632"/>
      <c r="C25" s="636"/>
      <c r="F25" s="642">
        <v>22</v>
      </c>
      <c r="G25" s="642" t="s">
        <v>4472</v>
      </c>
      <c r="H25" s="642" t="s">
        <v>4480</v>
      </c>
      <c r="I25" s="643">
        <v>1300000</v>
      </c>
    </row>
    <row r="26" spans="2:10" ht="15">
      <c r="B26" s="635" t="s">
        <v>4042</v>
      </c>
      <c r="C26" s="636"/>
      <c r="F26" s="1121" t="s">
        <v>4493</v>
      </c>
      <c r="G26" s="1121"/>
      <c r="H26" s="1121"/>
      <c r="I26" s="644">
        <f>SUM(I4:I25)</f>
        <v>74715292</v>
      </c>
    </row>
    <row r="27" spans="2:10">
      <c r="B27" s="632" t="s">
        <v>4043</v>
      </c>
      <c r="C27" s="636">
        <f>I35</f>
        <v>16242000</v>
      </c>
    </row>
    <row r="28" spans="2:10">
      <c r="B28" s="632" t="s">
        <v>4044</v>
      </c>
      <c r="C28" s="636"/>
    </row>
    <row r="29" spans="2:10" ht="15">
      <c r="B29" s="632" t="s">
        <v>4045</v>
      </c>
      <c r="C29" s="636"/>
      <c r="F29" s="1120" t="s">
        <v>4501</v>
      </c>
      <c r="G29" s="1120"/>
      <c r="H29" s="1120"/>
      <c r="I29" s="1120"/>
      <c r="J29" s="645">
        <v>45532</v>
      </c>
    </row>
    <row r="30" spans="2:10" ht="15">
      <c r="B30" s="632" t="s">
        <v>4507</v>
      </c>
      <c r="C30" s="636">
        <v>1431000</v>
      </c>
      <c r="F30" s="641" t="s">
        <v>3385</v>
      </c>
      <c r="G30" s="641" t="s">
        <v>4262</v>
      </c>
      <c r="H30" s="641" t="s">
        <v>4502</v>
      </c>
      <c r="I30" s="641" t="s">
        <v>3213</v>
      </c>
    </row>
    <row r="31" spans="2:10">
      <c r="B31" s="632" t="s">
        <v>4508</v>
      </c>
      <c r="C31" s="636">
        <v>705250</v>
      </c>
      <c r="F31" s="642">
        <v>1</v>
      </c>
      <c r="G31" s="642" t="s">
        <v>4503</v>
      </c>
      <c r="H31" s="642" t="s">
        <v>4504</v>
      </c>
      <c r="I31" s="643">
        <v>1917000</v>
      </c>
      <c r="J31" s="628" t="s">
        <v>4505</v>
      </c>
    </row>
    <row r="32" spans="2:10">
      <c r="B32" s="632" t="s">
        <v>4874</v>
      </c>
      <c r="C32" s="636">
        <v>50000</v>
      </c>
      <c r="F32" s="642">
        <v>2</v>
      </c>
      <c r="G32" s="642" t="s">
        <v>3801</v>
      </c>
      <c r="H32" s="642" t="s">
        <v>4509</v>
      </c>
      <c r="I32" s="643">
        <v>2000000</v>
      </c>
    </row>
    <row r="33" spans="2:16">
      <c r="B33" s="632" t="s">
        <v>4875</v>
      </c>
      <c r="C33" s="636">
        <v>243253</v>
      </c>
      <c r="F33" s="642">
        <v>3</v>
      </c>
      <c r="G33" s="642" t="s">
        <v>4510</v>
      </c>
      <c r="H33" s="642" t="s">
        <v>4482</v>
      </c>
      <c r="I33" s="643">
        <v>10000000</v>
      </c>
    </row>
    <row r="34" spans="2:16">
      <c r="B34" s="632" t="s">
        <v>4049</v>
      </c>
      <c r="C34" s="636"/>
      <c r="F34" s="642">
        <v>4</v>
      </c>
      <c r="G34" s="642" t="s">
        <v>4511</v>
      </c>
      <c r="H34" s="642" t="s">
        <v>4482</v>
      </c>
      <c r="I34" s="643">
        <v>2325000</v>
      </c>
    </row>
    <row r="35" spans="2:16" ht="15">
      <c r="B35" s="632" t="s">
        <v>4500</v>
      </c>
      <c r="C35" s="636">
        <v>158000</v>
      </c>
      <c r="F35" s="1121" t="s">
        <v>4493</v>
      </c>
      <c r="G35" s="1121"/>
      <c r="H35" s="1121"/>
      <c r="I35" s="644">
        <f>SUM(I31:I34)</f>
        <v>16242000</v>
      </c>
    </row>
    <row r="36" spans="2:16">
      <c r="B36" s="632" t="s">
        <v>4052</v>
      </c>
      <c r="C36" s="636"/>
    </row>
    <row r="37" spans="2:16" ht="15">
      <c r="B37" s="632" t="s">
        <v>4053</v>
      </c>
      <c r="C37" s="636">
        <v>608500</v>
      </c>
      <c r="F37" s="1120" t="s">
        <v>4514</v>
      </c>
      <c r="G37" s="1120"/>
      <c r="H37" s="1120"/>
      <c r="I37" s="1120"/>
    </row>
    <row r="38" spans="2:16">
      <c r="B38" s="632" t="s">
        <v>4496</v>
      </c>
      <c r="C38" s="636">
        <f>H67</f>
        <v>45142.66</v>
      </c>
      <c r="F38" s="642">
        <v>1</v>
      </c>
      <c r="G38" s="646" t="s">
        <v>3543</v>
      </c>
      <c r="H38" s="646" t="s">
        <v>4512</v>
      </c>
      <c r="I38" s="647" t="s">
        <v>3551</v>
      </c>
    </row>
    <row r="39" spans="2:16">
      <c r="B39" s="632" t="s">
        <v>4735</v>
      </c>
      <c r="C39" s="636">
        <f>H74</f>
        <v>55000</v>
      </c>
      <c r="F39" s="642">
        <v>2</v>
      </c>
      <c r="G39" s="648" t="s">
        <v>4451</v>
      </c>
      <c r="H39" s="648" t="s">
        <v>3840</v>
      </c>
      <c r="I39" s="649">
        <v>8153954</v>
      </c>
    </row>
    <row r="40" spans="2:16">
      <c r="B40" s="632"/>
      <c r="C40" s="636"/>
      <c r="F40" s="642">
        <v>3</v>
      </c>
      <c r="G40" s="648" t="s">
        <v>4451</v>
      </c>
      <c r="H40" s="648" t="s">
        <v>4313</v>
      </c>
      <c r="I40" s="649">
        <v>16237053</v>
      </c>
    </row>
    <row r="41" spans="2:16">
      <c r="B41" s="635" t="s">
        <v>4057</v>
      </c>
      <c r="C41" s="640">
        <f>SUM(C27:C40)</f>
        <v>19538145.66</v>
      </c>
      <c r="F41" s="642">
        <v>4</v>
      </c>
      <c r="G41" s="648" t="s">
        <v>4451</v>
      </c>
      <c r="H41" s="648" t="s">
        <v>4314</v>
      </c>
      <c r="I41" s="649">
        <v>15497127</v>
      </c>
    </row>
    <row r="42" spans="2:16">
      <c r="B42" s="632"/>
      <c r="C42" s="636"/>
      <c r="F42" s="642">
        <v>5</v>
      </c>
      <c r="G42" s="648" t="s">
        <v>4451</v>
      </c>
      <c r="H42" s="648" t="s">
        <v>4286</v>
      </c>
      <c r="I42" s="649">
        <v>9880814</v>
      </c>
    </row>
    <row r="43" spans="2:16">
      <c r="B43" s="632"/>
      <c r="C43" s="636"/>
      <c r="F43" s="642">
        <v>6</v>
      </c>
      <c r="G43" s="648" t="s">
        <v>4451</v>
      </c>
      <c r="H43" s="648" t="s">
        <v>4318</v>
      </c>
      <c r="I43" s="649">
        <v>11243400</v>
      </c>
    </row>
    <row r="44" spans="2:16">
      <c r="B44" s="632"/>
      <c r="C44" s="636"/>
      <c r="F44" s="642">
        <v>7</v>
      </c>
      <c r="G44" s="648" t="s">
        <v>4451</v>
      </c>
      <c r="H44" s="648" t="s">
        <v>4324</v>
      </c>
      <c r="I44" s="649">
        <v>13603984</v>
      </c>
    </row>
    <row r="45" spans="2:16">
      <c r="B45" s="635" t="s">
        <v>4058</v>
      </c>
      <c r="C45" s="637">
        <f>C17-C41</f>
        <v>55312859.659999996</v>
      </c>
      <c r="F45" s="642">
        <v>8</v>
      </c>
      <c r="G45" s="648" t="s">
        <v>4451</v>
      </c>
      <c r="H45" s="648" t="s">
        <v>4328</v>
      </c>
      <c r="I45" s="649">
        <v>3409388</v>
      </c>
    </row>
    <row r="46" spans="2:16" ht="15">
      <c r="B46" s="638"/>
      <c r="C46" s="639"/>
      <c r="F46" s="1121" t="s">
        <v>4493</v>
      </c>
      <c r="G46" s="1121"/>
      <c r="H46" s="1121"/>
      <c r="I46" s="644">
        <f>SUM(I39:I45)</f>
        <v>78025720</v>
      </c>
      <c r="M46" s="702"/>
      <c r="N46" s="702"/>
      <c r="O46" s="702"/>
      <c r="P46" s="702"/>
    </row>
    <row r="48" spans="2:16" ht="15">
      <c r="B48" s="681" t="s">
        <v>4549</v>
      </c>
      <c r="C48" s="682">
        <v>257760501.93000001</v>
      </c>
      <c r="F48" s="1120" t="s">
        <v>4737</v>
      </c>
      <c r="G48" s="1120"/>
      <c r="H48" s="1120"/>
      <c r="I48" s="1120"/>
    </row>
    <row r="49" spans="2:9">
      <c r="B49" s="681" t="s">
        <v>4729</v>
      </c>
      <c r="C49" s="682">
        <v>18819950</v>
      </c>
      <c r="F49" s="642">
        <v>1</v>
      </c>
      <c r="G49" s="648" t="s">
        <v>102</v>
      </c>
      <c r="H49" s="648" t="s">
        <v>4336</v>
      </c>
      <c r="I49" s="649">
        <v>1700000</v>
      </c>
    </row>
    <row r="50" spans="2:9">
      <c r="F50" s="642">
        <v>2</v>
      </c>
      <c r="G50" s="648" t="s">
        <v>2760</v>
      </c>
      <c r="H50" s="648" t="s">
        <v>4301</v>
      </c>
      <c r="I50" s="649">
        <v>5554004</v>
      </c>
    </row>
    <row r="51" spans="2:9">
      <c r="C51" s="696">
        <f>SUM(C48:C49)</f>
        <v>276580451.93000001</v>
      </c>
      <c r="F51" s="642">
        <v>3</v>
      </c>
      <c r="G51" s="648" t="s">
        <v>2760</v>
      </c>
      <c r="H51" s="648" t="s">
        <v>4313</v>
      </c>
      <c r="I51" s="649">
        <v>12892553</v>
      </c>
    </row>
    <row r="52" spans="2:9">
      <c r="F52" s="642">
        <v>4</v>
      </c>
      <c r="G52" s="648" t="s">
        <v>2760</v>
      </c>
      <c r="H52" s="648" t="s">
        <v>4314</v>
      </c>
      <c r="I52" s="649">
        <v>12159127</v>
      </c>
    </row>
    <row r="53" spans="2:9">
      <c r="F53" s="642">
        <v>5</v>
      </c>
      <c r="G53" s="648" t="s">
        <v>3001</v>
      </c>
      <c r="H53" s="648" t="s">
        <v>4318</v>
      </c>
      <c r="I53" s="649">
        <v>3962950</v>
      </c>
    </row>
    <row r="54" spans="2:9">
      <c r="F54" s="642">
        <v>6</v>
      </c>
      <c r="G54" s="648" t="s">
        <v>3001</v>
      </c>
      <c r="H54" s="648" t="s">
        <v>4324</v>
      </c>
      <c r="I54" s="649">
        <v>11066246</v>
      </c>
    </row>
    <row r="55" spans="2:9">
      <c r="F55" s="642">
        <v>7</v>
      </c>
      <c r="G55" s="648" t="s">
        <v>3001</v>
      </c>
      <c r="H55" s="648" t="s">
        <v>4383</v>
      </c>
      <c r="I55" s="649">
        <v>2117850</v>
      </c>
    </row>
    <row r="56" spans="2:9">
      <c r="F56" s="642">
        <v>8</v>
      </c>
      <c r="G56" s="648" t="s">
        <v>4513</v>
      </c>
      <c r="H56" s="648" t="s">
        <v>4428</v>
      </c>
      <c r="I56" s="649">
        <v>4927575</v>
      </c>
    </row>
    <row r="57" spans="2:9">
      <c r="F57" s="642">
        <v>9</v>
      </c>
      <c r="G57" s="648" t="s">
        <v>4515</v>
      </c>
      <c r="H57" s="648" t="s">
        <v>4392</v>
      </c>
      <c r="I57" s="649">
        <v>650000</v>
      </c>
    </row>
    <row r="58" spans="2:9">
      <c r="F58" s="642">
        <v>10</v>
      </c>
      <c r="G58" s="648" t="s">
        <v>102</v>
      </c>
      <c r="H58" s="648" t="s">
        <v>4336</v>
      </c>
      <c r="I58" s="649">
        <v>7552800</v>
      </c>
    </row>
    <row r="59" spans="2:9" ht="15">
      <c r="F59" s="1121" t="s">
        <v>4493</v>
      </c>
      <c r="G59" s="1121"/>
      <c r="H59" s="1121"/>
      <c r="I59" s="650">
        <f>SUM(I49:I58)</f>
        <v>62583105</v>
      </c>
    </row>
    <row r="61" spans="2:9" ht="15">
      <c r="F61" s="1120" t="s">
        <v>4730</v>
      </c>
      <c r="G61" s="1120"/>
      <c r="H61" s="1120"/>
      <c r="I61" s="1120"/>
    </row>
    <row r="62" spans="2:9">
      <c r="F62" s="642">
        <v>1</v>
      </c>
      <c r="G62" s="646" t="s">
        <v>4732</v>
      </c>
      <c r="H62" s="646" t="s">
        <v>4733</v>
      </c>
      <c r="I62" s="699" t="s">
        <v>4734</v>
      </c>
    </row>
    <row r="63" spans="2:9">
      <c r="F63" s="642">
        <v>2</v>
      </c>
      <c r="G63" s="648" t="s">
        <v>4563</v>
      </c>
      <c r="H63" s="697">
        <v>5500</v>
      </c>
      <c r="I63" s="697"/>
    </row>
    <row r="64" spans="2:9">
      <c r="F64" s="642">
        <v>3</v>
      </c>
      <c r="G64" s="648" t="s">
        <v>4565</v>
      </c>
      <c r="H64" s="697">
        <v>12500</v>
      </c>
      <c r="I64" s="697"/>
    </row>
    <row r="65" spans="6:16">
      <c r="F65" s="642">
        <v>4</v>
      </c>
      <c r="G65" s="648" t="s">
        <v>3883</v>
      </c>
      <c r="H65" s="697"/>
      <c r="I65" s="697">
        <v>135713.32</v>
      </c>
    </row>
    <row r="66" spans="6:16">
      <c r="F66" s="642">
        <v>5</v>
      </c>
      <c r="G66" s="648" t="s">
        <v>3884</v>
      </c>
      <c r="H66" s="697">
        <v>27142.66</v>
      </c>
      <c r="I66" s="697"/>
    </row>
    <row r="67" spans="6:16" ht="15">
      <c r="F67" s="1134" t="s">
        <v>4493</v>
      </c>
      <c r="G67" s="1135"/>
      <c r="H67" s="698">
        <f>SUM(H63:H66)</f>
        <v>45142.66</v>
      </c>
      <c r="I67" s="698">
        <f>SUM(I63:I66)</f>
        <v>135713.32</v>
      </c>
    </row>
    <row r="70" spans="6:16" ht="15">
      <c r="F70" s="1120" t="s">
        <v>4731</v>
      </c>
      <c r="G70" s="1120"/>
      <c r="H70" s="1120"/>
      <c r="I70" s="1120"/>
    </row>
    <row r="71" spans="6:16">
      <c r="F71" s="642">
        <v>1</v>
      </c>
      <c r="G71" s="646" t="s">
        <v>4732</v>
      </c>
      <c r="H71" s="646" t="s">
        <v>4733</v>
      </c>
      <c r="I71" s="647" t="s">
        <v>4734</v>
      </c>
    </row>
    <row r="72" spans="6:16">
      <c r="F72" s="642">
        <v>2</v>
      </c>
      <c r="G72" s="648" t="s">
        <v>4736</v>
      </c>
      <c r="H72" s="697">
        <v>25000</v>
      </c>
      <c r="I72" s="697"/>
    </row>
    <row r="73" spans="6:16">
      <c r="F73" s="642">
        <v>3</v>
      </c>
      <c r="G73" s="648" t="s">
        <v>4565</v>
      </c>
      <c r="H73" s="697">
        <v>30000</v>
      </c>
      <c r="I73" s="697"/>
      <c r="P73" s="701" t="s">
        <v>4768</v>
      </c>
    </row>
    <row r="74" spans="6:16" ht="15">
      <c r="F74" s="1134" t="s">
        <v>4493</v>
      </c>
      <c r="G74" s="1135"/>
      <c r="H74" s="650">
        <f>SUM(H72:H73)</f>
        <v>55000</v>
      </c>
      <c r="I74" s="650">
        <f>SUM(I72:I73)</f>
        <v>0</v>
      </c>
    </row>
    <row r="76" spans="6:16" ht="15">
      <c r="F76" s="1120" t="s">
        <v>4738</v>
      </c>
      <c r="G76" s="1120"/>
      <c r="H76" s="1120"/>
      <c r="I76" s="1120"/>
      <c r="K76" s="1130" t="s">
        <v>4767</v>
      </c>
      <c r="L76" s="1130"/>
      <c r="M76" s="1130"/>
      <c r="N76" s="1130"/>
      <c r="O76" s="1130"/>
      <c r="P76" s="1130"/>
    </row>
    <row r="77" spans="6:16">
      <c r="F77" s="642"/>
      <c r="G77" s="646" t="s">
        <v>4739</v>
      </c>
      <c r="H77" s="646" t="s">
        <v>4512</v>
      </c>
      <c r="I77" s="647" t="s">
        <v>3551</v>
      </c>
      <c r="K77" s="703" t="s">
        <v>4772</v>
      </c>
      <c r="L77" s="703" t="s">
        <v>3854</v>
      </c>
      <c r="M77" s="703" t="s">
        <v>4739</v>
      </c>
      <c r="N77" s="703" t="s">
        <v>4769</v>
      </c>
      <c r="O77" s="703" t="s">
        <v>4734</v>
      </c>
      <c r="P77" s="703" t="s">
        <v>4770</v>
      </c>
    </row>
    <row r="78" spans="6:16">
      <c r="F78" s="642">
        <v>1</v>
      </c>
      <c r="G78" s="648" t="s">
        <v>4753</v>
      </c>
      <c r="H78" s="648" t="s">
        <v>4</v>
      </c>
      <c r="I78" s="649">
        <v>30000</v>
      </c>
      <c r="K78" s="704">
        <v>1</v>
      </c>
      <c r="L78" s="705">
        <v>45514</v>
      </c>
      <c r="M78" s="706" t="s">
        <v>4771</v>
      </c>
      <c r="N78" s="709"/>
      <c r="O78" s="710">
        <v>700000</v>
      </c>
      <c r="P78" s="707"/>
    </row>
    <row r="79" spans="6:16">
      <c r="F79" s="642">
        <v>2</v>
      </c>
      <c r="G79" s="648" t="s">
        <v>4740</v>
      </c>
      <c r="H79" s="648" t="s">
        <v>4765</v>
      </c>
      <c r="I79" s="649">
        <v>32000</v>
      </c>
      <c r="K79" s="704">
        <v>2</v>
      </c>
      <c r="L79" s="705">
        <v>45514</v>
      </c>
      <c r="M79" s="706" t="s">
        <v>4773</v>
      </c>
      <c r="N79" s="710">
        <v>500000</v>
      </c>
      <c r="O79" s="710"/>
      <c r="P79" s="707"/>
    </row>
    <row r="80" spans="6:16">
      <c r="F80" s="642">
        <v>3</v>
      </c>
      <c r="G80" s="648" t="s">
        <v>4741</v>
      </c>
      <c r="H80" s="648" t="s">
        <v>4765</v>
      </c>
      <c r="I80" s="649">
        <v>30000</v>
      </c>
      <c r="K80" s="704">
        <v>3</v>
      </c>
      <c r="L80" s="705">
        <v>45513</v>
      </c>
      <c r="M80" s="706" t="s">
        <v>4742</v>
      </c>
      <c r="N80" s="710">
        <v>21500</v>
      </c>
      <c r="O80" s="710"/>
      <c r="P80" s="707"/>
    </row>
    <row r="81" spans="6:16">
      <c r="F81" s="642">
        <v>4</v>
      </c>
      <c r="G81" s="648" t="s">
        <v>4742</v>
      </c>
      <c r="H81" s="648" t="s">
        <v>4765</v>
      </c>
      <c r="I81" s="649">
        <v>21500</v>
      </c>
      <c r="K81" s="704">
        <v>4</v>
      </c>
      <c r="L81" s="705">
        <v>45517</v>
      </c>
      <c r="M81" s="706" t="s">
        <v>4519</v>
      </c>
      <c r="N81" s="710">
        <v>10000</v>
      </c>
      <c r="O81" s="710"/>
      <c r="P81" s="707"/>
    </row>
    <row r="82" spans="6:16">
      <c r="F82" s="642">
        <v>5</v>
      </c>
      <c r="G82" s="648" t="s">
        <v>4743</v>
      </c>
      <c r="H82" s="648" t="s">
        <v>4765</v>
      </c>
      <c r="I82" s="649">
        <v>1431000</v>
      </c>
      <c r="K82" s="704">
        <v>5</v>
      </c>
      <c r="L82" s="705">
        <v>45519</v>
      </c>
      <c r="M82" s="706" t="s">
        <v>4774</v>
      </c>
      <c r="N82" s="710">
        <v>15000</v>
      </c>
      <c r="O82" s="710"/>
      <c r="P82" s="707"/>
    </row>
    <row r="83" spans="6:16">
      <c r="F83" s="642">
        <v>6</v>
      </c>
      <c r="G83" s="648" t="s">
        <v>4744</v>
      </c>
      <c r="H83" s="648" t="s">
        <v>4765</v>
      </c>
      <c r="I83" s="649">
        <v>243253</v>
      </c>
      <c r="K83" s="704">
        <v>6</v>
      </c>
      <c r="L83" s="705">
        <v>45519</v>
      </c>
      <c r="M83" s="706" t="s">
        <v>4775</v>
      </c>
      <c r="N83" s="710">
        <v>9000</v>
      </c>
      <c r="O83" s="710"/>
      <c r="P83" s="707"/>
    </row>
    <row r="84" spans="6:16">
      <c r="F84" s="642">
        <v>7</v>
      </c>
      <c r="G84" s="648" t="s">
        <v>4745</v>
      </c>
      <c r="H84" s="648" t="s">
        <v>4765</v>
      </c>
      <c r="I84" s="649">
        <v>41000</v>
      </c>
      <c r="K84" s="704">
        <v>7</v>
      </c>
      <c r="L84" s="705">
        <v>45520</v>
      </c>
      <c r="M84" s="706" t="s">
        <v>4776</v>
      </c>
      <c r="N84" s="710"/>
      <c r="O84" s="710">
        <v>1000000</v>
      </c>
      <c r="P84" s="707"/>
    </row>
    <row r="85" spans="6:16">
      <c r="F85" s="642">
        <v>8</v>
      </c>
      <c r="G85" s="648" t="s">
        <v>4746</v>
      </c>
      <c r="H85" s="648" t="s">
        <v>4765</v>
      </c>
      <c r="I85" s="700">
        <v>700000</v>
      </c>
      <c r="K85" s="704">
        <v>8</v>
      </c>
      <c r="L85" s="705">
        <v>45520</v>
      </c>
      <c r="M85" s="706" t="s">
        <v>4519</v>
      </c>
      <c r="N85" s="710">
        <v>10000</v>
      </c>
      <c r="O85" s="710"/>
      <c r="P85" s="707"/>
    </row>
    <row r="86" spans="6:16">
      <c r="F86" s="642">
        <v>9</v>
      </c>
      <c r="G86" s="648" t="s">
        <v>4624</v>
      </c>
      <c r="H86" s="648" t="s">
        <v>4765</v>
      </c>
      <c r="I86" s="649">
        <v>15000</v>
      </c>
      <c r="K86" s="704">
        <v>9</v>
      </c>
      <c r="L86" s="705">
        <v>45520</v>
      </c>
      <c r="M86" s="706" t="s">
        <v>4773</v>
      </c>
      <c r="N86" s="710">
        <v>417000</v>
      </c>
      <c r="O86" s="710"/>
      <c r="P86" s="707"/>
    </row>
    <row r="87" spans="6:16">
      <c r="F87" s="642">
        <v>10</v>
      </c>
      <c r="G87" s="648" t="s">
        <v>4747</v>
      </c>
      <c r="H87" s="648" t="s">
        <v>4765</v>
      </c>
      <c r="I87" s="649">
        <v>502750</v>
      </c>
      <c r="K87" s="704">
        <v>10</v>
      </c>
      <c r="L87" s="705">
        <v>45528</v>
      </c>
      <c r="M87" s="706" t="s">
        <v>4773</v>
      </c>
      <c r="N87" s="710">
        <v>500000</v>
      </c>
      <c r="O87" s="710"/>
      <c r="P87" s="707"/>
    </row>
    <row r="88" spans="6:16">
      <c r="F88" s="642">
        <v>11</v>
      </c>
      <c r="G88" s="648" t="s">
        <v>4748</v>
      </c>
      <c r="H88" s="648" t="s">
        <v>4765</v>
      </c>
      <c r="I88" s="649">
        <v>200000</v>
      </c>
      <c r="K88" s="704">
        <v>11</v>
      </c>
      <c r="L88" s="705">
        <v>45528</v>
      </c>
      <c r="M88" s="706" t="s">
        <v>4775</v>
      </c>
      <c r="N88" s="710">
        <v>9000</v>
      </c>
      <c r="O88" s="710"/>
      <c r="P88" s="707"/>
    </row>
    <row r="89" spans="6:16">
      <c r="F89" s="642">
        <v>12</v>
      </c>
      <c r="G89" s="648" t="s">
        <v>4749</v>
      </c>
      <c r="H89" s="648" t="s">
        <v>4765</v>
      </c>
      <c r="I89" s="649">
        <v>5000</v>
      </c>
      <c r="K89" s="704">
        <v>12</v>
      </c>
      <c r="L89" s="705">
        <v>45534</v>
      </c>
      <c r="M89" s="706" t="s">
        <v>4777</v>
      </c>
      <c r="N89" s="710">
        <v>29000</v>
      </c>
      <c r="O89" s="710"/>
      <c r="P89" s="707"/>
    </row>
    <row r="90" spans="6:16">
      <c r="F90" s="642">
        <v>13</v>
      </c>
      <c r="G90" s="648" t="s">
        <v>4750</v>
      </c>
      <c r="H90" s="648" t="s">
        <v>4765</v>
      </c>
      <c r="I90" s="649">
        <v>85000</v>
      </c>
      <c r="K90" s="704">
        <v>13</v>
      </c>
      <c r="L90" s="705">
        <v>45535</v>
      </c>
      <c r="M90" s="706" t="s">
        <v>4776</v>
      </c>
      <c r="N90" s="710"/>
      <c r="O90" s="710">
        <v>2000000</v>
      </c>
      <c r="P90" s="707"/>
    </row>
    <row r="91" spans="6:16">
      <c r="F91" s="642">
        <v>14</v>
      </c>
      <c r="G91" s="648" t="s">
        <v>4751</v>
      </c>
      <c r="H91" s="648" t="s">
        <v>4765</v>
      </c>
      <c r="I91" s="649">
        <v>5000</v>
      </c>
      <c r="K91" s="704">
        <v>14</v>
      </c>
      <c r="L91" s="705">
        <v>45535</v>
      </c>
      <c r="M91" s="706" t="s">
        <v>4773</v>
      </c>
      <c r="N91" s="710">
        <v>500000</v>
      </c>
      <c r="O91" s="710"/>
      <c r="P91" s="707"/>
    </row>
    <row r="92" spans="6:16">
      <c r="F92" s="642">
        <v>15</v>
      </c>
      <c r="G92" s="648" t="s">
        <v>4752</v>
      </c>
      <c r="H92" s="648" t="s">
        <v>4765</v>
      </c>
      <c r="I92" s="649">
        <v>45000</v>
      </c>
      <c r="K92" s="704">
        <v>15</v>
      </c>
      <c r="L92" s="704"/>
      <c r="M92" s="706"/>
      <c r="N92" s="710"/>
      <c r="O92" s="710"/>
      <c r="P92" s="707"/>
    </row>
    <row r="93" spans="6:16">
      <c r="F93" s="642">
        <v>16</v>
      </c>
      <c r="G93" s="648" t="s">
        <v>4754</v>
      </c>
      <c r="H93" s="648" t="s">
        <v>4454</v>
      </c>
      <c r="I93" s="649">
        <v>90000</v>
      </c>
      <c r="K93" s="704">
        <v>16</v>
      </c>
      <c r="L93" s="704"/>
      <c r="M93" s="706"/>
      <c r="N93" s="710"/>
      <c r="O93" s="710"/>
      <c r="P93" s="707"/>
    </row>
    <row r="94" spans="6:16">
      <c r="F94" s="642">
        <v>17</v>
      </c>
      <c r="G94" s="648" t="s">
        <v>4755</v>
      </c>
      <c r="H94" s="648" t="s">
        <v>4765</v>
      </c>
      <c r="I94" s="649">
        <v>5000</v>
      </c>
      <c r="K94" s="704">
        <v>17</v>
      </c>
      <c r="L94" s="704"/>
      <c r="M94" s="706"/>
      <c r="N94" s="710"/>
      <c r="O94" s="710"/>
      <c r="P94" s="707"/>
    </row>
    <row r="95" spans="6:16">
      <c r="F95" s="642">
        <v>18</v>
      </c>
      <c r="G95" s="648" t="s">
        <v>4756</v>
      </c>
      <c r="H95" s="648" t="s">
        <v>4765</v>
      </c>
      <c r="I95" s="649">
        <v>200000</v>
      </c>
      <c r="K95" s="704">
        <v>18</v>
      </c>
      <c r="L95" s="704"/>
      <c r="M95" s="706"/>
      <c r="N95" s="710"/>
      <c r="O95" s="710"/>
      <c r="P95" s="707"/>
    </row>
    <row r="96" spans="6:16">
      <c r="F96" s="642">
        <v>19</v>
      </c>
      <c r="G96" s="648" t="s">
        <v>4757</v>
      </c>
      <c r="H96" s="648" t="s">
        <v>4765</v>
      </c>
      <c r="I96" s="649">
        <v>19000</v>
      </c>
      <c r="K96" s="704">
        <v>19</v>
      </c>
      <c r="L96" s="704"/>
      <c r="M96" s="706"/>
      <c r="N96" s="710"/>
      <c r="O96" s="710"/>
      <c r="P96" s="707"/>
    </row>
    <row r="97" spans="6:16">
      <c r="F97" s="642">
        <v>20</v>
      </c>
      <c r="G97" s="648" t="s">
        <v>4758</v>
      </c>
      <c r="H97" s="648" t="s">
        <v>4765</v>
      </c>
      <c r="I97" s="649">
        <v>55500</v>
      </c>
      <c r="K97" s="704">
        <v>20</v>
      </c>
      <c r="L97" s="704"/>
      <c r="M97" s="706"/>
      <c r="N97" s="710"/>
      <c r="O97" s="710"/>
      <c r="P97" s="707"/>
    </row>
    <row r="98" spans="6:16">
      <c r="F98" s="642">
        <v>21</v>
      </c>
      <c r="G98" s="648" t="s">
        <v>4759</v>
      </c>
      <c r="H98" s="648" t="s">
        <v>4765</v>
      </c>
      <c r="I98" s="649">
        <v>19000</v>
      </c>
      <c r="K98" s="704">
        <v>21</v>
      </c>
      <c r="L98" s="704"/>
      <c r="M98" s="706"/>
      <c r="N98" s="710"/>
      <c r="O98" s="710"/>
      <c r="P98" s="707"/>
    </row>
    <row r="99" spans="6:16">
      <c r="F99" s="642">
        <v>22</v>
      </c>
      <c r="G99" s="648" t="s">
        <v>4760</v>
      </c>
      <c r="H99" s="648" t="s">
        <v>4765</v>
      </c>
      <c r="I99" s="649">
        <v>43690</v>
      </c>
      <c r="K99" s="704">
        <v>22</v>
      </c>
      <c r="L99" s="704"/>
      <c r="M99" s="706"/>
      <c r="N99" s="710"/>
      <c r="O99" s="710"/>
      <c r="P99" s="707"/>
    </row>
    <row r="100" spans="6:16">
      <c r="F100" s="642">
        <v>23</v>
      </c>
      <c r="G100" s="648" t="s">
        <v>4761</v>
      </c>
      <c r="H100" s="648" t="s">
        <v>4433</v>
      </c>
      <c r="I100" s="649">
        <v>154000</v>
      </c>
      <c r="K100" s="704">
        <v>23</v>
      </c>
      <c r="L100" s="704"/>
      <c r="M100" s="706"/>
      <c r="N100" s="710"/>
      <c r="O100" s="710"/>
      <c r="P100" s="707"/>
    </row>
    <row r="101" spans="6:16">
      <c r="F101" s="642">
        <v>24</v>
      </c>
      <c r="G101" s="648" t="s">
        <v>4762</v>
      </c>
      <c r="H101" s="648" t="s">
        <v>4459</v>
      </c>
      <c r="I101" s="649">
        <v>100000</v>
      </c>
      <c r="K101" s="704">
        <v>24</v>
      </c>
      <c r="L101" s="704"/>
      <c r="M101" s="706"/>
      <c r="N101" s="710"/>
      <c r="O101" s="710"/>
      <c r="P101" s="707"/>
    </row>
    <row r="102" spans="6:16">
      <c r="F102" s="642">
        <v>25</v>
      </c>
      <c r="G102" s="648" t="s">
        <v>4763</v>
      </c>
      <c r="H102" s="648" t="s">
        <v>4433</v>
      </c>
      <c r="I102" s="649">
        <v>400000</v>
      </c>
      <c r="K102" s="704">
        <v>25</v>
      </c>
      <c r="L102" s="704"/>
      <c r="M102" s="706"/>
      <c r="N102" s="710"/>
      <c r="O102" s="710"/>
      <c r="P102" s="707"/>
    </row>
    <row r="103" spans="6:16">
      <c r="F103" s="642">
        <v>26</v>
      </c>
      <c r="G103" s="648" t="s">
        <v>4764</v>
      </c>
      <c r="H103" s="648" t="s">
        <v>4765</v>
      </c>
      <c r="I103" s="649">
        <v>49000</v>
      </c>
      <c r="K103" s="704">
        <v>26</v>
      </c>
      <c r="L103" s="704"/>
      <c r="M103" s="706"/>
      <c r="N103" s="710"/>
      <c r="O103" s="710"/>
      <c r="P103" s="707"/>
    </row>
    <row r="104" spans="6:16" ht="15">
      <c r="F104" s="1121" t="s">
        <v>4493</v>
      </c>
      <c r="G104" s="1121"/>
      <c r="H104" s="1121"/>
      <c r="I104" s="644">
        <f>SUM(I78:I103)</f>
        <v>4521693</v>
      </c>
      <c r="K104" s="1131" t="s">
        <v>4493</v>
      </c>
      <c r="L104" s="1132"/>
      <c r="M104" s="1133"/>
      <c r="N104" s="711">
        <f>SUM(N79:N103)</f>
        <v>2020500</v>
      </c>
      <c r="O104" s="711">
        <f>SUM(O78:O103)</f>
        <v>3700000</v>
      </c>
      <c r="P104" s="708">
        <f>SUM(O104-N104)</f>
        <v>1679500</v>
      </c>
    </row>
  </sheetData>
  <mergeCells count="19">
    <mergeCell ref="F46:H46"/>
    <mergeCell ref="F48:I48"/>
    <mergeCell ref="F59:H59"/>
    <mergeCell ref="F29:I29"/>
    <mergeCell ref="F35:H35"/>
    <mergeCell ref="F37:I37"/>
    <mergeCell ref="B2:C2"/>
    <mergeCell ref="B3:C3"/>
    <mergeCell ref="B4:C4"/>
    <mergeCell ref="F2:I2"/>
    <mergeCell ref="F26:H26"/>
    <mergeCell ref="F76:I76"/>
    <mergeCell ref="F104:H104"/>
    <mergeCell ref="K76:P76"/>
    <mergeCell ref="K104:M104"/>
    <mergeCell ref="F61:I61"/>
    <mergeCell ref="F70:I70"/>
    <mergeCell ref="F67:G67"/>
    <mergeCell ref="F74:G74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0CBC-7AEC-4DEB-9BC5-DC77F1C67255}">
  <sheetPr>
    <pageSetUpPr fitToPage="1"/>
  </sheetPr>
  <dimension ref="A1:Q74"/>
  <sheetViews>
    <sheetView topLeftCell="A10" zoomScaleNormal="100" workbookViewId="0">
      <selection activeCell="C33" sqref="C33"/>
    </sheetView>
  </sheetViews>
  <sheetFormatPr defaultColWidth="9" defaultRowHeight="14.5"/>
  <cols>
    <col min="1" max="1" width="3.25" style="628" customWidth="1"/>
    <col min="2" max="2" width="54.33203125" style="629" customWidth="1"/>
    <col min="3" max="3" width="27.33203125" style="630" customWidth="1"/>
    <col min="4" max="4" width="1.58203125" style="628" customWidth="1"/>
    <col min="5" max="5" width="9" style="628"/>
    <col min="6" max="6" width="4.25" style="628" customWidth="1"/>
    <col min="7" max="7" width="14.25" style="628" customWidth="1"/>
    <col min="8" max="8" width="11.08203125" style="628" customWidth="1"/>
    <col min="9" max="9" width="13.5" style="628" customWidth="1"/>
    <col min="10" max="10" width="14.25" style="628" customWidth="1"/>
    <col min="11" max="11" width="4.75" style="628" customWidth="1"/>
    <col min="12" max="12" width="5.5" style="628" customWidth="1"/>
    <col min="13" max="13" width="27" style="628" customWidth="1"/>
    <col min="14" max="14" width="24.58203125" style="628" customWidth="1"/>
    <col min="15" max="15" width="16.33203125" customWidth="1"/>
    <col min="16" max="17" width="14.08203125" customWidth="1"/>
  </cols>
  <sheetData>
    <row r="1" spans="1:17">
      <c r="A1" s="628" t="s">
        <v>4073</v>
      </c>
      <c r="I1" s="628" t="s">
        <v>543</v>
      </c>
    </row>
    <row r="2" spans="1:17" ht="18.5">
      <c r="B2" s="1136" t="s">
        <v>4028</v>
      </c>
      <c r="C2" s="1137"/>
      <c r="F2" s="1120" t="s">
        <v>4492</v>
      </c>
      <c r="G2" s="1120"/>
      <c r="H2" s="1120"/>
      <c r="I2" s="1120"/>
      <c r="L2" s="1130" t="s">
        <v>4767</v>
      </c>
      <c r="M2" s="1130"/>
      <c r="N2" s="1130"/>
      <c r="O2" s="1130"/>
      <c r="P2" s="1130"/>
      <c r="Q2" s="1130"/>
    </row>
    <row r="3" spans="1:17" ht="16">
      <c r="B3" s="1138" t="s">
        <v>4029</v>
      </c>
      <c r="C3" s="1139"/>
      <c r="D3" s="631"/>
      <c r="F3" s="641" t="s">
        <v>3385</v>
      </c>
      <c r="G3" s="641" t="s">
        <v>8</v>
      </c>
      <c r="H3" s="641" t="s">
        <v>3543</v>
      </c>
      <c r="I3" s="641" t="s">
        <v>3552</v>
      </c>
      <c r="L3" s="703" t="s">
        <v>4772</v>
      </c>
      <c r="M3" s="703" t="s">
        <v>3854</v>
      </c>
      <c r="N3" s="703" t="s">
        <v>4739</v>
      </c>
      <c r="O3" s="703" t="s">
        <v>4769</v>
      </c>
      <c r="P3" s="703" t="s">
        <v>4734</v>
      </c>
      <c r="Q3" s="703" t="s">
        <v>4770</v>
      </c>
    </row>
    <row r="4" spans="1:17" ht="16">
      <c r="B4" s="1138" t="s">
        <v>4876</v>
      </c>
      <c r="C4" s="1139"/>
      <c r="D4" s="631"/>
      <c r="F4" s="642">
        <v>1</v>
      </c>
      <c r="G4" s="642" t="s">
        <v>4683</v>
      </c>
      <c r="H4" s="642" t="s">
        <v>4866</v>
      </c>
      <c r="I4" s="643">
        <v>1227000</v>
      </c>
      <c r="L4" s="704">
        <v>1</v>
      </c>
      <c r="M4" s="705">
        <v>45536</v>
      </c>
      <c r="N4" s="706"/>
      <c r="O4" s="709"/>
      <c r="P4" s="710">
        <f>'LR AUG 2024'!P104</f>
        <v>1679500</v>
      </c>
      <c r="Q4" s="707"/>
    </row>
    <row r="5" spans="1:17">
      <c r="B5" s="632"/>
      <c r="C5" s="633"/>
      <c r="F5" s="642">
        <v>2</v>
      </c>
      <c r="G5" s="642" t="s">
        <v>4684</v>
      </c>
      <c r="H5" s="642" t="s">
        <v>4580</v>
      </c>
      <c r="I5" s="643">
        <v>1791000</v>
      </c>
      <c r="L5" s="704">
        <v>2</v>
      </c>
      <c r="M5" s="705">
        <v>45538</v>
      </c>
      <c r="N5" s="706" t="s">
        <v>4849</v>
      </c>
      <c r="O5" s="710">
        <v>9000</v>
      </c>
      <c r="P5" s="710"/>
      <c r="Q5" s="707"/>
    </row>
    <row r="6" spans="1:17">
      <c r="B6" s="634" t="s">
        <v>3455</v>
      </c>
      <c r="C6" s="634" t="s">
        <v>3857</v>
      </c>
      <c r="F6" s="642">
        <v>3</v>
      </c>
      <c r="G6" s="642" t="s">
        <v>4685</v>
      </c>
      <c r="H6" s="642" t="s">
        <v>4686</v>
      </c>
      <c r="I6" s="643">
        <v>1500000</v>
      </c>
      <c r="L6" s="704">
        <v>3</v>
      </c>
      <c r="M6" s="705">
        <v>45540</v>
      </c>
      <c r="N6" s="706" t="s">
        <v>4849</v>
      </c>
      <c r="O6" s="710">
        <v>9000</v>
      </c>
      <c r="P6" s="710"/>
      <c r="Q6" s="707"/>
    </row>
    <row r="7" spans="1:17">
      <c r="B7" s="635" t="s">
        <v>4031</v>
      </c>
      <c r="C7" s="636"/>
      <c r="F7" s="642">
        <v>4</v>
      </c>
      <c r="G7" s="642" t="s">
        <v>4687</v>
      </c>
      <c r="H7" s="642" t="s">
        <v>4867</v>
      </c>
      <c r="I7" s="643">
        <v>4102000</v>
      </c>
      <c r="L7" s="704">
        <v>4</v>
      </c>
      <c r="M7" s="705">
        <v>45540</v>
      </c>
      <c r="N7" s="706" t="s">
        <v>4850</v>
      </c>
      <c r="O7" s="710">
        <v>20000</v>
      </c>
      <c r="P7" s="710"/>
      <c r="Q7" s="707"/>
    </row>
    <row r="8" spans="1:17">
      <c r="B8" s="632" t="s">
        <v>4032</v>
      </c>
      <c r="C8" s="636"/>
      <c r="F8" s="642">
        <v>5</v>
      </c>
      <c r="G8" s="642" t="s">
        <v>4688</v>
      </c>
      <c r="H8" s="642" t="s">
        <v>4868</v>
      </c>
      <c r="I8" s="643">
        <v>3225000</v>
      </c>
      <c r="L8" s="704">
        <v>5</v>
      </c>
      <c r="M8" s="705">
        <v>45541</v>
      </c>
      <c r="N8" s="706" t="s">
        <v>4851</v>
      </c>
      <c r="O8" s="710">
        <v>417000</v>
      </c>
      <c r="P8" s="710"/>
      <c r="Q8" s="707"/>
    </row>
    <row r="9" spans="1:17">
      <c r="B9" s="632" t="s">
        <v>4033</v>
      </c>
      <c r="C9" s="636">
        <f>'LR AUG 2024'!C48</f>
        <v>257760501.93000001</v>
      </c>
      <c r="F9" s="642">
        <v>6</v>
      </c>
      <c r="G9" s="642" t="s">
        <v>4689</v>
      </c>
      <c r="H9" s="642" t="s">
        <v>4868</v>
      </c>
      <c r="I9" s="643">
        <v>5850000</v>
      </c>
      <c r="L9" s="704">
        <v>6</v>
      </c>
      <c r="M9" s="705">
        <v>45545</v>
      </c>
      <c r="N9" s="706" t="s">
        <v>4852</v>
      </c>
      <c r="O9" s="710">
        <v>30000</v>
      </c>
      <c r="P9" s="710"/>
      <c r="Q9" s="707"/>
    </row>
    <row r="10" spans="1:17">
      <c r="B10" s="632" t="s">
        <v>4489</v>
      </c>
      <c r="C10" s="636">
        <f>'LR AUG 2024'!C49</f>
        <v>18819950</v>
      </c>
      <c r="F10" s="642">
        <v>7</v>
      </c>
      <c r="G10" s="642" t="s">
        <v>4690</v>
      </c>
      <c r="H10" s="642" t="s">
        <v>4869</v>
      </c>
      <c r="I10" s="643">
        <v>11693972</v>
      </c>
      <c r="L10" s="704">
        <v>7</v>
      </c>
      <c r="M10" s="705">
        <v>45546</v>
      </c>
      <c r="N10" s="706" t="s">
        <v>4741</v>
      </c>
      <c r="O10" s="710">
        <v>20000</v>
      </c>
      <c r="P10" s="710"/>
      <c r="Q10" s="707"/>
    </row>
    <row r="11" spans="1:17">
      <c r="B11" s="635" t="s">
        <v>4034</v>
      </c>
      <c r="C11" s="637">
        <f>SUM(C8:C10)</f>
        <v>276580451.93000001</v>
      </c>
      <c r="F11" s="642">
        <v>8</v>
      </c>
      <c r="G11" s="642" t="s">
        <v>4691</v>
      </c>
      <c r="H11" s="642" t="s">
        <v>4868</v>
      </c>
      <c r="I11" s="643">
        <v>1000000</v>
      </c>
      <c r="L11" s="704">
        <v>8</v>
      </c>
      <c r="M11" s="705">
        <v>45548</v>
      </c>
      <c r="N11" s="706" t="s">
        <v>4851</v>
      </c>
      <c r="O11" s="710">
        <v>417000</v>
      </c>
      <c r="P11" s="710"/>
      <c r="Q11" s="707"/>
    </row>
    <row r="12" spans="1:17">
      <c r="B12" s="632"/>
      <c r="C12" s="636"/>
      <c r="F12" s="642">
        <v>9</v>
      </c>
      <c r="G12" s="642" t="s">
        <v>4692</v>
      </c>
      <c r="H12" s="642" t="s">
        <v>4868</v>
      </c>
      <c r="I12" s="643">
        <v>1222500</v>
      </c>
      <c r="L12" s="704">
        <v>9</v>
      </c>
      <c r="M12" s="705">
        <v>45552</v>
      </c>
      <c r="N12" s="706" t="s">
        <v>4849</v>
      </c>
      <c r="O12" s="710">
        <v>9000</v>
      </c>
      <c r="P12" s="710"/>
      <c r="Q12" s="707"/>
    </row>
    <row r="13" spans="1:17">
      <c r="B13" s="635" t="s">
        <v>4035</v>
      </c>
      <c r="C13" s="636"/>
      <c r="F13" s="642">
        <v>10</v>
      </c>
      <c r="G13" s="642" t="s">
        <v>4693</v>
      </c>
      <c r="H13" s="642" t="s">
        <v>4868</v>
      </c>
      <c r="I13" s="643">
        <v>200000</v>
      </c>
      <c r="L13" s="704">
        <v>10</v>
      </c>
      <c r="M13" s="705">
        <v>45552</v>
      </c>
      <c r="N13" s="706" t="s">
        <v>4853</v>
      </c>
      <c r="O13" s="710">
        <v>10000</v>
      </c>
      <c r="P13" s="710"/>
      <c r="Q13" s="707"/>
    </row>
    <row r="14" spans="1:17">
      <c r="B14" s="632" t="s">
        <v>4877</v>
      </c>
      <c r="C14" s="636">
        <f>I50</f>
        <v>118776094</v>
      </c>
      <c r="F14" s="642">
        <v>11</v>
      </c>
      <c r="G14" s="642" t="s">
        <v>4694</v>
      </c>
      <c r="H14" s="642" t="s">
        <v>4868</v>
      </c>
      <c r="I14" s="643">
        <v>2212500</v>
      </c>
      <c r="L14" s="704">
        <v>11</v>
      </c>
      <c r="M14" s="705">
        <v>45552</v>
      </c>
      <c r="N14" s="706" t="s">
        <v>4854</v>
      </c>
      <c r="O14" s="710">
        <v>20000</v>
      </c>
      <c r="P14" s="710"/>
      <c r="Q14" s="707"/>
    </row>
    <row r="15" spans="1:17">
      <c r="B15" s="632" t="s">
        <v>4498</v>
      </c>
      <c r="C15" s="636">
        <v>0</v>
      </c>
      <c r="F15" s="642">
        <v>12</v>
      </c>
      <c r="G15" s="642" t="s">
        <v>4695</v>
      </c>
      <c r="H15" s="642" t="s">
        <v>4868</v>
      </c>
      <c r="I15" s="643">
        <v>1275000</v>
      </c>
      <c r="L15" s="704">
        <v>12</v>
      </c>
      <c r="M15" s="705">
        <v>45555</v>
      </c>
      <c r="N15" s="706" t="s">
        <v>4855</v>
      </c>
      <c r="O15" s="710">
        <v>10000</v>
      </c>
      <c r="P15" s="710"/>
      <c r="Q15" s="707"/>
    </row>
    <row r="16" spans="1:17">
      <c r="B16" s="632" t="s">
        <v>4499</v>
      </c>
      <c r="C16" s="636">
        <v>0</v>
      </c>
      <c r="F16" s="642">
        <v>13</v>
      </c>
      <c r="G16" s="642" t="s">
        <v>4696</v>
      </c>
      <c r="H16" s="642" t="s">
        <v>4868</v>
      </c>
      <c r="I16" s="643">
        <v>562500</v>
      </c>
      <c r="L16" s="704">
        <v>13</v>
      </c>
      <c r="M16" s="705">
        <v>45555</v>
      </c>
      <c r="N16" s="706" t="s">
        <v>4849</v>
      </c>
      <c r="O16" s="710">
        <v>9000</v>
      </c>
      <c r="P16" s="710"/>
      <c r="Q16" s="707"/>
    </row>
    <row r="17" spans="2:17">
      <c r="B17" s="635" t="s">
        <v>4038</v>
      </c>
      <c r="C17" s="640">
        <f>SUM(C14:C15)</f>
        <v>118776094</v>
      </c>
      <c r="F17" s="642">
        <v>14</v>
      </c>
      <c r="G17" s="642" t="s">
        <v>4697</v>
      </c>
      <c r="H17" s="642" t="s">
        <v>4831</v>
      </c>
      <c r="I17" s="643">
        <v>587500</v>
      </c>
      <c r="L17" s="704">
        <v>14</v>
      </c>
      <c r="M17" s="705">
        <v>45555</v>
      </c>
      <c r="N17" s="706" t="s">
        <v>4851</v>
      </c>
      <c r="O17" s="710">
        <v>417000</v>
      </c>
      <c r="P17" s="710"/>
      <c r="Q17" s="707"/>
    </row>
    <row r="18" spans="2:17">
      <c r="B18" s="632"/>
      <c r="C18" s="636"/>
      <c r="F18" s="642">
        <v>15</v>
      </c>
      <c r="G18" s="642" t="s">
        <v>4698</v>
      </c>
      <c r="H18" s="642" t="s">
        <v>4868</v>
      </c>
      <c r="I18" s="643">
        <v>200000</v>
      </c>
      <c r="L18" s="704">
        <v>15</v>
      </c>
      <c r="M18" s="705">
        <v>45558</v>
      </c>
      <c r="N18" s="706" t="s">
        <v>4856</v>
      </c>
      <c r="O18" s="710">
        <v>10000</v>
      </c>
      <c r="P18" s="710"/>
      <c r="Q18" s="707"/>
    </row>
    <row r="19" spans="2:17">
      <c r="B19" s="635" t="s">
        <v>4039</v>
      </c>
      <c r="C19" s="636"/>
      <c r="F19" s="642">
        <v>16</v>
      </c>
      <c r="G19" s="642" t="s">
        <v>4699</v>
      </c>
      <c r="H19" s="642" t="s">
        <v>4868</v>
      </c>
      <c r="I19" s="643">
        <v>962500</v>
      </c>
      <c r="L19" s="704">
        <v>16</v>
      </c>
      <c r="M19" s="705">
        <v>45561</v>
      </c>
      <c r="N19" s="706" t="s">
        <v>4857</v>
      </c>
      <c r="O19" s="710">
        <v>36000</v>
      </c>
      <c r="P19" s="710"/>
      <c r="Q19" s="707"/>
    </row>
    <row r="20" spans="2:17">
      <c r="B20" s="632" t="s">
        <v>4333</v>
      </c>
      <c r="C20" s="636"/>
      <c r="F20" s="642">
        <v>17</v>
      </c>
      <c r="G20" s="642" t="s">
        <v>4700</v>
      </c>
      <c r="H20" s="642" t="s">
        <v>4868</v>
      </c>
      <c r="I20" s="643">
        <v>2425000</v>
      </c>
      <c r="L20" s="704">
        <v>17</v>
      </c>
      <c r="M20" s="705">
        <v>45561</v>
      </c>
      <c r="N20" s="706" t="s">
        <v>4858</v>
      </c>
      <c r="O20" s="710">
        <v>18000</v>
      </c>
      <c r="P20" s="710"/>
      <c r="Q20" s="707"/>
    </row>
    <row r="21" spans="2:17">
      <c r="B21" s="632"/>
      <c r="C21" s="636"/>
      <c r="F21" s="642">
        <v>18</v>
      </c>
      <c r="G21" s="642" t="s">
        <v>4701</v>
      </c>
      <c r="H21" s="642" t="s">
        <v>4868</v>
      </c>
      <c r="I21" s="643">
        <v>1162500</v>
      </c>
      <c r="L21" s="704">
        <v>18</v>
      </c>
      <c r="M21" s="705">
        <v>45562</v>
      </c>
      <c r="N21" s="706" t="s">
        <v>4859</v>
      </c>
      <c r="O21" s="710">
        <v>90000</v>
      </c>
      <c r="P21" s="710"/>
      <c r="Q21" s="707"/>
    </row>
    <row r="22" spans="2:17">
      <c r="B22" s="635" t="s">
        <v>4862</v>
      </c>
      <c r="C22" s="637"/>
      <c r="F22" s="642">
        <v>19</v>
      </c>
      <c r="G22" s="642" t="s">
        <v>4702</v>
      </c>
      <c r="H22" s="642" t="s">
        <v>4868</v>
      </c>
      <c r="I22" s="643">
        <v>1050000</v>
      </c>
      <c r="L22" s="704">
        <v>19</v>
      </c>
      <c r="M22" s="705">
        <v>45562</v>
      </c>
      <c r="N22" s="706" t="s">
        <v>4860</v>
      </c>
      <c r="O22" s="710"/>
      <c r="P22" s="710">
        <v>5000000</v>
      </c>
      <c r="Q22" s="707"/>
    </row>
    <row r="23" spans="2:17">
      <c r="B23" s="635" t="s">
        <v>4863</v>
      </c>
      <c r="C23" s="637"/>
      <c r="F23" s="642">
        <v>20</v>
      </c>
      <c r="G23" s="642" t="s">
        <v>4703</v>
      </c>
      <c r="H23" s="642" t="s">
        <v>4868</v>
      </c>
      <c r="I23" s="643">
        <v>400000</v>
      </c>
      <c r="L23" s="704">
        <v>20</v>
      </c>
      <c r="M23" s="705">
        <v>45562</v>
      </c>
      <c r="N23" s="706" t="s">
        <v>4851</v>
      </c>
      <c r="O23" s="710">
        <v>417000</v>
      </c>
      <c r="P23" s="710"/>
      <c r="Q23" s="707"/>
    </row>
    <row r="24" spans="2:17">
      <c r="B24" s="635" t="s">
        <v>4864</v>
      </c>
      <c r="C24" s="637"/>
      <c r="F24" s="642">
        <v>21</v>
      </c>
      <c r="G24" s="642" t="s">
        <v>4704</v>
      </c>
      <c r="H24" s="642" t="s">
        <v>4868</v>
      </c>
      <c r="I24" s="643">
        <v>9022600</v>
      </c>
      <c r="L24" s="1131" t="s">
        <v>4493</v>
      </c>
      <c r="M24" s="1132"/>
      <c r="N24" s="1133"/>
      <c r="O24" s="711">
        <f>SUM(O5:O23)</f>
        <v>1968000</v>
      </c>
      <c r="P24" s="711">
        <f>SUM(P4:P23)</f>
        <v>6679500</v>
      </c>
      <c r="Q24" s="708">
        <f>SUM(P24-O24)</f>
        <v>4711500</v>
      </c>
    </row>
    <row r="25" spans="2:17">
      <c r="B25" s="632"/>
      <c r="C25" s="636"/>
      <c r="F25" s="642">
        <v>22</v>
      </c>
      <c r="G25" s="642" t="s">
        <v>4705</v>
      </c>
      <c r="H25" s="642" t="s">
        <v>4868</v>
      </c>
      <c r="I25" s="643">
        <v>1850000</v>
      </c>
    </row>
    <row r="26" spans="2:17">
      <c r="B26" s="635" t="s">
        <v>4042</v>
      </c>
      <c r="C26" s="636"/>
      <c r="F26" s="642">
        <v>23</v>
      </c>
      <c r="G26" s="642" t="s">
        <v>4706</v>
      </c>
      <c r="H26" s="642" t="s">
        <v>4868</v>
      </c>
      <c r="I26" s="643">
        <v>400000</v>
      </c>
    </row>
    <row r="27" spans="2:17">
      <c r="B27" s="632" t="s">
        <v>4043</v>
      </c>
      <c r="C27" s="636">
        <f>I59</f>
        <v>35168000</v>
      </c>
      <c r="F27" s="642">
        <v>24</v>
      </c>
      <c r="G27" s="642" t="s">
        <v>4707</v>
      </c>
      <c r="H27" s="642" t="s">
        <v>4868</v>
      </c>
      <c r="I27" s="643">
        <v>400000</v>
      </c>
    </row>
    <row r="28" spans="2:17" ht="15">
      <c r="B28" s="632" t="s">
        <v>4899</v>
      </c>
      <c r="C28" s="636"/>
      <c r="F28" s="642">
        <v>25</v>
      </c>
      <c r="G28" s="642" t="s">
        <v>4708</v>
      </c>
      <c r="H28" s="642" t="s">
        <v>4868</v>
      </c>
      <c r="I28" s="643">
        <v>400000</v>
      </c>
      <c r="L28" s="1120" t="s">
        <v>4514</v>
      </c>
      <c r="M28" s="1120"/>
      <c r="N28" s="1120"/>
      <c r="O28" s="1120"/>
    </row>
    <row r="29" spans="2:17">
      <c r="B29" s="632" t="s">
        <v>4861</v>
      </c>
      <c r="C29" s="636">
        <f>O7+O9+O13+O14+O15+O18+O20</f>
        <v>118000</v>
      </c>
      <c r="F29" s="642">
        <v>26</v>
      </c>
      <c r="G29" s="642" t="s">
        <v>4766</v>
      </c>
      <c r="H29" s="642" t="s">
        <v>4870</v>
      </c>
      <c r="I29" s="643">
        <v>6410117</v>
      </c>
      <c r="J29" s="645"/>
      <c r="L29" s="642">
        <v>1</v>
      </c>
      <c r="M29" s="646" t="s">
        <v>3543</v>
      </c>
      <c r="N29" s="646" t="s">
        <v>4512</v>
      </c>
      <c r="O29" s="647" t="s">
        <v>3551</v>
      </c>
    </row>
    <row r="30" spans="2:17">
      <c r="B30" s="632" t="s">
        <v>4873</v>
      </c>
      <c r="C30" s="636">
        <v>0</v>
      </c>
      <c r="F30" s="642">
        <v>27</v>
      </c>
      <c r="G30" s="642" t="s">
        <v>4778</v>
      </c>
      <c r="H30" s="642" t="s">
        <v>4831</v>
      </c>
      <c r="I30" s="643">
        <v>537500</v>
      </c>
      <c r="L30" s="642">
        <v>2</v>
      </c>
      <c r="M30" s="648"/>
      <c r="N30" s="648"/>
      <c r="O30" s="649"/>
    </row>
    <row r="31" spans="2:17">
      <c r="B31" s="632" t="s">
        <v>4508</v>
      </c>
      <c r="C31" s="636">
        <v>0</v>
      </c>
      <c r="F31" s="642">
        <v>28</v>
      </c>
      <c r="G31" s="642" t="s">
        <v>4779</v>
      </c>
      <c r="H31" s="642" t="s">
        <v>4574</v>
      </c>
      <c r="I31" s="643">
        <v>275051</v>
      </c>
      <c r="L31" s="642">
        <v>3</v>
      </c>
      <c r="M31" s="648"/>
      <c r="N31" s="648"/>
      <c r="O31" s="649"/>
    </row>
    <row r="32" spans="2:17">
      <c r="B32" s="632" t="s">
        <v>4898</v>
      </c>
      <c r="C32" s="636">
        <v>0</v>
      </c>
      <c r="F32" s="642">
        <v>29</v>
      </c>
      <c r="G32" s="642" t="s">
        <v>4780</v>
      </c>
      <c r="H32" s="642" t="s">
        <v>4868</v>
      </c>
      <c r="I32" s="643">
        <v>300000</v>
      </c>
      <c r="L32" s="642">
        <v>4</v>
      </c>
      <c r="M32" s="648"/>
      <c r="N32" s="648"/>
      <c r="O32" s="649"/>
    </row>
    <row r="33" spans="2:15">
      <c r="B33" s="632" t="s">
        <v>4874</v>
      </c>
      <c r="C33" s="636" t="s">
        <v>4990</v>
      </c>
      <c r="F33" s="642">
        <v>30</v>
      </c>
      <c r="G33" s="642" t="s">
        <v>4781</v>
      </c>
      <c r="H33" s="642" t="s">
        <v>4868</v>
      </c>
      <c r="I33" s="643">
        <v>300000</v>
      </c>
      <c r="L33" s="642">
        <v>5</v>
      </c>
      <c r="M33" s="648"/>
      <c r="N33" s="648"/>
      <c r="O33" s="649"/>
    </row>
    <row r="34" spans="2:15">
      <c r="B34" s="632" t="s">
        <v>4049</v>
      </c>
      <c r="C34" s="636"/>
      <c r="F34" s="642">
        <v>31</v>
      </c>
      <c r="G34" s="642" t="s">
        <v>4782</v>
      </c>
      <c r="H34" s="642" t="s">
        <v>4868</v>
      </c>
      <c r="I34" s="643">
        <v>1162500</v>
      </c>
      <c r="L34" s="642">
        <v>6</v>
      </c>
      <c r="M34" s="648"/>
      <c r="N34" s="648"/>
      <c r="O34" s="649"/>
    </row>
    <row r="35" spans="2:15">
      <c r="B35" s="632" t="s">
        <v>4900</v>
      </c>
      <c r="C35" s="636">
        <f>O5+O6+O10+O12+O16+O19</f>
        <v>92000</v>
      </c>
      <c r="F35" s="642">
        <v>32</v>
      </c>
      <c r="G35" s="642" t="s">
        <v>4783</v>
      </c>
      <c r="H35" s="642" t="s">
        <v>4868</v>
      </c>
      <c r="I35" s="643">
        <v>1012500</v>
      </c>
      <c r="L35" s="642">
        <v>7</v>
      </c>
      <c r="M35" s="648"/>
      <c r="N35" s="648"/>
      <c r="O35" s="649"/>
    </row>
    <row r="36" spans="2:15">
      <c r="B36" s="632" t="s">
        <v>4052</v>
      </c>
      <c r="C36" s="636"/>
      <c r="F36" s="642">
        <v>33</v>
      </c>
      <c r="G36" s="642" t="s">
        <v>4784</v>
      </c>
      <c r="H36" s="642" t="s">
        <v>4868</v>
      </c>
      <c r="I36" s="643">
        <v>9575000</v>
      </c>
      <c r="L36" s="642">
        <v>8</v>
      </c>
      <c r="M36" s="648"/>
      <c r="N36" s="648"/>
      <c r="O36" s="649"/>
    </row>
    <row r="37" spans="2:15" ht="15">
      <c r="B37" s="632" t="s">
        <v>4053</v>
      </c>
      <c r="C37" s="636"/>
      <c r="F37" s="642">
        <v>34</v>
      </c>
      <c r="G37" s="642" t="s">
        <v>4785</v>
      </c>
      <c r="H37" s="642" t="s">
        <v>4868</v>
      </c>
      <c r="I37" s="643">
        <v>5650000</v>
      </c>
      <c r="L37" s="1121" t="s">
        <v>4493</v>
      </c>
      <c r="M37" s="1121"/>
      <c r="N37" s="1121"/>
      <c r="O37" s="644">
        <f>SUM(O30:O36)</f>
        <v>0</v>
      </c>
    </row>
    <row r="38" spans="2:15">
      <c r="B38" s="632" t="s">
        <v>4496</v>
      </c>
      <c r="C38" s="636">
        <f>H68</f>
        <v>40839.589999999997</v>
      </c>
      <c r="F38" s="642">
        <v>35</v>
      </c>
      <c r="G38" s="642" t="s">
        <v>4786</v>
      </c>
      <c r="H38" s="642" t="s">
        <v>4868</v>
      </c>
      <c r="I38" s="643">
        <v>1913000</v>
      </c>
      <c r="O38" s="628"/>
    </row>
    <row r="39" spans="2:15" ht="15">
      <c r="B39" s="632" t="s">
        <v>4735</v>
      </c>
      <c r="C39" s="636">
        <f>H74</f>
        <v>32500</v>
      </c>
      <c r="F39" s="642">
        <v>36</v>
      </c>
      <c r="G39" s="642" t="s">
        <v>4787</v>
      </c>
      <c r="H39" s="642" t="s">
        <v>4868</v>
      </c>
      <c r="I39" s="643">
        <v>1925000</v>
      </c>
      <c r="L39" s="1120" t="s">
        <v>4737</v>
      </c>
      <c r="M39" s="1120"/>
      <c r="N39" s="1120"/>
      <c r="O39" s="1120"/>
    </row>
    <row r="40" spans="2:15">
      <c r="B40" s="632"/>
      <c r="C40" s="636"/>
      <c r="F40" s="642">
        <v>37</v>
      </c>
      <c r="G40" s="642" t="s">
        <v>4788</v>
      </c>
      <c r="H40" s="642" t="s">
        <v>4868</v>
      </c>
      <c r="I40" s="643">
        <v>1500000</v>
      </c>
      <c r="L40" s="642">
        <v>1</v>
      </c>
      <c r="M40" s="648"/>
      <c r="N40" s="648"/>
      <c r="O40" s="649"/>
    </row>
    <row r="41" spans="2:15">
      <c r="B41" s="635" t="s">
        <v>4057</v>
      </c>
      <c r="C41" s="640">
        <f>SUM(C27:C40)</f>
        <v>35451339.590000004</v>
      </c>
      <c r="F41" s="642">
        <v>38</v>
      </c>
      <c r="G41" s="642" t="s">
        <v>4789</v>
      </c>
      <c r="H41" s="642" t="s">
        <v>4868</v>
      </c>
      <c r="I41" s="643">
        <v>1350000</v>
      </c>
      <c r="L41" s="642">
        <v>2</v>
      </c>
      <c r="M41" s="648"/>
      <c r="N41" s="648"/>
      <c r="O41" s="649"/>
    </row>
    <row r="42" spans="2:15">
      <c r="B42" s="632"/>
      <c r="C42" s="636"/>
      <c r="F42" s="642">
        <v>39</v>
      </c>
      <c r="G42" s="642" t="s">
        <v>4790</v>
      </c>
      <c r="H42" s="642" t="s">
        <v>4868</v>
      </c>
      <c r="I42" s="643">
        <v>962500</v>
      </c>
      <c r="L42" s="642">
        <v>3</v>
      </c>
      <c r="M42" s="648"/>
      <c r="N42" s="648"/>
      <c r="O42" s="649"/>
    </row>
    <row r="43" spans="2:15">
      <c r="B43" s="632"/>
      <c r="C43" s="636"/>
      <c r="F43" s="642">
        <v>40</v>
      </c>
      <c r="G43" s="642" t="s">
        <v>4791</v>
      </c>
      <c r="H43" s="642" t="s">
        <v>4871</v>
      </c>
      <c r="I43" s="643">
        <v>8627398</v>
      </c>
      <c r="L43" s="642">
        <v>4</v>
      </c>
      <c r="M43" s="648"/>
      <c r="N43" s="648"/>
      <c r="O43" s="649"/>
    </row>
    <row r="44" spans="2:15">
      <c r="B44" s="632"/>
      <c r="C44" s="636"/>
      <c r="F44" s="642">
        <v>41</v>
      </c>
      <c r="G44" s="642" t="s">
        <v>4792</v>
      </c>
      <c r="H44" s="642" t="s">
        <v>4868</v>
      </c>
      <c r="I44" s="643">
        <v>400000</v>
      </c>
      <c r="L44" s="642">
        <v>5</v>
      </c>
      <c r="M44" s="648"/>
      <c r="N44" s="648"/>
      <c r="O44" s="649"/>
    </row>
    <row r="45" spans="2:15">
      <c r="B45" s="635" t="s">
        <v>4058</v>
      </c>
      <c r="C45" s="637">
        <f>C17-C41</f>
        <v>83324754.409999996</v>
      </c>
      <c r="F45" s="642">
        <v>42</v>
      </c>
      <c r="G45" s="642" t="s">
        <v>4793</v>
      </c>
      <c r="H45" s="642" t="s">
        <v>4868</v>
      </c>
      <c r="I45" s="643">
        <v>1237500</v>
      </c>
      <c r="L45" s="642">
        <v>6</v>
      </c>
      <c r="M45" s="648"/>
      <c r="N45" s="648"/>
      <c r="O45" s="649"/>
    </row>
    <row r="46" spans="2:15">
      <c r="B46" s="638"/>
      <c r="C46" s="639"/>
      <c r="F46" s="642">
        <v>43</v>
      </c>
      <c r="G46" s="642" t="s">
        <v>4794</v>
      </c>
      <c r="H46" s="642" t="s">
        <v>4868</v>
      </c>
      <c r="I46" s="643">
        <v>12725000</v>
      </c>
      <c r="L46" s="642">
        <v>7</v>
      </c>
      <c r="M46" s="648"/>
      <c r="N46" s="648"/>
      <c r="O46" s="649"/>
    </row>
    <row r="47" spans="2:15">
      <c r="F47" s="642">
        <v>44</v>
      </c>
      <c r="G47" s="642" t="s">
        <v>4795</v>
      </c>
      <c r="H47" s="642" t="s">
        <v>4868</v>
      </c>
      <c r="I47" s="643">
        <v>200000</v>
      </c>
      <c r="L47" s="642">
        <v>8</v>
      </c>
      <c r="M47" s="648"/>
      <c r="N47" s="648"/>
      <c r="O47" s="649"/>
    </row>
    <row r="48" spans="2:15">
      <c r="B48" s="681" t="s">
        <v>4549</v>
      </c>
      <c r="C48" s="682">
        <v>139237186.30000001</v>
      </c>
      <c r="F48" s="642">
        <v>45</v>
      </c>
      <c r="G48" s="642" t="s">
        <v>4796</v>
      </c>
      <c r="H48" s="642" t="s">
        <v>4868</v>
      </c>
      <c r="I48" s="643">
        <v>4575000</v>
      </c>
      <c r="L48" s="642">
        <v>9</v>
      </c>
      <c r="M48" s="648"/>
      <c r="N48" s="648"/>
      <c r="O48" s="649"/>
    </row>
    <row r="49" spans="2:15">
      <c r="B49" s="681" t="s">
        <v>4729</v>
      </c>
      <c r="C49" s="682">
        <v>124855299</v>
      </c>
      <c r="F49" s="642">
        <v>46</v>
      </c>
      <c r="G49" s="642" t="s">
        <v>4798</v>
      </c>
      <c r="H49" s="642" t="s">
        <v>4872</v>
      </c>
      <c r="I49" s="643">
        <v>3416456</v>
      </c>
      <c r="L49" s="642">
        <v>10</v>
      </c>
      <c r="M49" s="648"/>
      <c r="N49" s="648"/>
      <c r="O49" s="649"/>
    </row>
    <row r="50" spans="2:15" ht="15">
      <c r="F50" s="1121" t="s">
        <v>4493</v>
      </c>
      <c r="G50" s="1121"/>
      <c r="H50" s="1121"/>
      <c r="I50" s="644">
        <f>SUM(I4:I49)</f>
        <v>118776094</v>
      </c>
      <c r="L50" s="1121" t="s">
        <v>4493</v>
      </c>
      <c r="M50" s="1121"/>
      <c r="N50" s="1121"/>
      <c r="O50" s="650">
        <f>SUM(O40:O49)</f>
        <v>0</v>
      </c>
    </row>
    <row r="51" spans="2:15">
      <c r="C51" s="696">
        <f>SUM(C48:C49)</f>
        <v>264092485.30000001</v>
      </c>
    </row>
    <row r="53" spans="2:15" ht="15">
      <c r="F53" s="1120" t="s">
        <v>4501</v>
      </c>
      <c r="G53" s="1120"/>
      <c r="H53" s="1120"/>
      <c r="I53" s="1120"/>
    </row>
    <row r="54" spans="2:15" ht="15">
      <c r="F54" s="641" t="s">
        <v>3385</v>
      </c>
      <c r="G54" s="641" t="s">
        <v>4262</v>
      </c>
      <c r="H54" s="641" t="s">
        <v>4502</v>
      </c>
      <c r="I54" s="641" t="s">
        <v>3213</v>
      </c>
    </row>
    <row r="55" spans="2:15">
      <c r="F55" s="642">
        <v>1</v>
      </c>
      <c r="G55" s="642" t="s">
        <v>4503</v>
      </c>
      <c r="H55" s="642" t="s">
        <v>4504</v>
      </c>
      <c r="I55" s="643">
        <f>O8+O11+O17+O23</f>
        <v>1668000</v>
      </c>
    </row>
    <row r="56" spans="2:15">
      <c r="F56" s="642">
        <v>2</v>
      </c>
      <c r="G56" s="642" t="s">
        <v>3801</v>
      </c>
      <c r="H56" s="642" t="s">
        <v>4509</v>
      </c>
      <c r="I56" s="643">
        <v>5000000</v>
      </c>
    </row>
    <row r="57" spans="2:15">
      <c r="F57" s="642">
        <v>3</v>
      </c>
      <c r="G57" s="642" t="s">
        <v>4510</v>
      </c>
      <c r="H57" s="642" t="s">
        <v>4482</v>
      </c>
      <c r="I57" s="643">
        <v>25000000</v>
      </c>
    </row>
    <row r="58" spans="2:15">
      <c r="F58" s="642">
        <v>4</v>
      </c>
      <c r="G58" s="642" t="s">
        <v>4511</v>
      </c>
      <c r="H58" s="642" t="s">
        <v>4482</v>
      </c>
      <c r="I58" s="643">
        <v>3500000</v>
      </c>
    </row>
    <row r="59" spans="2:15" ht="15">
      <c r="F59" s="1121" t="s">
        <v>4493</v>
      </c>
      <c r="G59" s="1121"/>
      <c r="H59" s="1121"/>
      <c r="I59" s="644">
        <f>SUM(I55:I58)</f>
        <v>35168000</v>
      </c>
    </row>
    <row r="62" spans="2:15" ht="15">
      <c r="F62" s="1120" t="s">
        <v>4730</v>
      </c>
      <c r="G62" s="1120"/>
      <c r="H62" s="1120"/>
      <c r="I62" s="1120"/>
    </row>
    <row r="63" spans="2:15">
      <c r="F63" s="642">
        <v>1</v>
      </c>
      <c r="G63" s="646" t="s">
        <v>4732</v>
      </c>
      <c r="H63" s="646" t="s">
        <v>4733</v>
      </c>
      <c r="I63" s="699" t="s">
        <v>4734</v>
      </c>
    </row>
    <row r="64" spans="2:15">
      <c r="F64" s="642">
        <v>2</v>
      </c>
      <c r="G64" s="648" t="s">
        <v>4563</v>
      </c>
      <c r="H64" s="697">
        <v>5500</v>
      </c>
      <c r="I64" s="697"/>
    </row>
    <row r="65" spans="6:9">
      <c r="F65" s="642">
        <v>3</v>
      </c>
      <c r="G65" s="648" t="s">
        <v>4865</v>
      </c>
      <c r="H65" s="697">
        <v>15000</v>
      </c>
      <c r="I65" s="697"/>
    </row>
    <row r="66" spans="6:9">
      <c r="F66" s="642">
        <v>4</v>
      </c>
      <c r="G66" s="648" t="s">
        <v>3883</v>
      </c>
      <c r="H66" s="697"/>
      <c r="I66" s="697">
        <v>101697.96</v>
      </c>
    </row>
    <row r="67" spans="6:9">
      <c r="F67" s="642">
        <v>5</v>
      </c>
      <c r="G67" s="648" t="s">
        <v>3884</v>
      </c>
      <c r="H67" s="697">
        <v>20339.59</v>
      </c>
      <c r="I67" s="697"/>
    </row>
    <row r="68" spans="6:9" ht="15">
      <c r="F68" s="1134" t="s">
        <v>4493</v>
      </c>
      <c r="G68" s="1135"/>
      <c r="H68" s="698">
        <f>SUM(H64:H67)</f>
        <v>40839.589999999997</v>
      </c>
      <c r="I68" s="698">
        <f>SUM(I64:I67)</f>
        <v>101697.96</v>
      </c>
    </row>
    <row r="71" spans="6:9" ht="15">
      <c r="F71" s="1120" t="s">
        <v>4731</v>
      </c>
      <c r="G71" s="1120"/>
      <c r="H71" s="1120"/>
      <c r="I71" s="1120"/>
    </row>
    <row r="72" spans="6:9">
      <c r="F72" s="642"/>
      <c r="G72" s="646" t="s">
        <v>4732</v>
      </c>
      <c r="H72" s="646" t="s">
        <v>4733</v>
      </c>
      <c r="I72" s="647" t="s">
        <v>4734</v>
      </c>
    </row>
    <row r="73" spans="6:9">
      <c r="F73" s="642">
        <v>1</v>
      </c>
      <c r="G73" s="648" t="s">
        <v>4565</v>
      </c>
      <c r="H73" s="697">
        <v>32500</v>
      </c>
      <c r="I73" s="697"/>
    </row>
    <row r="74" spans="6:9" ht="15">
      <c r="F74" s="1134" t="s">
        <v>4493</v>
      </c>
      <c r="G74" s="1135"/>
      <c r="H74" s="650">
        <f>SUM(H73:H73)</f>
        <v>32500</v>
      </c>
      <c r="I74" s="650">
        <f>SUM(I73:I73)</f>
        <v>0</v>
      </c>
    </row>
  </sheetData>
  <mergeCells count="17">
    <mergeCell ref="B2:C2"/>
    <mergeCell ref="F2:I2"/>
    <mergeCell ref="B3:C3"/>
    <mergeCell ref="B4:C4"/>
    <mergeCell ref="F50:H50"/>
    <mergeCell ref="F68:G68"/>
    <mergeCell ref="F71:I71"/>
    <mergeCell ref="F74:G74"/>
    <mergeCell ref="L2:Q2"/>
    <mergeCell ref="L24:N24"/>
    <mergeCell ref="F62:I62"/>
    <mergeCell ref="F53:I53"/>
    <mergeCell ref="F59:H59"/>
    <mergeCell ref="L28:O28"/>
    <mergeCell ref="L37:N37"/>
    <mergeCell ref="L39:O39"/>
    <mergeCell ref="L50:N50"/>
  </mergeCells>
  <phoneticPr fontId="10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32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7570-8EC9-4DD0-80DD-F4092279384D}">
  <sheetPr>
    <pageSetUpPr fitToPage="1"/>
  </sheetPr>
  <dimension ref="A1:Q121"/>
  <sheetViews>
    <sheetView topLeftCell="A13" zoomScaleNormal="100" workbookViewId="0">
      <selection activeCell="C63" sqref="C63"/>
    </sheetView>
  </sheetViews>
  <sheetFormatPr defaultColWidth="9" defaultRowHeight="14.5"/>
  <cols>
    <col min="1" max="1" width="3.25" style="628" customWidth="1"/>
    <col min="2" max="2" width="54.33203125" style="629" customWidth="1"/>
    <col min="3" max="3" width="27.33203125" style="630" customWidth="1"/>
    <col min="4" max="4" width="1.58203125" style="628" customWidth="1"/>
    <col min="5" max="5" width="9" style="628"/>
    <col min="6" max="6" width="4.25" style="628" customWidth="1"/>
    <col min="7" max="7" width="15.83203125" style="628" customWidth="1"/>
    <col min="8" max="8" width="16.08203125" style="628" customWidth="1"/>
    <col min="9" max="9" width="13.5" style="628" customWidth="1"/>
    <col min="10" max="10" width="2" style="628" customWidth="1"/>
    <col min="11" max="11" width="4.75" style="628" customWidth="1"/>
    <col min="12" max="12" width="5.5" style="628" customWidth="1"/>
    <col min="13" max="13" width="41" style="628" customWidth="1"/>
    <col min="14" max="14" width="24.58203125" style="628" customWidth="1"/>
    <col min="15" max="17" width="14.08203125" customWidth="1"/>
  </cols>
  <sheetData>
    <row r="1" spans="1:17">
      <c r="A1" s="628" t="s">
        <v>4989</v>
      </c>
      <c r="I1" s="628" t="s">
        <v>543</v>
      </c>
    </row>
    <row r="2" spans="1:17" ht="18.5">
      <c r="B2" s="1136" t="s">
        <v>4028</v>
      </c>
      <c r="C2" s="1137"/>
      <c r="F2" s="1120" t="s">
        <v>4492</v>
      </c>
      <c r="G2" s="1120"/>
      <c r="H2" s="1120"/>
      <c r="I2" s="1120"/>
      <c r="L2" s="1130" t="s">
        <v>4767</v>
      </c>
      <c r="M2" s="1130"/>
      <c r="N2" s="1130"/>
      <c r="O2" s="1130"/>
      <c r="P2" s="1130"/>
      <c r="Q2" s="1130"/>
    </row>
    <row r="3" spans="1:17" ht="16">
      <c r="B3" s="1138" t="s">
        <v>4029</v>
      </c>
      <c r="C3" s="1139"/>
      <c r="D3" s="631"/>
      <c r="F3" s="641" t="s">
        <v>3385</v>
      </c>
      <c r="G3" s="641" t="s">
        <v>8</v>
      </c>
      <c r="H3" s="641" t="s">
        <v>3543</v>
      </c>
      <c r="I3" s="641" t="s">
        <v>3552</v>
      </c>
      <c r="L3" s="703" t="s">
        <v>4772</v>
      </c>
      <c r="M3" s="703" t="s">
        <v>3854</v>
      </c>
      <c r="N3" s="703" t="s">
        <v>4739</v>
      </c>
      <c r="O3" s="703" t="s">
        <v>4769</v>
      </c>
      <c r="P3" s="703" t="s">
        <v>4734</v>
      </c>
      <c r="Q3" s="703" t="s">
        <v>4770</v>
      </c>
    </row>
    <row r="4" spans="1:17" ht="16">
      <c r="B4" s="1138" t="s">
        <v>4878</v>
      </c>
      <c r="C4" s="1139"/>
      <c r="D4" s="631"/>
      <c r="F4" s="642">
        <v>1</v>
      </c>
      <c r="G4" s="642" t="s">
        <v>4799</v>
      </c>
      <c r="H4" s="642" t="s">
        <v>4866</v>
      </c>
      <c r="I4" s="643">
        <v>1077000</v>
      </c>
      <c r="L4" s="704">
        <v>1</v>
      </c>
      <c r="M4" s="705"/>
      <c r="N4" s="706"/>
      <c r="O4" s="709"/>
      <c r="P4" s="710">
        <f>'LR SEPT 2024'!Q24</f>
        <v>4711500</v>
      </c>
      <c r="Q4" s="707"/>
    </row>
    <row r="5" spans="1:17">
      <c r="B5" s="632"/>
      <c r="C5" s="633"/>
      <c r="F5" s="642">
        <v>2</v>
      </c>
      <c r="G5" s="642" t="s">
        <v>4800</v>
      </c>
      <c r="H5" s="642" t="s">
        <v>4866</v>
      </c>
      <c r="I5" s="643">
        <v>1198000</v>
      </c>
      <c r="L5" s="704">
        <v>2</v>
      </c>
      <c r="M5" s="705">
        <v>45568</v>
      </c>
      <c r="N5" s="706" t="s">
        <v>4883</v>
      </c>
      <c r="O5" s="710">
        <v>18000</v>
      </c>
      <c r="P5" s="710"/>
      <c r="Q5" s="707"/>
    </row>
    <row r="6" spans="1:17">
      <c r="B6" s="634" t="s">
        <v>3455</v>
      </c>
      <c r="C6" s="634" t="s">
        <v>3857</v>
      </c>
      <c r="F6" s="642">
        <v>3</v>
      </c>
      <c r="G6" s="642" t="s">
        <v>4801</v>
      </c>
      <c r="H6" s="642" t="s">
        <v>4580</v>
      </c>
      <c r="I6" s="643">
        <v>3007864</v>
      </c>
      <c r="L6" s="704">
        <v>3</v>
      </c>
      <c r="M6" s="705">
        <v>45569</v>
      </c>
      <c r="N6" s="706" t="s">
        <v>4851</v>
      </c>
      <c r="O6" s="710">
        <v>417000</v>
      </c>
      <c r="P6" s="710"/>
      <c r="Q6" s="707"/>
    </row>
    <row r="7" spans="1:17">
      <c r="B7" s="635" t="s">
        <v>4031</v>
      </c>
      <c r="C7" s="636"/>
      <c r="F7" s="642">
        <v>4</v>
      </c>
      <c r="G7" s="642" t="s">
        <v>4822</v>
      </c>
      <c r="H7" s="642" t="s">
        <v>4580</v>
      </c>
      <c r="I7" s="643">
        <v>1058588</v>
      </c>
      <c r="L7" s="704">
        <v>4</v>
      </c>
      <c r="M7" s="705">
        <v>45569</v>
      </c>
      <c r="N7" s="706" t="s">
        <v>4884</v>
      </c>
      <c r="O7" s="710">
        <v>20000</v>
      </c>
      <c r="P7" s="710"/>
      <c r="Q7" s="707"/>
    </row>
    <row r="8" spans="1:17">
      <c r="B8" s="632" t="s">
        <v>4032</v>
      </c>
      <c r="C8" s="636">
        <f>Q33</f>
        <v>2159000</v>
      </c>
      <c r="F8" s="642">
        <v>5</v>
      </c>
      <c r="G8" s="642" t="s">
        <v>4802</v>
      </c>
      <c r="H8" s="642" t="s">
        <v>4580</v>
      </c>
      <c r="I8" s="643">
        <v>1638000</v>
      </c>
      <c r="L8" s="704">
        <v>5</v>
      </c>
      <c r="M8" s="705">
        <v>45572</v>
      </c>
      <c r="N8" s="706" t="s">
        <v>4885</v>
      </c>
      <c r="O8" s="710">
        <v>10000</v>
      </c>
      <c r="P8" s="710"/>
      <c r="Q8" s="707"/>
    </row>
    <row r="9" spans="1:17">
      <c r="B9" s="632" t="s">
        <v>4033</v>
      </c>
      <c r="C9" s="636">
        <f>'LR SEPT 2024'!C48</f>
        <v>139237186.30000001</v>
      </c>
      <c r="F9" s="642">
        <v>6</v>
      </c>
      <c r="G9" s="642" t="s">
        <v>4803</v>
      </c>
      <c r="H9" s="642" t="s">
        <v>4580</v>
      </c>
      <c r="I9" s="643">
        <v>2905530</v>
      </c>
      <c r="L9" s="704">
        <v>6</v>
      </c>
      <c r="M9" s="705">
        <v>45572</v>
      </c>
      <c r="N9" s="706" t="s">
        <v>4741</v>
      </c>
      <c r="O9" s="710">
        <v>20000</v>
      </c>
      <c r="P9" s="710"/>
      <c r="Q9" s="707"/>
    </row>
    <row r="10" spans="1:17">
      <c r="B10" s="632" t="s">
        <v>4489</v>
      </c>
      <c r="C10" s="636">
        <f>'LR SEPT 2024'!C49</f>
        <v>124855299</v>
      </c>
      <c r="F10" s="642">
        <v>7</v>
      </c>
      <c r="G10" s="642" t="s">
        <v>4804</v>
      </c>
      <c r="H10" s="642" t="s">
        <v>4979</v>
      </c>
      <c r="I10" s="643">
        <v>9525500</v>
      </c>
      <c r="L10" s="704">
        <v>7</v>
      </c>
      <c r="M10" s="705">
        <v>45574</v>
      </c>
      <c r="N10" s="706" t="s">
        <v>4742</v>
      </c>
      <c r="O10" s="710">
        <v>9000</v>
      </c>
      <c r="P10" s="710"/>
      <c r="Q10" s="707"/>
    </row>
    <row r="11" spans="1:17">
      <c r="B11" s="635" t="s">
        <v>4034</v>
      </c>
      <c r="C11" s="637">
        <f>SUM(C8:C10)</f>
        <v>266251485.30000001</v>
      </c>
      <c r="F11" s="642">
        <v>8</v>
      </c>
      <c r="G11" s="642" t="s">
        <v>4805</v>
      </c>
      <c r="H11" s="642" t="s">
        <v>4980</v>
      </c>
      <c r="I11" s="643">
        <v>6659321</v>
      </c>
      <c r="L11" s="704">
        <v>8</v>
      </c>
      <c r="M11" s="705">
        <v>45574</v>
      </c>
      <c r="N11" s="706" t="s">
        <v>4886</v>
      </c>
      <c r="O11" s="710">
        <v>62000</v>
      </c>
      <c r="P11" s="710"/>
      <c r="Q11" s="707"/>
    </row>
    <row r="12" spans="1:17">
      <c r="B12" s="632"/>
      <c r="C12" s="636"/>
      <c r="F12" s="642">
        <v>9</v>
      </c>
      <c r="G12" s="642" t="s">
        <v>4806</v>
      </c>
      <c r="H12" s="642" t="s">
        <v>4723</v>
      </c>
      <c r="I12" s="643">
        <v>331250</v>
      </c>
      <c r="L12" s="704">
        <v>9</v>
      </c>
      <c r="M12" s="705">
        <v>45575</v>
      </c>
      <c r="N12" s="706" t="s">
        <v>4887</v>
      </c>
      <c r="O12" s="710">
        <v>24000</v>
      </c>
      <c r="P12" s="710"/>
      <c r="Q12" s="707"/>
    </row>
    <row r="13" spans="1:17">
      <c r="B13" s="635" t="s">
        <v>4035</v>
      </c>
      <c r="C13" s="636"/>
      <c r="F13" s="642">
        <v>10</v>
      </c>
      <c r="G13" s="642" t="s">
        <v>4807</v>
      </c>
      <c r="H13" s="642" t="s">
        <v>4872</v>
      </c>
      <c r="I13" s="643">
        <v>4518956</v>
      </c>
      <c r="L13" s="704">
        <v>10</v>
      </c>
      <c r="M13" s="705">
        <v>45575</v>
      </c>
      <c r="N13" s="706" t="s">
        <v>4888</v>
      </c>
      <c r="O13" s="710">
        <v>20000</v>
      </c>
      <c r="P13" s="710"/>
      <c r="Q13" s="707"/>
    </row>
    <row r="14" spans="1:17">
      <c r="B14" s="632" t="s">
        <v>4879</v>
      </c>
      <c r="C14" s="636">
        <f>I30</f>
        <v>80657185</v>
      </c>
      <c r="F14" s="642">
        <v>11</v>
      </c>
      <c r="G14" s="642" t="s">
        <v>4808</v>
      </c>
      <c r="H14" s="642" t="s">
        <v>4981</v>
      </c>
      <c r="I14" s="643">
        <v>10511060</v>
      </c>
      <c r="L14" s="704">
        <v>11</v>
      </c>
      <c r="M14" s="705">
        <v>45576</v>
      </c>
      <c r="N14" s="706" t="s">
        <v>4889</v>
      </c>
      <c r="O14" s="710">
        <v>500000</v>
      </c>
      <c r="P14" s="710"/>
      <c r="Q14" s="707"/>
    </row>
    <row r="15" spans="1:17">
      <c r="B15" s="632" t="s">
        <v>4498</v>
      </c>
      <c r="C15" s="636">
        <f>I49</f>
        <v>76416.89</v>
      </c>
      <c r="F15" s="642">
        <v>12</v>
      </c>
      <c r="G15" s="642" t="s">
        <v>4809</v>
      </c>
      <c r="H15" s="642" t="s">
        <v>4868</v>
      </c>
      <c r="I15" s="643">
        <v>1200000</v>
      </c>
      <c r="L15" s="704">
        <v>12</v>
      </c>
      <c r="M15" s="705">
        <v>45576</v>
      </c>
      <c r="N15" s="706" t="s">
        <v>4856</v>
      </c>
      <c r="O15" s="710">
        <v>10000</v>
      </c>
      <c r="P15" s="710"/>
      <c r="Q15" s="707"/>
    </row>
    <row r="16" spans="1:17">
      <c r="B16" s="632" t="s">
        <v>4499</v>
      </c>
      <c r="C16" s="636">
        <v>0</v>
      </c>
      <c r="F16" s="642">
        <v>13</v>
      </c>
      <c r="G16" s="642" t="s">
        <v>4810</v>
      </c>
      <c r="H16" s="642" t="s">
        <v>4868</v>
      </c>
      <c r="I16" s="643">
        <v>750000</v>
      </c>
      <c r="L16" s="704">
        <v>13</v>
      </c>
      <c r="M16" s="705">
        <v>45576</v>
      </c>
      <c r="N16" s="706" t="s">
        <v>4851</v>
      </c>
      <c r="O16" s="710">
        <v>417000</v>
      </c>
      <c r="P16" s="710"/>
      <c r="Q16" s="707"/>
    </row>
    <row r="17" spans="2:17">
      <c r="B17" s="635" t="s">
        <v>4038</v>
      </c>
      <c r="C17" s="640">
        <f>SUM(C14:C15)</f>
        <v>80733601.890000001</v>
      </c>
      <c r="F17" s="642">
        <v>14</v>
      </c>
      <c r="G17" s="642" t="s">
        <v>4811</v>
      </c>
      <c r="H17" s="642" t="s">
        <v>4868</v>
      </c>
      <c r="I17" s="643">
        <v>5937500</v>
      </c>
      <c r="L17" s="704">
        <v>14</v>
      </c>
      <c r="M17" s="705">
        <v>45580</v>
      </c>
      <c r="N17" s="706" t="s">
        <v>4742</v>
      </c>
      <c r="O17" s="710">
        <v>9000</v>
      </c>
      <c r="P17" s="710"/>
      <c r="Q17" s="707"/>
    </row>
    <row r="18" spans="2:17">
      <c r="B18" s="632"/>
      <c r="C18" s="636"/>
      <c r="F18" s="642">
        <v>15</v>
      </c>
      <c r="G18" s="642" t="s">
        <v>4812</v>
      </c>
      <c r="H18" s="642" t="s">
        <v>4982</v>
      </c>
      <c r="I18" s="643">
        <v>2429915</v>
      </c>
      <c r="L18" s="704">
        <v>15</v>
      </c>
      <c r="M18" s="705">
        <v>45582</v>
      </c>
      <c r="N18" s="706" t="s">
        <v>4890</v>
      </c>
      <c r="O18" s="710">
        <v>20000</v>
      </c>
      <c r="P18" s="710"/>
      <c r="Q18" s="707"/>
    </row>
    <row r="19" spans="2:17">
      <c r="B19" s="635" t="s">
        <v>4039</v>
      </c>
      <c r="C19" s="636"/>
      <c r="F19" s="642">
        <v>16</v>
      </c>
      <c r="G19" s="642" t="s">
        <v>4814</v>
      </c>
      <c r="H19" s="642" t="s">
        <v>4868</v>
      </c>
      <c r="I19" s="643">
        <v>250000</v>
      </c>
      <c r="L19" s="704">
        <v>16</v>
      </c>
      <c r="M19" s="705">
        <v>45583</v>
      </c>
      <c r="N19" s="706" t="s">
        <v>4742</v>
      </c>
      <c r="O19" s="710">
        <v>9000</v>
      </c>
      <c r="P19" s="710"/>
      <c r="Q19" s="707"/>
    </row>
    <row r="20" spans="2:17">
      <c r="B20" s="632" t="s">
        <v>4333</v>
      </c>
      <c r="C20" s="636"/>
      <c r="F20" s="642">
        <v>17</v>
      </c>
      <c r="G20" s="642" t="s">
        <v>4813</v>
      </c>
      <c r="H20" s="642" t="s">
        <v>4872</v>
      </c>
      <c r="I20" s="643">
        <v>5417092</v>
      </c>
      <c r="L20" s="704">
        <v>17</v>
      </c>
      <c r="M20" s="705">
        <v>45583</v>
      </c>
      <c r="N20" s="706" t="s">
        <v>4853</v>
      </c>
      <c r="O20" s="710">
        <v>10000</v>
      </c>
      <c r="P20" s="710"/>
      <c r="Q20" s="707"/>
    </row>
    <row r="21" spans="2:17">
      <c r="B21" s="632"/>
      <c r="C21" s="636"/>
      <c r="F21" s="642">
        <v>18</v>
      </c>
      <c r="G21" s="642" t="s">
        <v>4815</v>
      </c>
      <c r="H21" s="642" t="s">
        <v>4872</v>
      </c>
      <c r="I21" s="643">
        <v>5417092</v>
      </c>
      <c r="L21" s="704">
        <v>18</v>
      </c>
      <c r="M21" s="705">
        <v>45583</v>
      </c>
      <c r="N21" s="706" t="s">
        <v>4851</v>
      </c>
      <c r="O21" s="710">
        <v>417000</v>
      </c>
      <c r="P21" s="710"/>
      <c r="Q21" s="707"/>
    </row>
    <row r="22" spans="2:17">
      <c r="B22" s="635" t="s">
        <v>4880</v>
      </c>
      <c r="C22" s="637"/>
      <c r="F22" s="642">
        <v>19</v>
      </c>
      <c r="G22" s="642" t="s">
        <v>4816</v>
      </c>
      <c r="H22" s="642" t="s">
        <v>4979</v>
      </c>
      <c r="I22" s="643">
        <v>159500</v>
      </c>
      <c r="L22" s="704">
        <v>19</v>
      </c>
      <c r="M22" s="705">
        <v>45587</v>
      </c>
      <c r="N22" s="706" t="s">
        <v>4742</v>
      </c>
      <c r="O22" s="710">
        <v>9000</v>
      </c>
      <c r="P22" s="710"/>
      <c r="Q22" s="707"/>
    </row>
    <row r="23" spans="2:17">
      <c r="B23" s="635" t="s">
        <v>4881</v>
      </c>
      <c r="C23" s="637"/>
      <c r="F23" s="642">
        <v>20</v>
      </c>
      <c r="G23" s="642" t="s">
        <v>4817</v>
      </c>
      <c r="H23" s="642" t="s">
        <v>4872</v>
      </c>
      <c r="I23" s="643">
        <v>6558864</v>
      </c>
      <c r="L23" s="704">
        <v>20</v>
      </c>
      <c r="M23" s="705">
        <v>45590</v>
      </c>
      <c r="N23" s="706" t="s">
        <v>4742</v>
      </c>
      <c r="O23" s="710">
        <v>9000</v>
      </c>
      <c r="P23" s="710"/>
      <c r="Q23" s="707"/>
    </row>
    <row r="24" spans="2:17">
      <c r="B24" s="635" t="s">
        <v>4882</v>
      </c>
      <c r="C24" s="637"/>
      <c r="F24" s="642">
        <v>21</v>
      </c>
      <c r="G24" s="642" t="s">
        <v>4818</v>
      </c>
      <c r="H24" s="642" t="s">
        <v>4727</v>
      </c>
      <c r="I24" s="643">
        <v>240825</v>
      </c>
      <c r="L24" s="704">
        <v>21</v>
      </c>
      <c r="M24" s="705">
        <v>45590</v>
      </c>
      <c r="N24" s="706" t="s">
        <v>4851</v>
      </c>
      <c r="O24" s="710">
        <v>417000</v>
      </c>
      <c r="P24" s="710"/>
      <c r="Q24" s="707"/>
    </row>
    <row r="25" spans="2:17">
      <c r="B25" s="632"/>
      <c r="C25" s="636"/>
      <c r="F25" s="642">
        <v>22</v>
      </c>
      <c r="G25" s="642" t="s">
        <v>4819</v>
      </c>
      <c r="H25" s="642" t="s">
        <v>4983</v>
      </c>
      <c r="I25" s="643">
        <v>1181000</v>
      </c>
      <c r="L25" s="704">
        <v>22</v>
      </c>
      <c r="M25" s="705">
        <v>45590</v>
      </c>
      <c r="N25" s="706" t="s">
        <v>4891</v>
      </c>
      <c r="O25" s="710">
        <v>11500</v>
      </c>
      <c r="P25" s="710"/>
      <c r="Q25" s="707"/>
    </row>
    <row r="26" spans="2:17">
      <c r="B26" s="635" t="s">
        <v>4042</v>
      </c>
      <c r="C26" s="636"/>
      <c r="F26" s="642">
        <v>23</v>
      </c>
      <c r="G26" s="642" t="s">
        <v>4820</v>
      </c>
      <c r="H26" s="642" t="s">
        <v>4984</v>
      </c>
      <c r="I26" s="643">
        <v>389040</v>
      </c>
      <c r="L26" s="704">
        <v>23</v>
      </c>
      <c r="M26" s="705">
        <v>45590</v>
      </c>
      <c r="N26" s="706" t="s">
        <v>4892</v>
      </c>
      <c r="O26" s="710">
        <v>20000</v>
      </c>
      <c r="P26" s="710"/>
      <c r="Q26" s="707"/>
    </row>
    <row r="27" spans="2:17">
      <c r="B27" s="632" t="s">
        <v>4043</v>
      </c>
      <c r="C27" s="636">
        <f>I40</f>
        <v>20468000</v>
      </c>
      <c r="F27" s="642">
        <v>24</v>
      </c>
      <c r="G27" s="642" t="s">
        <v>4821</v>
      </c>
      <c r="H27" s="642" t="s">
        <v>4871</v>
      </c>
      <c r="I27" s="643">
        <v>1200000</v>
      </c>
      <c r="L27" s="704">
        <v>24</v>
      </c>
      <c r="M27" s="705">
        <v>45590</v>
      </c>
      <c r="N27" s="706" t="s">
        <v>4893</v>
      </c>
      <c r="O27" s="710">
        <v>39000</v>
      </c>
      <c r="P27" s="710"/>
      <c r="Q27" s="707"/>
    </row>
    <row r="28" spans="2:17">
      <c r="B28" s="632" t="s">
        <v>4044</v>
      </c>
      <c r="C28" s="636"/>
      <c r="F28" s="642">
        <v>25</v>
      </c>
      <c r="G28" s="642" t="s">
        <v>4823</v>
      </c>
      <c r="H28" s="642" t="s">
        <v>4979</v>
      </c>
      <c r="I28" s="643">
        <v>1200000</v>
      </c>
      <c r="L28" s="704">
        <v>25</v>
      </c>
      <c r="M28" s="705">
        <v>45590</v>
      </c>
      <c r="N28" s="706" t="s">
        <v>4894</v>
      </c>
      <c r="O28" s="710">
        <v>10000</v>
      </c>
      <c r="P28" s="710"/>
      <c r="Q28" s="707"/>
    </row>
    <row r="29" spans="2:17">
      <c r="B29" s="632" t="s">
        <v>4861</v>
      </c>
      <c r="C29" s="636">
        <f>O7+O8+O13+O15+O18+O20+O26+O28+O29+O30</f>
        <v>149000</v>
      </c>
      <c r="F29" s="642">
        <v>26</v>
      </c>
      <c r="G29" s="642" t="s">
        <v>4824</v>
      </c>
      <c r="H29" s="642" t="s">
        <v>4982</v>
      </c>
      <c r="I29" s="643">
        <v>5895288</v>
      </c>
      <c r="J29" s="645"/>
      <c r="L29" s="704">
        <v>26</v>
      </c>
      <c r="M29" s="705">
        <v>45594</v>
      </c>
      <c r="N29" s="706" t="s">
        <v>4895</v>
      </c>
      <c r="O29" s="710">
        <v>10000</v>
      </c>
      <c r="P29" s="710"/>
      <c r="Q29" s="707"/>
    </row>
    <row r="30" spans="2:17" ht="15">
      <c r="B30" s="632" t="s">
        <v>4985</v>
      </c>
      <c r="C30" s="636">
        <v>2895000</v>
      </c>
      <c r="F30" s="1121" t="s">
        <v>4493</v>
      </c>
      <c r="G30" s="1121"/>
      <c r="H30" s="1121"/>
      <c r="I30" s="644">
        <f>SUM(I4:I29)</f>
        <v>80657185</v>
      </c>
      <c r="L30" s="704">
        <v>27</v>
      </c>
      <c r="M30" s="727">
        <v>45596</v>
      </c>
      <c r="N30" s="706" t="s">
        <v>4896</v>
      </c>
      <c r="O30" s="710">
        <v>19000</v>
      </c>
      <c r="P30" s="710"/>
      <c r="Q30" s="707"/>
    </row>
    <row r="31" spans="2:17">
      <c r="B31" s="632" t="s">
        <v>4988</v>
      </c>
      <c r="C31" s="636">
        <f>O53+O108+O120</f>
        <v>1497500</v>
      </c>
      <c r="L31" s="704">
        <v>28</v>
      </c>
      <c r="M31" s="727">
        <v>45596</v>
      </c>
      <c r="N31" s="706" t="s">
        <v>4742</v>
      </c>
      <c r="O31" s="710">
        <v>9000</v>
      </c>
      <c r="P31" s="710"/>
      <c r="Q31" s="707"/>
    </row>
    <row r="32" spans="2:17">
      <c r="B32" s="632" t="s">
        <v>4986</v>
      </c>
      <c r="C32" s="636">
        <v>866272</v>
      </c>
      <c r="L32" s="704">
        <v>29</v>
      </c>
      <c r="M32" s="727">
        <v>45596</v>
      </c>
      <c r="N32" s="706" t="s">
        <v>4897</v>
      </c>
      <c r="O32" s="710">
        <v>7000</v>
      </c>
      <c r="P32" s="710"/>
      <c r="Q32" s="707"/>
    </row>
    <row r="33" spans="2:17" ht="15">
      <c r="B33" s="632" t="s">
        <v>4874</v>
      </c>
      <c r="C33" s="636">
        <f>O57+O107</f>
        <v>115000</v>
      </c>
      <c r="F33" s="1120" t="s">
        <v>4501</v>
      </c>
      <c r="G33" s="1120"/>
      <c r="H33" s="1120"/>
      <c r="I33" s="1120"/>
      <c r="L33" s="1131" t="s">
        <v>4493</v>
      </c>
      <c r="M33" s="1132"/>
      <c r="N33" s="1133"/>
      <c r="O33" s="711">
        <f>SUM(O5:O32)</f>
        <v>2552500</v>
      </c>
      <c r="P33" s="711">
        <f>SUM(P4:P29)</f>
        <v>4711500</v>
      </c>
      <c r="Q33" s="708">
        <f>SUM(P33-O33)</f>
        <v>2159000</v>
      </c>
    </row>
    <row r="34" spans="2:17" ht="15">
      <c r="B34" s="632" t="s">
        <v>4049</v>
      </c>
      <c r="C34" s="636"/>
      <c r="F34" s="641" t="s">
        <v>3385</v>
      </c>
      <c r="G34" s="641" t="s">
        <v>4262</v>
      </c>
      <c r="H34" s="641" t="s">
        <v>4502</v>
      </c>
      <c r="I34" s="641" t="s">
        <v>3213</v>
      </c>
    </row>
    <row r="35" spans="2:17">
      <c r="B35" s="632" t="s">
        <v>4987</v>
      </c>
      <c r="C35" s="636">
        <f>I61+O41+O42+O74+O79+O80+O81+O92+O95</f>
        <v>12414611</v>
      </c>
      <c r="F35" s="642">
        <v>1</v>
      </c>
      <c r="G35" s="642" t="s">
        <v>4503</v>
      </c>
      <c r="H35" s="642" t="s">
        <v>4504</v>
      </c>
      <c r="I35" s="643">
        <f>O6+O16+O21+O24</f>
        <v>1668000</v>
      </c>
    </row>
    <row r="36" spans="2:17" ht="15">
      <c r="B36" s="632" t="s">
        <v>4500</v>
      </c>
      <c r="C36" s="636">
        <f>O5+O9+O10+O12+O14+O17+O19+O22+O23+O25+O27+O31+O32+O43+O44+O45+O46+O47+O48+O54+O56+O58+O67+O82+O83+O84+O85+O86+O88+O87+O89+O90+O91+O93+O94+O96+O97+O98+O99+O100+O101+O102+O103+O104+O105+O106+O113+O119</f>
        <v>3602669</v>
      </c>
      <c r="F36" s="642">
        <v>2</v>
      </c>
      <c r="G36" s="642" t="s">
        <v>3801</v>
      </c>
      <c r="H36" s="642" t="s">
        <v>4509</v>
      </c>
      <c r="I36" s="643">
        <v>5000000</v>
      </c>
      <c r="L36" s="1120" t="s">
        <v>4738</v>
      </c>
      <c r="M36" s="1120"/>
      <c r="N36" s="1120"/>
      <c r="O36" s="1120"/>
    </row>
    <row r="37" spans="2:17">
      <c r="B37" s="632" t="s">
        <v>4052</v>
      </c>
      <c r="C37" s="636"/>
      <c r="F37" s="642">
        <v>3</v>
      </c>
      <c r="G37" s="642" t="s">
        <v>4510</v>
      </c>
      <c r="H37" s="642" t="s">
        <v>4482</v>
      </c>
      <c r="I37" s="643">
        <v>9450000</v>
      </c>
      <c r="L37" s="642"/>
      <c r="M37" s="646" t="s">
        <v>4739</v>
      </c>
      <c r="N37" s="646" t="s">
        <v>4512</v>
      </c>
      <c r="O37" s="647" t="s">
        <v>3551</v>
      </c>
    </row>
    <row r="38" spans="2:17">
      <c r="B38" s="632" t="s">
        <v>4053</v>
      </c>
      <c r="C38" s="636">
        <f>O49+O50+O55+O59+O60+O65+O111+O112+O114+O115+O116+O117</f>
        <v>1434000</v>
      </c>
      <c r="F38" s="642">
        <v>4</v>
      </c>
      <c r="G38" s="642" t="s">
        <v>4511</v>
      </c>
      <c r="H38" s="642" t="s">
        <v>4482</v>
      </c>
      <c r="I38" s="643">
        <v>3350000</v>
      </c>
      <c r="L38" s="642">
        <v>1</v>
      </c>
      <c r="M38" s="648" t="s">
        <v>4901</v>
      </c>
      <c r="N38" s="648"/>
      <c r="O38" s="649">
        <v>1500000</v>
      </c>
    </row>
    <row r="39" spans="2:17">
      <c r="B39" s="632" t="s">
        <v>4496</v>
      </c>
      <c r="C39" s="636">
        <f>H49</f>
        <v>38283.379999999997</v>
      </c>
      <c r="F39" s="642">
        <v>5</v>
      </c>
      <c r="G39" s="642" t="s">
        <v>4977</v>
      </c>
      <c r="H39" s="642" t="s">
        <v>4978</v>
      </c>
      <c r="I39" s="643">
        <v>1000000</v>
      </c>
      <c r="L39" s="642">
        <v>2</v>
      </c>
      <c r="M39" s="648" t="s">
        <v>4902</v>
      </c>
      <c r="N39" s="648"/>
      <c r="O39" s="649">
        <v>600000</v>
      </c>
    </row>
    <row r="40" spans="2:17" ht="15">
      <c r="B40" s="632" t="s">
        <v>4735</v>
      </c>
      <c r="C40" s="636">
        <f>H55</f>
        <v>30000</v>
      </c>
      <c r="F40" s="1121" t="s">
        <v>4493</v>
      </c>
      <c r="G40" s="1121"/>
      <c r="H40" s="1121"/>
      <c r="I40" s="644">
        <f>SUM(I35:I39)</f>
        <v>20468000</v>
      </c>
      <c r="L40" s="642">
        <v>3</v>
      </c>
      <c r="M40" s="648" t="s">
        <v>4903</v>
      </c>
      <c r="N40" s="648"/>
      <c r="O40" s="649">
        <v>200000</v>
      </c>
    </row>
    <row r="41" spans="2:17">
      <c r="B41" s="632"/>
      <c r="C41" s="636"/>
      <c r="L41" s="642">
        <v>4</v>
      </c>
      <c r="M41" s="648" t="s">
        <v>4904</v>
      </c>
      <c r="N41" s="648"/>
      <c r="O41" s="649">
        <v>329000</v>
      </c>
    </row>
    <row r="42" spans="2:17">
      <c r="B42" s="635" t="s">
        <v>4057</v>
      </c>
      <c r="C42" s="640">
        <f>SUM(C27:C41)</f>
        <v>43510335.380000003</v>
      </c>
      <c r="L42" s="642">
        <v>5</v>
      </c>
      <c r="M42" s="648" t="s">
        <v>4905</v>
      </c>
      <c r="N42" s="648"/>
      <c r="O42" s="649">
        <v>3676000</v>
      </c>
    </row>
    <row r="43" spans="2:17" ht="15">
      <c r="B43" s="632"/>
      <c r="C43" s="636"/>
      <c r="F43" s="1120" t="s">
        <v>4730</v>
      </c>
      <c r="G43" s="1120"/>
      <c r="H43" s="1120"/>
      <c r="I43" s="1120"/>
      <c r="L43" s="642">
        <v>6</v>
      </c>
      <c r="M43" s="648" t="s">
        <v>4906</v>
      </c>
      <c r="N43" s="648"/>
      <c r="O43" s="649">
        <v>72704</v>
      </c>
    </row>
    <row r="44" spans="2:17">
      <c r="B44" s="632"/>
      <c r="C44" s="636"/>
      <c r="F44" s="642">
        <v>1</v>
      </c>
      <c r="G44" s="646" t="s">
        <v>4732</v>
      </c>
      <c r="H44" s="646" t="s">
        <v>4733</v>
      </c>
      <c r="I44" s="699" t="s">
        <v>4734</v>
      </c>
      <c r="L44" s="642">
        <v>7</v>
      </c>
      <c r="M44" s="648" t="s">
        <v>4907</v>
      </c>
      <c r="N44" s="648"/>
      <c r="O44" s="649">
        <v>42782</v>
      </c>
    </row>
    <row r="45" spans="2:17">
      <c r="B45" s="632"/>
      <c r="C45" s="636"/>
      <c r="F45" s="642">
        <v>2</v>
      </c>
      <c r="G45" s="648" t="s">
        <v>4563</v>
      </c>
      <c r="H45" s="697">
        <v>5500</v>
      </c>
      <c r="I45" s="697"/>
      <c r="L45" s="642">
        <v>8</v>
      </c>
      <c r="M45" s="648" t="s">
        <v>4908</v>
      </c>
      <c r="N45" s="648"/>
      <c r="O45" s="649">
        <v>117022</v>
      </c>
    </row>
    <row r="46" spans="2:17">
      <c r="B46" s="635" t="s">
        <v>4058</v>
      </c>
      <c r="C46" s="637">
        <f>C17-C42</f>
        <v>37223266.509999998</v>
      </c>
      <c r="F46" s="642">
        <v>3</v>
      </c>
      <c r="G46" s="648" t="s">
        <v>4865</v>
      </c>
      <c r="H46" s="697">
        <v>17500</v>
      </c>
      <c r="I46" s="697"/>
      <c r="L46" s="642">
        <v>9</v>
      </c>
      <c r="M46" s="648" t="s">
        <v>4909</v>
      </c>
      <c r="N46" s="648"/>
      <c r="O46" s="649">
        <v>100975</v>
      </c>
    </row>
    <row r="47" spans="2:17">
      <c r="B47" s="638"/>
      <c r="C47" s="639"/>
      <c r="F47" s="642">
        <v>4</v>
      </c>
      <c r="G47" s="648" t="s">
        <v>3883</v>
      </c>
      <c r="H47" s="697"/>
      <c r="I47" s="697">
        <v>76416.89</v>
      </c>
      <c r="L47" s="642">
        <v>10</v>
      </c>
      <c r="M47" s="648" t="s">
        <v>4910</v>
      </c>
      <c r="N47" s="648"/>
      <c r="O47" s="649">
        <v>69000</v>
      </c>
    </row>
    <row r="48" spans="2:17">
      <c r="F48" s="642">
        <v>5</v>
      </c>
      <c r="G48" s="648" t="s">
        <v>3884</v>
      </c>
      <c r="H48" s="697">
        <v>15283.38</v>
      </c>
      <c r="I48" s="697"/>
      <c r="L48" s="642">
        <v>11</v>
      </c>
      <c r="M48" s="648" t="s">
        <v>4911</v>
      </c>
      <c r="N48" s="648"/>
      <c r="O48" s="649">
        <v>70000</v>
      </c>
    </row>
    <row r="49" spans="2:15" ht="15">
      <c r="B49" s="681" t="s">
        <v>4549</v>
      </c>
      <c r="C49" s="682">
        <v>170758892.81</v>
      </c>
      <c r="F49" s="1134" t="s">
        <v>4493</v>
      </c>
      <c r="G49" s="1135"/>
      <c r="H49" s="698">
        <f>SUM(H45:H48)</f>
        <v>38283.379999999997</v>
      </c>
      <c r="I49" s="698">
        <f>SUM(I45:I48)</f>
        <v>76416.89</v>
      </c>
      <c r="L49" s="642">
        <v>12</v>
      </c>
      <c r="M49" s="648" t="s">
        <v>4912</v>
      </c>
      <c r="N49" s="648"/>
      <c r="O49" s="649">
        <v>8000</v>
      </c>
    </row>
    <row r="50" spans="2:15">
      <c r="B50" s="681" t="s">
        <v>4729</v>
      </c>
      <c r="C50" s="682">
        <v>151040890</v>
      </c>
      <c r="L50" s="642">
        <v>13</v>
      </c>
      <c r="M50" s="648" t="s">
        <v>4913</v>
      </c>
      <c r="N50" s="648"/>
      <c r="O50" s="649">
        <v>297000</v>
      </c>
    </row>
    <row r="51" spans="2:15">
      <c r="L51" s="642">
        <v>14</v>
      </c>
      <c r="M51" s="648" t="s">
        <v>4914</v>
      </c>
      <c r="N51" s="648"/>
      <c r="O51" s="649">
        <v>500000</v>
      </c>
    </row>
    <row r="52" spans="2:15" ht="15">
      <c r="C52" s="696">
        <f>SUM(C49:C50)</f>
        <v>321799782.81</v>
      </c>
      <c r="F52" s="1120" t="s">
        <v>4731</v>
      </c>
      <c r="G52" s="1120"/>
      <c r="H52" s="1120"/>
      <c r="I52" s="1120"/>
      <c r="L52" s="642">
        <v>15</v>
      </c>
      <c r="M52" s="648" t="s">
        <v>4915</v>
      </c>
      <c r="N52" s="648"/>
      <c r="O52" s="649">
        <v>1447500</v>
      </c>
    </row>
    <row r="53" spans="2:15">
      <c r="F53" s="642"/>
      <c r="G53" s="646" t="s">
        <v>4732</v>
      </c>
      <c r="H53" s="646" t="s">
        <v>4733</v>
      </c>
      <c r="I53" s="647" t="s">
        <v>4734</v>
      </c>
      <c r="L53" s="642">
        <v>16</v>
      </c>
      <c r="M53" s="648" t="s">
        <v>4916</v>
      </c>
      <c r="N53" s="648"/>
      <c r="O53" s="649">
        <v>502500</v>
      </c>
    </row>
    <row r="54" spans="2:15">
      <c r="F54" s="642">
        <v>1</v>
      </c>
      <c r="G54" s="648" t="s">
        <v>4565</v>
      </c>
      <c r="H54" s="697">
        <v>30000</v>
      </c>
      <c r="I54" s="697"/>
      <c r="L54" s="642">
        <v>17</v>
      </c>
      <c r="M54" s="648" t="s">
        <v>4917</v>
      </c>
      <c r="N54" s="648"/>
      <c r="O54" s="649">
        <v>443368</v>
      </c>
    </row>
    <row r="55" spans="2:15" ht="15">
      <c r="C55" s="630" t="s">
        <v>543</v>
      </c>
      <c r="F55" s="1134" t="s">
        <v>4493</v>
      </c>
      <c r="G55" s="1135"/>
      <c r="H55" s="650">
        <f>SUM(H54:H54)</f>
        <v>30000</v>
      </c>
      <c r="I55" s="650">
        <f>SUM(I54:I54)</f>
        <v>0</v>
      </c>
      <c r="L55" s="642">
        <v>18</v>
      </c>
      <c r="M55" s="648" t="s">
        <v>4918</v>
      </c>
      <c r="N55" s="648"/>
      <c r="O55" s="649">
        <v>29500</v>
      </c>
    </row>
    <row r="56" spans="2:15">
      <c r="L56" s="642">
        <v>19</v>
      </c>
      <c r="M56" s="648" t="s">
        <v>4919</v>
      </c>
      <c r="N56" s="648"/>
      <c r="O56" s="649">
        <v>50500</v>
      </c>
    </row>
    <row r="57" spans="2:15">
      <c r="L57" s="642">
        <v>20</v>
      </c>
      <c r="M57" s="648" t="s">
        <v>4920</v>
      </c>
      <c r="N57" s="648"/>
      <c r="O57" s="649">
        <v>50000</v>
      </c>
    </row>
    <row r="58" spans="2:15" ht="15">
      <c r="F58" s="1120" t="s">
        <v>4975</v>
      </c>
      <c r="G58" s="1120"/>
      <c r="H58" s="1120"/>
      <c r="I58" s="1120"/>
      <c r="L58" s="642">
        <v>21</v>
      </c>
      <c r="M58" s="648" t="s">
        <v>4921</v>
      </c>
      <c r="N58" s="648"/>
      <c r="O58" s="649">
        <v>16700</v>
      </c>
    </row>
    <row r="59" spans="2:15" ht="15">
      <c r="F59" s="641" t="s">
        <v>3385</v>
      </c>
      <c r="G59" s="1134" t="s">
        <v>3698</v>
      </c>
      <c r="H59" s="1135"/>
      <c r="I59" s="641" t="s">
        <v>3213</v>
      </c>
      <c r="L59" s="642">
        <v>22</v>
      </c>
      <c r="M59" s="648" t="s">
        <v>4922</v>
      </c>
      <c r="N59" s="648"/>
      <c r="O59" s="649">
        <v>29000</v>
      </c>
    </row>
    <row r="60" spans="2:15">
      <c r="F60" s="642">
        <v>1</v>
      </c>
      <c r="G60" s="1140" t="s">
        <v>4976</v>
      </c>
      <c r="H60" s="1141"/>
      <c r="I60" s="643">
        <v>3094271</v>
      </c>
      <c r="L60" s="642">
        <v>23</v>
      </c>
      <c r="M60" s="648" t="s">
        <v>4923</v>
      </c>
      <c r="N60" s="648"/>
      <c r="O60" s="649">
        <v>200000</v>
      </c>
    </row>
    <row r="61" spans="2:15" ht="15">
      <c r="F61" s="1121" t="s">
        <v>4493</v>
      </c>
      <c r="G61" s="1121"/>
      <c r="H61" s="1121"/>
      <c r="I61" s="644">
        <f>SUM(I60:I60)</f>
        <v>3094271</v>
      </c>
      <c r="L61" s="642">
        <v>24</v>
      </c>
      <c r="M61" s="648" t="s">
        <v>4924</v>
      </c>
      <c r="N61" s="648"/>
      <c r="O61" s="649">
        <v>300000</v>
      </c>
    </row>
    <row r="62" spans="2:15">
      <c r="L62" s="642">
        <v>25</v>
      </c>
      <c r="M62" s="648" t="s">
        <v>4925</v>
      </c>
      <c r="N62" s="648"/>
      <c r="O62" s="649">
        <v>170500</v>
      </c>
    </row>
    <row r="63" spans="2:15">
      <c r="L63" s="642">
        <v>26</v>
      </c>
      <c r="M63" s="648" t="s">
        <v>4926</v>
      </c>
      <c r="N63" s="648"/>
      <c r="O63" s="649">
        <v>436788</v>
      </c>
    </row>
    <row r="64" spans="2:15">
      <c r="L64" s="642">
        <v>27</v>
      </c>
      <c r="M64" s="648" t="s">
        <v>4927</v>
      </c>
      <c r="N64" s="648"/>
      <c r="O64" s="649">
        <v>101000</v>
      </c>
    </row>
    <row r="65" spans="12:15">
      <c r="L65" s="642">
        <v>28</v>
      </c>
      <c r="M65" s="648" t="s">
        <v>4928</v>
      </c>
      <c r="N65" s="648"/>
      <c r="O65" s="649">
        <v>23500</v>
      </c>
    </row>
    <row r="66" spans="12:15">
      <c r="L66" s="642">
        <v>29</v>
      </c>
      <c r="M66" s="648" t="s">
        <v>4929</v>
      </c>
      <c r="N66" s="648"/>
      <c r="O66" s="649">
        <v>700000</v>
      </c>
    </row>
    <row r="67" spans="12:15">
      <c r="L67" s="642">
        <v>30</v>
      </c>
      <c r="M67" s="648" t="s">
        <v>4930</v>
      </c>
      <c r="N67" s="648"/>
      <c r="O67" s="649">
        <v>195151</v>
      </c>
    </row>
    <row r="68" spans="12:15">
      <c r="L68" s="642">
        <v>31</v>
      </c>
      <c r="M68" s="648" t="s">
        <v>4931</v>
      </c>
      <c r="N68" s="648"/>
      <c r="O68" s="649">
        <v>106000</v>
      </c>
    </row>
    <row r="69" spans="12:15">
      <c r="L69" s="642">
        <v>32</v>
      </c>
      <c r="M69" s="648" t="s">
        <v>4932</v>
      </c>
      <c r="N69" s="648"/>
      <c r="O69" s="649">
        <v>100000</v>
      </c>
    </row>
    <row r="70" spans="12:15" ht="15">
      <c r="L70" s="1121" t="s">
        <v>4493</v>
      </c>
      <c r="M70" s="1121"/>
      <c r="N70" s="1121"/>
      <c r="O70" s="644">
        <f>SUM(O38:O69)</f>
        <v>12484490</v>
      </c>
    </row>
    <row r="72" spans="12:15" ht="15">
      <c r="L72" s="1120" t="s">
        <v>4933</v>
      </c>
      <c r="M72" s="1120"/>
      <c r="N72" s="1120"/>
      <c r="O72" s="1120"/>
    </row>
    <row r="73" spans="12:15">
      <c r="L73" s="642"/>
      <c r="M73" s="646" t="s">
        <v>4739</v>
      </c>
      <c r="N73" s="646" t="s">
        <v>4512</v>
      </c>
      <c r="O73" s="647" t="s">
        <v>3551</v>
      </c>
    </row>
    <row r="74" spans="12:15">
      <c r="L74" s="642">
        <v>1</v>
      </c>
      <c r="M74" s="648" t="s">
        <v>4934</v>
      </c>
      <c r="N74" s="648"/>
      <c r="O74" s="649">
        <v>2950000</v>
      </c>
    </row>
    <row r="75" spans="12:15" ht="15">
      <c r="L75" s="1121" t="s">
        <v>4493</v>
      </c>
      <c r="M75" s="1121"/>
      <c r="N75" s="1121"/>
      <c r="O75" s="644">
        <f>O74</f>
        <v>2950000</v>
      </c>
    </row>
    <row r="77" spans="12:15" ht="15">
      <c r="L77" s="1120" t="s">
        <v>4935</v>
      </c>
      <c r="M77" s="1120"/>
      <c r="N77" s="1120"/>
      <c r="O77" s="1120"/>
    </row>
    <row r="78" spans="12:15">
      <c r="L78" s="642"/>
      <c r="M78" s="646" t="s">
        <v>4739</v>
      </c>
      <c r="N78" s="646" t="s">
        <v>4512</v>
      </c>
      <c r="O78" s="647" t="s">
        <v>3551</v>
      </c>
    </row>
    <row r="79" spans="12:15">
      <c r="L79" s="642">
        <v>1</v>
      </c>
      <c r="M79" s="648" t="s">
        <v>4936</v>
      </c>
      <c r="N79" s="648"/>
      <c r="O79" s="649">
        <v>723000</v>
      </c>
    </row>
    <row r="80" spans="12:15">
      <c r="L80" s="642">
        <v>2</v>
      </c>
      <c r="M80" s="648" t="s">
        <v>4937</v>
      </c>
      <c r="N80" s="648"/>
      <c r="O80" s="649">
        <v>176150</v>
      </c>
    </row>
    <row r="81" spans="12:15">
      <c r="L81" s="642">
        <v>3</v>
      </c>
      <c r="M81" s="648" t="s">
        <v>4938</v>
      </c>
      <c r="N81" s="648"/>
      <c r="O81" s="649">
        <v>116950</v>
      </c>
    </row>
    <row r="82" spans="12:15">
      <c r="L82" s="642">
        <v>4</v>
      </c>
      <c r="M82" s="648" t="s">
        <v>4939</v>
      </c>
      <c r="N82" s="648"/>
      <c r="O82" s="649">
        <v>35600</v>
      </c>
    </row>
    <row r="83" spans="12:15">
      <c r="L83" s="642">
        <v>5</v>
      </c>
      <c r="M83" s="648" t="s">
        <v>4940</v>
      </c>
      <c r="N83" s="648"/>
      <c r="O83" s="649">
        <v>36000</v>
      </c>
    </row>
    <row r="84" spans="12:15">
      <c r="L84" s="642">
        <v>6</v>
      </c>
      <c r="M84" s="648" t="s">
        <v>4941</v>
      </c>
      <c r="N84" s="648"/>
      <c r="O84" s="649">
        <v>80115</v>
      </c>
    </row>
    <row r="85" spans="12:15">
      <c r="L85" s="642">
        <v>7</v>
      </c>
      <c r="M85" s="648" t="s">
        <v>4942</v>
      </c>
      <c r="N85" s="648"/>
      <c r="O85" s="649">
        <v>32800</v>
      </c>
    </row>
    <row r="86" spans="12:15">
      <c r="L86" s="642">
        <v>8</v>
      </c>
      <c r="M86" s="648" t="s">
        <v>4943</v>
      </c>
      <c r="N86" s="648"/>
      <c r="O86" s="649">
        <v>44100</v>
      </c>
    </row>
    <row r="87" spans="12:15">
      <c r="L87" s="642">
        <v>9</v>
      </c>
      <c r="M87" s="648" t="s">
        <v>4944</v>
      </c>
      <c r="N87" s="648"/>
      <c r="O87" s="649">
        <v>18600</v>
      </c>
    </row>
    <row r="88" spans="12:15">
      <c r="L88" s="642">
        <v>10</v>
      </c>
      <c r="M88" s="648" t="s">
        <v>4945</v>
      </c>
      <c r="N88" s="648"/>
      <c r="O88" s="649">
        <v>34999</v>
      </c>
    </row>
    <row r="89" spans="12:15">
      <c r="L89" s="642">
        <v>11</v>
      </c>
      <c r="M89" s="648" t="s">
        <v>4946</v>
      </c>
      <c r="N89" s="648"/>
      <c r="O89" s="649">
        <v>34500</v>
      </c>
    </row>
    <row r="90" spans="12:15">
      <c r="L90" s="642">
        <v>12</v>
      </c>
      <c r="M90" s="648" t="s">
        <v>4947</v>
      </c>
      <c r="N90" s="648"/>
      <c r="O90" s="649">
        <v>49000</v>
      </c>
    </row>
    <row r="91" spans="12:15">
      <c r="L91" s="642">
        <v>13</v>
      </c>
      <c r="M91" s="648" t="s">
        <v>4948</v>
      </c>
      <c r="N91" s="648"/>
      <c r="O91" s="649">
        <v>292612</v>
      </c>
    </row>
    <row r="92" spans="12:15">
      <c r="L92" s="642">
        <v>14</v>
      </c>
      <c r="M92" s="648" t="s">
        <v>4949</v>
      </c>
      <c r="N92" s="648"/>
      <c r="O92" s="649">
        <v>625000</v>
      </c>
    </row>
    <row r="93" spans="12:15">
      <c r="L93" s="642">
        <v>15</v>
      </c>
      <c r="M93" s="648" t="s">
        <v>4950</v>
      </c>
      <c r="N93" s="648"/>
      <c r="O93" s="649">
        <v>29800</v>
      </c>
    </row>
    <row r="94" spans="12:15">
      <c r="L94" s="642">
        <v>16</v>
      </c>
      <c r="M94" s="648" t="s">
        <v>4951</v>
      </c>
      <c r="N94" s="648"/>
      <c r="O94" s="649">
        <v>32708</v>
      </c>
    </row>
    <row r="95" spans="12:15">
      <c r="L95" s="642">
        <v>17</v>
      </c>
      <c r="M95" s="648" t="s">
        <v>4952</v>
      </c>
      <c r="N95" s="648"/>
      <c r="O95" s="649">
        <v>724240</v>
      </c>
    </row>
    <row r="96" spans="12:15">
      <c r="L96" s="642">
        <v>18</v>
      </c>
      <c r="M96" s="648" t="s">
        <v>4953</v>
      </c>
      <c r="N96" s="648"/>
      <c r="O96" s="649">
        <v>50051</v>
      </c>
    </row>
    <row r="97" spans="12:15">
      <c r="L97" s="642">
        <v>19</v>
      </c>
      <c r="M97" s="648" t="s">
        <v>4954</v>
      </c>
      <c r="N97" s="648"/>
      <c r="O97" s="649">
        <v>26343</v>
      </c>
    </row>
    <row r="98" spans="12:15">
      <c r="L98" s="642">
        <v>20</v>
      </c>
      <c r="M98" s="648" t="s">
        <v>4955</v>
      </c>
      <c r="N98" s="648"/>
      <c r="O98" s="649">
        <v>24500</v>
      </c>
    </row>
    <row r="99" spans="12:15">
      <c r="L99" s="642">
        <v>21</v>
      </c>
      <c r="M99" s="648" t="s">
        <v>4956</v>
      </c>
      <c r="N99" s="648"/>
      <c r="O99" s="649">
        <v>58000</v>
      </c>
    </row>
    <row r="100" spans="12:15">
      <c r="L100" s="642">
        <v>22</v>
      </c>
      <c r="M100" s="648" t="s">
        <v>4957</v>
      </c>
      <c r="N100" s="648"/>
      <c r="O100" s="649">
        <v>66940</v>
      </c>
    </row>
    <row r="101" spans="12:15">
      <c r="L101" s="642">
        <v>23</v>
      </c>
      <c r="M101" s="648" t="s">
        <v>4958</v>
      </c>
      <c r="N101" s="648"/>
      <c r="O101" s="649">
        <v>32924</v>
      </c>
    </row>
    <row r="102" spans="12:15">
      <c r="L102" s="642">
        <v>24</v>
      </c>
      <c r="M102" s="648" t="s">
        <v>4959</v>
      </c>
      <c r="N102" s="648"/>
      <c r="O102" s="649">
        <v>34106</v>
      </c>
    </row>
    <row r="103" spans="12:15">
      <c r="L103" s="642">
        <v>25</v>
      </c>
      <c r="M103" s="648" t="s">
        <v>4960</v>
      </c>
      <c r="N103" s="648"/>
      <c r="O103" s="649">
        <v>281000</v>
      </c>
    </row>
    <row r="104" spans="12:15">
      <c r="L104" s="642">
        <v>26</v>
      </c>
      <c r="M104" s="648" t="s">
        <v>4961</v>
      </c>
      <c r="N104" s="648"/>
      <c r="O104" s="649">
        <v>14360</v>
      </c>
    </row>
    <row r="105" spans="12:15">
      <c r="L105" s="642">
        <v>27</v>
      </c>
      <c r="M105" s="648" t="s">
        <v>4962</v>
      </c>
      <c r="N105" s="648"/>
      <c r="O105" s="649">
        <v>115486</v>
      </c>
    </row>
    <row r="106" spans="12:15">
      <c r="L106" s="642">
        <v>28</v>
      </c>
      <c r="M106" s="648" t="s">
        <v>4963</v>
      </c>
      <c r="N106" s="648"/>
      <c r="O106" s="649">
        <v>50500</v>
      </c>
    </row>
    <row r="107" spans="12:15">
      <c r="L107" s="642">
        <v>29</v>
      </c>
      <c r="M107" s="648" t="s">
        <v>4920</v>
      </c>
      <c r="N107" s="648"/>
      <c r="O107" s="649">
        <v>65000</v>
      </c>
    </row>
    <row r="108" spans="12:15">
      <c r="L108" s="642">
        <v>30</v>
      </c>
      <c r="M108" s="648" t="s">
        <v>4964</v>
      </c>
      <c r="N108" s="648"/>
      <c r="O108" s="649">
        <v>502000</v>
      </c>
    </row>
    <row r="109" spans="12:15">
      <c r="L109" s="642">
        <v>31</v>
      </c>
      <c r="M109" s="648" t="s">
        <v>4965</v>
      </c>
      <c r="N109" s="648"/>
      <c r="O109" s="649">
        <v>100000</v>
      </c>
    </row>
    <row r="110" spans="12:15">
      <c r="L110" s="642">
        <v>32</v>
      </c>
      <c r="M110" s="648" t="s">
        <v>4966</v>
      </c>
      <c r="N110" s="648"/>
      <c r="O110" s="649">
        <v>100000</v>
      </c>
    </row>
    <row r="111" spans="12:15">
      <c r="L111" s="642">
        <v>33</v>
      </c>
      <c r="M111" s="648" t="s">
        <v>4967</v>
      </c>
      <c r="N111" s="648"/>
      <c r="O111" s="649">
        <v>115500</v>
      </c>
    </row>
    <row r="112" spans="12:15">
      <c r="L112" s="642">
        <v>34</v>
      </c>
      <c r="M112" s="648" t="s">
        <v>4923</v>
      </c>
      <c r="N112" s="648"/>
      <c r="O112" s="649">
        <v>200000</v>
      </c>
    </row>
    <row r="113" spans="12:15">
      <c r="L113" s="642">
        <v>35</v>
      </c>
      <c r="M113" s="648" t="s">
        <v>4968</v>
      </c>
      <c r="N113" s="648"/>
      <c r="O113" s="649">
        <v>32750</v>
      </c>
    </row>
    <row r="114" spans="12:15">
      <c r="L114" s="642">
        <v>36</v>
      </c>
      <c r="M114" s="648" t="s">
        <v>4969</v>
      </c>
      <c r="N114" s="648"/>
      <c r="O114" s="649">
        <v>186000</v>
      </c>
    </row>
    <row r="115" spans="12:15">
      <c r="L115" s="642">
        <v>37</v>
      </c>
      <c r="M115" s="648" t="s">
        <v>4970</v>
      </c>
      <c r="N115" s="648"/>
      <c r="O115" s="649">
        <v>200000</v>
      </c>
    </row>
    <row r="116" spans="12:15">
      <c r="L116" s="642">
        <v>38</v>
      </c>
      <c r="M116" s="648" t="s">
        <v>4971</v>
      </c>
      <c r="N116" s="648"/>
      <c r="O116" s="649">
        <v>126000</v>
      </c>
    </row>
    <row r="117" spans="12:15">
      <c r="L117" s="642">
        <v>39</v>
      </c>
      <c r="M117" s="648" t="s">
        <v>4972</v>
      </c>
      <c r="N117" s="648"/>
      <c r="O117" s="649">
        <v>19500</v>
      </c>
    </row>
    <row r="118" spans="12:15">
      <c r="L118" s="642">
        <v>40</v>
      </c>
      <c r="M118" s="648" t="s">
        <v>4973</v>
      </c>
      <c r="N118" s="648"/>
      <c r="O118" s="649">
        <v>300000</v>
      </c>
    </row>
    <row r="119" spans="12:15">
      <c r="L119" s="642">
        <v>41</v>
      </c>
      <c r="M119" s="648" t="s">
        <v>4974</v>
      </c>
      <c r="N119" s="648"/>
      <c r="O119" s="649">
        <v>243173</v>
      </c>
    </row>
    <row r="120" spans="12:15">
      <c r="L120" s="642">
        <v>42</v>
      </c>
      <c r="M120" s="648" t="s">
        <v>4964</v>
      </c>
      <c r="N120" s="648"/>
      <c r="O120" s="649">
        <v>493000</v>
      </c>
    </row>
    <row r="121" spans="12:15" ht="15">
      <c r="L121" s="1121" t="s">
        <v>4493</v>
      </c>
      <c r="M121" s="1121"/>
      <c r="N121" s="1121"/>
      <c r="O121" s="644">
        <f>SUM(O79:O120)</f>
        <v>6523307</v>
      </c>
    </row>
  </sheetData>
  <mergeCells count="23">
    <mergeCell ref="L121:N121"/>
    <mergeCell ref="F40:H40"/>
    <mergeCell ref="F43:I43"/>
    <mergeCell ref="F49:G49"/>
    <mergeCell ref="F52:I52"/>
    <mergeCell ref="F55:G55"/>
    <mergeCell ref="L70:N70"/>
    <mergeCell ref="L72:O72"/>
    <mergeCell ref="B2:C2"/>
    <mergeCell ref="F2:I2"/>
    <mergeCell ref="L2:Q2"/>
    <mergeCell ref="B3:C3"/>
    <mergeCell ref="B4:C4"/>
    <mergeCell ref="F30:H30"/>
    <mergeCell ref="F33:I33"/>
    <mergeCell ref="L75:N75"/>
    <mergeCell ref="L77:O77"/>
    <mergeCell ref="L33:N33"/>
    <mergeCell ref="F58:I58"/>
    <mergeCell ref="F61:H61"/>
    <mergeCell ref="G59:H59"/>
    <mergeCell ref="G60:H60"/>
    <mergeCell ref="L36:O36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31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FDFD-49C9-4881-822F-2F1806A581C9}">
  <sheetPr>
    <pageSetUpPr fitToPage="1"/>
  </sheetPr>
  <dimension ref="A1:N65"/>
  <sheetViews>
    <sheetView topLeftCell="A19" zoomScaleNormal="100" workbookViewId="0">
      <selection activeCell="C39" sqref="C39"/>
    </sheetView>
  </sheetViews>
  <sheetFormatPr defaultColWidth="9" defaultRowHeight="14.5"/>
  <cols>
    <col min="1" max="1" width="3.25" style="628" customWidth="1"/>
    <col min="2" max="2" width="54.33203125" style="629" customWidth="1"/>
    <col min="3" max="3" width="27.33203125" style="630" customWidth="1"/>
    <col min="4" max="4" width="1.58203125" style="628" customWidth="1"/>
    <col min="5" max="5" width="4.25" style="628" customWidth="1"/>
    <col min="6" max="6" width="15.83203125" style="628" customWidth="1"/>
    <col min="7" max="7" width="16.08203125" style="628" customWidth="1"/>
    <col min="8" max="8" width="13.5" style="628" customWidth="1"/>
    <col min="9" max="9" width="2" style="628" customWidth="1"/>
    <col min="10" max="10" width="4.75" customWidth="1"/>
    <col min="11" max="11" width="13.5" style="737" customWidth="1"/>
    <col min="12" max="12" width="40" customWidth="1"/>
    <col min="13" max="13" width="15.83203125" customWidth="1"/>
    <col min="14" max="14" width="10.33203125" bestFit="1" customWidth="1"/>
  </cols>
  <sheetData>
    <row r="1" spans="1:14">
      <c r="A1" s="628" t="s">
        <v>4989</v>
      </c>
      <c r="H1" s="628" t="s">
        <v>543</v>
      </c>
    </row>
    <row r="2" spans="1:14" ht="18.5">
      <c r="B2" s="1136" t="s">
        <v>4028</v>
      </c>
      <c r="C2" s="1137"/>
      <c r="E2" s="1142" t="s">
        <v>4492</v>
      </c>
      <c r="F2" s="1142"/>
      <c r="G2" s="1142"/>
      <c r="H2" s="1142"/>
      <c r="J2" s="1120" t="s">
        <v>5054</v>
      </c>
      <c r="K2" s="1120"/>
      <c r="L2" s="1120"/>
      <c r="M2" s="1120"/>
    </row>
    <row r="3" spans="1:14" ht="16">
      <c r="B3" s="1138" t="s">
        <v>4029</v>
      </c>
      <c r="C3" s="1139"/>
      <c r="D3" s="631"/>
      <c r="E3" s="641" t="s">
        <v>3385</v>
      </c>
      <c r="F3" s="641" t="s">
        <v>8</v>
      </c>
      <c r="G3" s="641" t="s">
        <v>3543</v>
      </c>
      <c r="H3" s="641" t="s">
        <v>3552</v>
      </c>
      <c r="J3" s="751" t="s">
        <v>1</v>
      </c>
      <c r="K3" s="753" t="s">
        <v>3858</v>
      </c>
      <c r="L3" s="752" t="s">
        <v>4739</v>
      </c>
      <c r="M3" s="752" t="s">
        <v>3551</v>
      </c>
    </row>
    <row r="4" spans="1:14" ht="16">
      <c r="B4" s="1138" t="s">
        <v>4991</v>
      </c>
      <c r="C4" s="1139"/>
      <c r="D4" s="631"/>
      <c r="E4" s="642">
        <v>1</v>
      </c>
      <c r="F4" s="642" t="s">
        <v>4825</v>
      </c>
      <c r="G4" s="642" t="s">
        <v>4580</v>
      </c>
      <c r="H4" s="643">
        <v>3926458</v>
      </c>
      <c r="J4" s="642">
        <v>1</v>
      </c>
      <c r="K4" s="754">
        <v>45601</v>
      </c>
      <c r="L4" s="648" t="s">
        <v>5053</v>
      </c>
      <c r="M4" s="649">
        <v>2226000</v>
      </c>
    </row>
    <row r="5" spans="1:14" ht="15">
      <c r="B5" s="632"/>
      <c r="C5" s="633"/>
      <c r="E5" s="642">
        <v>2</v>
      </c>
      <c r="F5" s="642" t="s">
        <v>4826</v>
      </c>
      <c r="G5" s="642" t="s">
        <v>4580</v>
      </c>
      <c r="H5" s="643">
        <v>1083150</v>
      </c>
      <c r="J5" s="1121" t="s">
        <v>4493</v>
      </c>
      <c r="K5" s="1121"/>
      <c r="L5" s="1121"/>
      <c r="M5" s="644">
        <f>SUM(M4:M4)</f>
        <v>2226000</v>
      </c>
      <c r="N5" s="755">
        <v>45601</v>
      </c>
    </row>
    <row r="6" spans="1:14">
      <c r="B6" s="634" t="s">
        <v>3455</v>
      </c>
      <c r="C6" s="634" t="s">
        <v>3857</v>
      </c>
      <c r="E6" s="642">
        <v>3</v>
      </c>
      <c r="F6" s="642" t="s">
        <v>4827</v>
      </c>
      <c r="G6" s="642" t="s">
        <v>4580</v>
      </c>
      <c r="H6" s="643">
        <v>1871050</v>
      </c>
    </row>
    <row r="7" spans="1:14" ht="15">
      <c r="B7" s="635" t="s">
        <v>4031</v>
      </c>
      <c r="C7" s="636"/>
      <c r="E7" s="642">
        <v>4</v>
      </c>
      <c r="F7" s="642" t="s">
        <v>4828</v>
      </c>
      <c r="G7" s="642" t="s">
        <v>4580</v>
      </c>
      <c r="H7" s="643">
        <v>3671050</v>
      </c>
      <c r="J7" s="1120" t="s">
        <v>5027</v>
      </c>
      <c r="K7" s="1120"/>
      <c r="L7" s="1120"/>
      <c r="M7" s="1120"/>
    </row>
    <row r="8" spans="1:14">
      <c r="B8" s="632" t="s">
        <v>4032</v>
      </c>
      <c r="C8" s="636">
        <f>'PETTY CASH'!L30</f>
        <v>4487300</v>
      </c>
      <c r="E8" s="642">
        <v>5</v>
      </c>
      <c r="F8" s="642" t="s">
        <v>4829</v>
      </c>
      <c r="G8" s="642" t="s">
        <v>4580</v>
      </c>
      <c r="H8" s="643">
        <v>511000</v>
      </c>
      <c r="J8" s="751" t="s">
        <v>1</v>
      </c>
      <c r="K8" s="753" t="s">
        <v>3858</v>
      </c>
      <c r="L8" s="752" t="s">
        <v>4739</v>
      </c>
      <c r="M8" s="752" t="s">
        <v>3551</v>
      </c>
    </row>
    <row r="9" spans="1:14">
      <c r="B9" s="632" t="s">
        <v>4033</v>
      </c>
      <c r="C9" s="636">
        <f>'LR OKT 2024'!C49</f>
        <v>170758892.81</v>
      </c>
      <c r="E9" s="642">
        <v>6</v>
      </c>
      <c r="F9" s="642" t="s">
        <v>4830</v>
      </c>
      <c r="G9" s="642" t="s">
        <v>4831</v>
      </c>
      <c r="H9" s="643">
        <v>587500</v>
      </c>
      <c r="J9" s="642">
        <v>1</v>
      </c>
      <c r="K9" s="754">
        <v>45607</v>
      </c>
      <c r="L9" s="648" t="s">
        <v>5028</v>
      </c>
      <c r="M9" s="649">
        <v>175000</v>
      </c>
    </row>
    <row r="10" spans="1:14">
      <c r="B10" s="632" t="s">
        <v>4489</v>
      </c>
      <c r="C10" s="636">
        <f>'LR OKT 2024'!C50</f>
        <v>151040890</v>
      </c>
      <c r="E10" s="642">
        <v>7</v>
      </c>
      <c r="F10" s="642" t="s">
        <v>4832</v>
      </c>
      <c r="G10" s="642" t="s">
        <v>4831</v>
      </c>
      <c r="H10" s="643">
        <v>510000</v>
      </c>
      <c r="J10" s="642">
        <v>2</v>
      </c>
      <c r="K10" s="754">
        <v>45607</v>
      </c>
      <c r="L10" s="648" t="s">
        <v>5029</v>
      </c>
      <c r="M10" s="649">
        <v>250000</v>
      </c>
    </row>
    <row r="11" spans="1:14">
      <c r="B11" s="635" t="s">
        <v>4034</v>
      </c>
      <c r="C11" s="637">
        <f>SUM(C8:C10)</f>
        <v>326287082.81</v>
      </c>
      <c r="E11" s="642">
        <v>8</v>
      </c>
      <c r="F11" s="642" t="s">
        <v>4833</v>
      </c>
      <c r="G11" s="642" t="s">
        <v>5056</v>
      </c>
      <c r="H11" s="643">
        <v>211000</v>
      </c>
      <c r="J11" s="642">
        <v>3</v>
      </c>
      <c r="K11" s="754">
        <v>45607</v>
      </c>
      <c r="L11" s="648" t="s">
        <v>5030</v>
      </c>
      <c r="M11" s="649">
        <v>168000</v>
      </c>
    </row>
    <row r="12" spans="1:14">
      <c r="B12" s="632"/>
      <c r="C12" s="636"/>
      <c r="E12" s="642">
        <v>9</v>
      </c>
      <c r="F12" s="642" t="s">
        <v>4834</v>
      </c>
      <c r="G12" s="642" t="s">
        <v>5057</v>
      </c>
      <c r="H12" s="643">
        <v>6982000</v>
      </c>
      <c r="J12" s="642">
        <v>4</v>
      </c>
      <c r="K12" s="738" t="s">
        <v>40</v>
      </c>
      <c r="L12" s="648" t="s">
        <v>5031</v>
      </c>
      <c r="M12" s="649">
        <v>109000</v>
      </c>
    </row>
    <row r="13" spans="1:14">
      <c r="B13" s="635" t="s">
        <v>4035</v>
      </c>
      <c r="C13" s="636"/>
      <c r="E13" s="642">
        <v>10</v>
      </c>
      <c r="F13" s="642" t="s">
        <v>4835</v>
      </c>
      <c r="G13" s="642" t="s">
        <v>4982</v>
      </c>
      <c r="H13" s="643">
        <v>1872100</v>
      </c>
      <c r="J13" s="642">
        <v>5</v>
      </c>
      <c r="K13" s="754">
        <v>45610</v>
      </c>
      <c r="L13" s="648" t="s">
        <v>5032</v>
      </c>
      <c r="M13" s="649">
        <v>135000</v>
      </c>
      <c r="N13" s="755">
        <v>45611</v>
      </c>
    </row>
    <row r="14" spans="1:14" ht="15">
      <c r="B14" s="632" t="s">
        <v>4992</v>
      </c>
      <c r="C14" s="636">
        <f>H16</f>
        <v>26181808</v>
      </c>
      <c r="E14" s="642">
        <v>11</v>
      </c>
      <c r="F14" s="642" t="s">
        <v>4836</v>
      </c>
      <c r="G14" s="642" t="s">
        <v>5056</v>
      </c>
      <c r="H14" s="643">
        <v>497000</v>
      </c>
      <c r="J14" s="1121" t="s">
        <v>4493</v>
      </c>
      <c r="K14" s="1121"/>
      <c r="L14" s="1121"/>
      <c r="M14" s="644">
        <f>SUM(M9:M13)</f>
        <v>837000</v>
      </c>
    </row>
    <row r="15" spans="1:14">
      <c r="B15" s="632" t="s">
        <v>4498</v>
      </c>
      <c r="C15" s="636">
        <f>H35</f>
        <v>88655.03</v>
      </c>
      <c r="E15" s="642">
        <v>12</v>
      </c>
      <c r="F15" s="642" t="s">
        <v>4837</v>
      </c>
      <c r="G15" s="642" t="s">
        <v>4871</v>
      </c>
      <c r="H15" s="643">
        <v>4459500</v>
      </c>
    </row>
    <row r="16" spans="1:14" ht="15">
      <c r="B16" s="632" t="s">
        <v>4499</v>
      </c>
      <c r="C16" s="636">
        <v>0</v>
      </c>
      <c r="E16" s="1121" t="s">
        <v>4493</v>
      </c>
      <c r="F16" s="1121"/>
      <c r="G16" s="1121"/>
      <c r="H16" s="644">
        <f>SUM(H4:H15)</f>
        <v>26181808</v>
      </c>
      <c r="J16" s="1120" t="s">
        <v>5036</v>
      </c>
      <c r="K16" s="1120"/>
      <c r="L16" s="1120"/>
      <c r="M16" s="1120"/>
    </row>
    <row r="17" spans="2:14">
      <c r="B17" s="635" t="s">
        <v>4038</v>
      </c>
      <c r="C17" s="640">
        <f>SUM(C14:C15)</f>
        <v>26270463.030000001</v>
      </c>
      <c r="J17" s="751" t="s">
        <v>1</v>
      </c>
      <c r="K17" s="753" t="s">
        <v>3858</v>
      </c>
      <c r="L17" s="752" t="s">
        <v>4739</v>
      </c>
      <c r="M17" s="752" t="s">
        <v>3551</v>
      </c>
    </row>
    <row r="18" spans="2:14">
      <c r="B18" s="632"/>
      <c r="C18" s="636"/>
      <c r="J18" s="642">
        <v>1</v>
      </c>
      <c r="K18" s="754">
        <v>45608</v>
      </c>
      <c r="L18" s="648" t="s">
        <v>5034</v>
      </c>
      <c r="M18" s="649">
        <v>250000</v>
      </c>
      <c r="N18" s="755">
        <v>45611</v>
      </c>
    </row>
    <row r="19" spans="2:14" ht="15">
      <c r="B19" s="635" t="s">
        <v>4039</v>
      </c>
      <c r="C19" s="636"/>
      <c r="E19" s="1120" t="s">
        <v>5005</v>
      </c>
      <c r="F19" s="1120"/>
      <c r="G19" s="1120"/>
      <c r="H19" s="1120"/>
      <c r="J19" s="642">
        <v>2</v>
      </c>
      <c r="K19" s="754">
        <v>45607</v>
      </c>
      <c r="L19" s="648" t="s">
        <v>5035</v>
      </c>
      <c r="M19" s="649">
        <v>2265680</v>
      </c>
    </row>
    <row r="20" spans="2:14" ht="15">
      <c r="B20" s="632" t="s">
        <v>4333</v>
      </c>
      <c r="C20" s="636"/>
      <c r="E20" s="641" t="s">
        <v>3385</v>
      </c>
      <c r="F20" s="641" t="s">
        <v>4262</v>
      </c>
      <c r="G20" s="641" t="s">
        <v>4502</v>
      </c>
      <c r="H20" s="641" t="s">
        <v>3213</v>
      </c>
      <c r="J20" s="1121" t="s">
        <v>4493</v>
      </c>
      <c r="K20" s="1121"/>
      <c r="L20" s="1121"/>
      <c r="M20" s="644">
        <f>SUM(M18:M19)</f>
        <v>2515680</v>
      </c>
    </row>
    <row r="21" spans="2:14">
      <c r="B21" s="632"/>
      <c r="C21" s="636"/>
      <c r="E21" s="642">
        <v>1</v>
      </c>
      <c r="F21" s="642" t="s">
        <v>4503</v>
      </c>
      <c r="G21" s="642"/>
      <c r="H21" s="643">
        <f>'PETTY CASH'!K28</f>
        <v>2217000</v>
      </c>
    </row>
    <row r="22" spans="2:14" ht="15">
      <c r="B22" s="635" t="s">
        <v>4994</v>
      </c>
      <c r="C22" s="637"/>
      <c r="E22" s="642">
        <v>2</v>
      </c>
      <c r="F22" s="642" t="s">
        <v>3801</v>
      </c>
      <c r="G22" s="642"/>
      <c r="H22" s="643">
        <v>5000000</v>
      </c>
      <c r="J22" s="1120" t="s">
        <v>5033</v>
      </c>
      <c r="K22" s="1120"/>
      <c r="L22" s="1120"/>
      <c r="M22" s="1120"/>
    </row>
    <row r="23" spans="2:14">
      <c r="B23" s="635" t="s">
        <v>4995</v>
      </c>
      <c r="C23" s="637"/>
      <c r="E23" s="642">
        <v>3</v>
      </c>
      <c r="F23" s="642" t="s">
        <v>4510</v>
      </c>
      <c r="G23" s="642"/>
      <c r="H23" s="643">
        <v>4925000</v>
      </c>
      <c r="J23" s="751" t="s">
        <v>1</v>
      </c>
      <c r="K23" s="753" t="s">
        <v>3858</v>
      </c>
      <c r="L23" s="752" t="s">
        <v>4739</v>
      </c>
      <c r="M23" s="752" t="s">
        <v>3551</v>
      </c>
    </row>
    <row r="24" spans="2:14">
      <c r="B24" s="635" t="s">
        <v>4993</v>
      </c>
      <c r="C24" s="637"/>
      <c r="E24" s="642">
        <v>4</v>
      </c>
      <c r="F24" s="642" t="s">
        <v>4511</v>
      </c>
      <c r="G24" s="642"/>
      <c r="H24" s="643">
        <v>3425000</v>
      </c>
      <c r="J24" s="642">
        <v>1</v>
      </c>
      <c r="K24" s="754">
        <v>45611</v>
      </c>
      <c r="L24" s="648" t="s">
        <v>5037</v>
      </c>
      <c r="M24" s="649">
        <v>1000000</v>
      </c>
    </row>
    <row r="25" spans="2:14">
      <c r="B25" s="632"/>
      <c r="C25" s="636"/>
      <c r="E25" s="642">
        <v>5</v>
      </c>
      <c r="F25" s="642" t="s">
        <v>5051</v>
      </c>
      <c r="G25" s="642"/>
      <c r="H25" s="643">
        <v>3700000</v>
      </c>
      <c r="J25" s="642">
        <v>2</v>
      </c>
      <c r="K25" s="754" t="s">
        <v>40</v>
      </c>
      <c r="L25" s="648" t="s">
        <v>5038</v>
      </c>
      <c r="M25" s="649">
        <v>212000</v>
      </c>
    </row>
    <row r="26" spans="2:14" ht="15">
      <c r="B26" s="635" t="s">
        <v>4042</v>
      </c>
      <c r="C26" s="636"/>
      <c r="E26" s="1121" t="s">
        <v>4493</v>
      </c>
      <c r="F26" s="1121"/>
      <c r="G26" s="1121"/>
      <c r="H26" s="644">
        <f>SUM(H21:H25)</f>
        <v>19267000</v>
      </c>
      <c r="J26" s="642">
        <v>3</v>
      </c>
      <c r="K26" s="754"/>
      <c r="L26" s="648" t="s">
        <v>5039</v>
      </c>
      <c r="M26" s="649">
        <v>33670</v>
      </c>
    </row>
    <row r="27" spans="2:14">
      <c r="B27" s="632" t="s">
        <v>4043</v>
      </c>
      <c r="C27" s="636">
        <f>H26</f>
        <v>19267000</v>
      </c>
      <c r="J27" s="642">
        <v>4</v>
      </c>
      <c r="K27" s="754"/>
      <c r="L27" s="648" t="s">
        <v>5040</v>
      </c>
      <c r="M27" s="649">
        <v>37000</v>
      </c>
    </row>
    <row r="28" spans="2:14">
      <c r="B28" s="632" t="s">
        <v>4044</v>
      </c>
      <c r="C28" s="636">
        <v>0</v>
      </c>
      <c r="J28" s="642">
        <v>5</v>
      </c>
      <c r="K28" s="754"/>
      <c r="L28" s="648" t="s">
        <v>5041</v>
      </c>
      <c r="M28" s="649">
        <v>14513</v>
      </c>
    </row>
    <row r="29" spans="2:14" ht="15">
      <c r="B29" s="632" t="s">
        <v>4997</v>
      </c>
      <c r="C29" s="636">
        <v>0</v>
      </c>
      <c r="E29" s="1120" t="s">
        <v>4730</v>
      </c>
      <c r="F29" s="1120"/>
      <c r="G29" s="1120"/>
      <c r="H29" s="1120"/>
      <c r="I29" s="645"/>
      <c r="J29" s="642">
        <v>6</v>
      </c>
      <c r="K29" s="754"/>
      <c r="L29" s="648" t="s">
        <v>5042</v>
      </c>
      <c r="M29" s="649">
        <v>43200</v>
      </c>
    </row>
    <row r="30" spans="2:14">
      <c r="B30" s="632" t="s">
        <v>4996</v>
      </c>
      <c r="C30" s="636">
        <v>1447500</v>
      </c>
      <c r="E30" s="642">
        <v>1</v>
      </c>
      <c r="F30" s="646" t="s">
        <v>4732</v>
      </c>
      <c r="G30" s="646" t="s">
        <v>4733</v>
      </c>
      <c r="H30" s="699" t="s">
        <v>4734</v>
      </c>
      <c r="J30" s="642">
        <v>7</v>
      </c>
      <c r="K30" s="754"/>
      <c r="L30" s="648" t="s">
        <v>5043</v>
      </c>
      <c r="M30" s="649">
        <v>16500</v>
      </c>
    </row>
    <row r="31" spans="2:14">
      <c r="B31" s="632" t="s">
        <v>4998</v>
      </c>
      <c r="C31" s="636">
        <f>M35</f>
        <v>1014098</v>
      </c>
      <c r="E31" s="642">
        <v>2</v>
      </c>
      <c r="F31" s="648" t="s">
        <v>4563</v>
      </c>
      <c r="G31" s="697">
        <v>5500</v>
      </c>
      <c r="H31" s="697"/>
      <c r="J31" s="642">
        <v>8</v>
      </c>
      <c r="K31" s="754"/>
      <c r="L31" s="648" t="s">
        <v>5044</v>
      </c>
      <c r="M31" s="649">
        <v>38920</v>
      </c>
    </row>
    <row r="32" spans="2:14">
      <c r="B32" s="632" t="s">
        <v>4999</v>
      </c>
      <c r="C32" s="636">
        <v>441748</v>
      </c>
      <c r="E32" s="642">
        <v>3</v>
      </c>
      <c r="F32" s="648" t="s">
        <v>5055</v>
      </c>
      <c r="G32" s="697">
        <v>12500</v>
      </c>
      <c r="H32" s="697"/>
      <c r="J32" s="642">
        <v>9</v>
      </c>
      <c r="K32" s="754"/>
      <c r="L32" s="648" t="s">
        <v>5045</v>
      </c>
      <c r="M32" s="649">
        <v>3969</v>
      </c>
    </row>
    <row r="33" spans="2:14">
      <c r="B33" s="632" t="s">
        <v>4874</v>
      </c>
      <c r="C33" s="636">
        <v>104000</v>
      </c>
      <c r="E33" s="642">
        <v>4</v>
      </c>
      <c r="F33" s="648" t="s">
        <v>3883</v>
      </c>
      <c r="G33" s="697"/>
      <c r="H33" s="697">
        <v>88655.03</v>
      </c>
      <c r="J33" s="642">
        <v>10</v>
      </c>
      <c r="K33" s="754"/>
      <c r="L33" s="648" t="s">
        <v>5046</v>
      </c>
      <c r="M33" s="649">
        <v>12602900</v>
      </c>
    </row>
    <row r="34" spans="2:14">
      <c r="B34" s="632" t="s">
        <v>4049</v>
      </c>
      <c r="C34" s="636"/>
      <c r="E34" s="642">
        <v>5</v>
      </c>
      <c r="F34" s="648" t="s">
        <v>3884</v>
      </c>
      <c r="G34" s="697">
        <v>17731.009999999998</v>
      </c>
      <c r="H34" s="697"/>
      <c r="J34" s="642">
        <v>11</v>
      </c>
      <c r="K34" s="738"/>
      <c r="L34" s="648" t="s">
        <v>5047</v>
      </c>
      <c r="M34" s="649">
        <v>6877230</v>
      </c>
      <c r="N34" s="755"/>
    </row>
    <row r="35" spans="2:14" ht="15">
      <c r="B35" s="632" t="s">
        <v>5000</v>
      </c>
      <c r="C35" s="636">
        <f>M5+M18+M45</f>
        <v>3525000</v>
      </c>
      <c r="E35" s="1134" t="s">
        <v>4493</v>
      </c>
      <c r="F35" s="1135"/>
      <c r="G35" s="698">
        <f>SUM(G31:G34)</f>
        <v>35731.009999999995</v>
      </c>
      <c r="H35" s="698">
        <f>SUM(H31:H34)</f>
        <v>88655.03</v>
      </c>
      <c r="J35" s="642">
        <v>12</v>
      </c>
      <c r="K35" s="754"/>
      <c r="L35" s="648" t="s">
        <v>5048</v>
      </c>
      <c r="M35" s="649">
        <v>1014098</v>
      </c>
      <c r="N35" s="755"/>
    </row>
    <row r="36" spans="2:14" ht="15">
      <c r="B36" s="632" t="s">
        <v>5001</v>
      </c>
      <c r="C36" s="636">
        <f>M26+M27+M28+M29+M30+M31+M32</f>
        <v>187772</v>
      </c>
      <c r="J36" s="1121" t="s">
        <v>4493</v>
      </c>
      <c r="K36" s="1121"/>
      <c r="L36" s="1121"/>
      <c r="M36" s="644">
        <f>SUM(M24:M35)</f>
        <v>21894000</v>
      </c>
    </row>
    <row r="37" spans="2:14">
      <c r="B37" s="632" t="s">
        <v>4052</v>
      </c>
      <c r="C37" s="636"/>
    </row>
    <row r="38" spans="2:14" ht="15">
      <c r="B38" s="632" t="s">
        <v>5002</v>
      </c>
      <c r="C38" s="636"/>
      <c r="E38" s="1120" t="s">
        <v>4731</v>
      </c>
      <c r="F38" s="1120"/>
      <c r="G38" s="1120"/>
      <c r="H38" s="1120"/>
      <c r="J38" s="1120" t="s">
        <v>5049</v>
      </c>
      <c r="K38" s="1120"/>
      <c r="L38" s="1120"/>
      <c r="M38" s="1120"/>
    </row>
    <row r="39" spans="2:14">
      <c r="B39" s="632" t="s">
        <v>5003</v>
      </c>
      <c r="C39" s="636">
        <f>M9+M13+M25</f>
        <v>522000</v>
      </c>
      <c r="E39" s="642"/>
      <c r="F39" s="646" t="s">
        <v>4732</v>
      </c>
      <c r="G39" s="646" t="s">
        <v>4733</v>
      </c>
      <c r="H39" s="647" t="s">
        <v>4734</v>
      </c>
      <c r="J39" s="751" t="s">
        <v>1</v>
      </c>
      <c r="K39" s="753" t="s">
        <v>3858</v>
      </c>
      <c r="L39" s="752" t="s">
        <v>4739</v>
      </c>
      <c r="M39" s="752" t="s">
        <v>3551</v>
      </c>
    </row>
    <row r="40" spans="2:14">
      <c r="B40" s="632" t="s">
        <v>4496</v>
      </c>
      <c r="C40" s="636">
        <f>G35</f>
        <v>35731.009999999995</v>
      </c>
      <c r="E40" s="642">
        <v>1</v>
      </c>
      <c r="F40" s="648" t="s">
        <v>4565</v>
      </c>
      <c r="G40" s="697">
        <v>30000</v>
      </c>
      <c r="H40" s="697"/>
      <c r="J40" s="642">
        <v>1</v>
      </c>
      <c r="K40" s="754">
        <v>45618</v>
      </c>
      <c r="L40" s="648" t="s">
        <v>5026</v>
      </c>
      <c r="M40" s="649">
        <v>5000000</v>
      </c>
    </row>
    <row r="41" spans="2:14" ht="15">
      <c r="B41" s="632" t="s">
        <v>4735</v>
      </c>
      <c r="C41" s="636">
        <f>G41</f>
        <v>30000</v>
      </c>
      <c r="E41" s="1134" t="s">
        <v>4493</v>
      </c>
      <c r="F41" s="1135"/>
      <c r="G41" s="650">
        <f>SUM(G40:G40)</f>
        <v>30000</v>
      </c>
      <c r="H41" s="650">
        <f>SUM(H40:H40)</f>
        <v>0</v>
      </c>
      <c r="J41" s="1121" t="s">
        <v>4493</v>
      </c>
      <c r="K41" s="1121"/>
      <c r="L41" s="1121"/>
      <c r="M41" s="644">
        <f>SUM(M40:M40)</f>
        <v>5000000</v>
      </c>
    </row>
    <row r="42" spans="2:14">
      <c r="B42" s="632"/>
      <c r="C42" s="636"/>
    </row>
    <row r="43" spans="2:14" ht="15">
      <c r="B43" s="635" t="s">
        <v>4057</v>
      </c>
      <c r="C43" s="640">
        <f>SUM(C27:C42)</f>
        <v>26574849.010000002</v>
      </c>
      <c r="J43" s="1120" t="s">
        <v>5052</v>
      </c>
      <c r="K43" s="1120"/>
      <c r="L43" s="1120"/>
      <c r="M43" s="1120"/>
    </row>
    <row r="44" spans="2:14">
      <c r="B44" s="632"/>
      <c r="C44" s="636"/>
      <c r="F44"/>
      <c r="G44"/>
      <c r="H44"/>
      <c r="J44" s="751" t="s">
        <v>1</v>
      </c>
      <c r="K44" s="753" t="s">
        <v>3858</v>
      </c>
      <c r="L44" s="752" t="s">
        <v>4739</v>
      </c>
      <c r="M44" s="752" t="s">
        <v>3551</v>
      </c>
    </row>
    <row r="45" spans="2:14">
      <c r="B45" s="632"/>
      <c r="C45" s="636"/>
      <c r="F45"/>
      <c r="G45"/>
      <c r="H45"/>
      <c r="J45" s="642">
        <v>1</v>
      </c>
      <c r="K45" s="754">
        <v>45622</v>
      </c>
      <c r="L45" s="648" t="s">
        <v>5050</v>
      </c>
      <c r="M45" s="649">
        <v>1049000</v>
      </c>
    </row>
    <row r="46" spans="2:14" ht="15">
      <c r="B46" s="632"/>
      <c r="C46" s="636"/>
      <c r="F46"/>
      <c r="G46"/>
      <c r="H46"/>
      <c r="J46" s="1121" t="s">
        <v>4493</v>
      </c>
      <c r="K46" s="1121"/>
      <c r="L46" s="1121"/>
      <c r="M46" s="644">
        <f>SUM(M45:M45)</f>
        <v>1049000</v>
      </c>
    </row>
    <row r="47" spans="2:14">
      <c r="B47" s="635" t="s">
        <v>4058</v>
      </c>
      <c r="C47" s="637">
        <f>C17-C43</f>
        <v>-304385.98000000045</v>
      </c>
      <c r="F47"/>
      <c r="G47"/>
      <c r="H47"/>
    </row>
    <row r="48" spans="2:14">
      <c r="B48" s="638"/>
      <c r="C48" s="639"/>
      <c r="F48"/>
      <c r="G48"/>
      <c r="H48"/>
    </row>
    <row r="49" spans="2:9">
      <c r="F49"/>
      <c r="G49"/>
      <c r="H49"/>
    </row>
    <row r="50" spans="2:9">
      <c r="B50" s="681" t="s">
        <v>4549</v>
      </c>
      <c r="C50" s="682">
        <v>181919310.83000001</v>
      </c>
      <c r="F50"/>
      <c r="G50"/>
      <c r="H50"/>
    </row>
    <row r="51" spans="2:9">
      <c r="B51" s="681" t="s">
        <v>4729</v>
      </c>
      <c r="C51" s="682">
        <v>107705729</v>
      </c>
      <c r="F51"/>
      <c r="G51"/>
      <c r="H51"/>
    </row>
    <row r="53" spans="2:9">
      <c r="C53" s="696">
        <f>SUM(C50:C51)</f>
        <v>289625039.83000004</v>
      </c>
    </row>
    <row r="58" spans="2:9">
      <c r="I58"/>
    </row>
    <row r="59" spans="2:9">
      <c r="I59"/>
    </row>
    <row r="60" spans="2:9">
      <c r="I60"/>
    </row>
    <row r="61" spans="2:9">
      <c r="I61"/>
    </row>
    <row r="62" spans="2:9">
      <c r="I62"/>
    </row>
    <row r="63" spans="2:9">
      <c r="I63"/>
    </row>
    <row r="64" spans="2:9">
      <c r="I64"/>
    </row>
    <row r="65" spans="9:9">
      <c r="I65"/>
    </row>
  </sheetData>
  <mergeCells count="23">
    <mergeCell ref="J38:M38"/>
    <mergeCell ref="J41:L41"/>
    <mergeCell ref="J43:M43"/>
    <mergeCell ref="J46:L46"/>
    <mergeCell ref="J16:M16"/>
    <mergeCell ref="J20:L20"/>
    <mergeCell ref="J36:L36"/>
    <mergeCell ref="J7:M7"/>
    <mergeCell ref="J14:L14"/>
    <mergeCell ref="J2:M2"/>
    <mergeCell ref="J5:L5"/>
    <mergeCell ref="J22:M22"/>
    <mergeCell ref="E38:H38"/>
    <mergeCell ref="E41:F41"/>
    <mergeCell ref="E19:H19"/>
    <mergeCell ref="E26:G26"/>
    <mergeCell ref="E29:H29"/>
    <mergeCell ref="E35:F35"/>
    <mergeCell ref="B2:C2"/>
    <mergeCell ref="E2:H2"/>
    <mergeCell ref="B3:C3"/>
    <mergeCell ref="B4:C4"/>
    <mergeCell ref="E16:G16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37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BF05-CD5D-4DE9-A579-05193363236C}">
  <dimension ref="B1:I44"/>
  <sheetViews>
    <sheetView topLeftCell="A13" workbookViewId="0">
      <selection activeCell="F28" sqref="F28"/>
    </sheetView>
  </sheetViews>
  <sheetFormatPr defaultRowHeight="16"/>
  <cols>
    <col min="1" max="1" width="1.58203125" customWidth="1"/>
    <col min="2" max="2" width="4.83203125" style="575" customWidth="1"/>
    <col min="3" max="3" width="14.58203125" style="575" customWidth="1"/>
    <col min="4" max="4" width="11.58203125" style="575" customWidth="1"/>
    <col min="5" max="7" width="16.58203125" style="575" customWidth="1"/>
    <col min="8" max="8" width="34.5" style="575" customWidth="1"/>
    <col min="9" max="9" width="9" style="575"/>
  </cols>
  <sheetData>
    <row r="1" spans="2:9" s="757" customFormat="1" ht="36.75" customHeight="1">
      <c r="B1" s="1143" t="s">
        <v>5084</v>
      </c>
      <c r="C1" s="1143"/>
      <c r="D1" s="1143"/>
      <c r="E1" s="1143"/>
      <c r="F1" s="1143"/>
      <c r="G1" s="1143"/>
      <c r="H1" s="1143"/>
      <c r="I1" s="756"/>
    </row>
    <row r="2" spans="2:9" s="757" customFormat="1" ht="36.75" customHeight="1">
      <c r="B2" s="1143" t="s">
        <v>5085</v>
      </c>
      <c r="C2" s="1143"/>
      <c r="D2" s="1143"/>
      <c r="E2" s="1143"/>
      <c r="F2" s="1143"/>
      <c r="G2" s="1143"/>
      <c r="H2" s="1143"/>
      <c r="I2" s="756"/>
    </row>
    <row r="3" spans="2:9" s="759" customFormat="1">
      <c r="B3" s="760" t="s">
        <v>1</v>
      </c>
      <c r="C3" s="760" t="s">
        <v>5083</v>
      </c>
      <c r="D3" s="760" t="s">
        <v>5086</v>
      </c>
      <c r="E3" s="760" t="s">
        <v>5081</v>
      </c>
      <c r="F3" s="760" t="s">
        <v>5082</v>
      </c>
      <c r="G3" s="760" t="s">
        <v>5100</v>
      </c>
      <c r="H3" s="760" t="s">
        <v>3461</v>
      </c>
      <c r="I3" s="730"/>
    </row>
    <row r="4" spans="2:9">
      <c r="B4" s="761">
        <v>1</v>
      </c>
      <c r="C4" s="762" t="s">
        <v>5087</v>
      </c>
      <c r="D4" s="762">
        <v>2023</v>
      </c>
      <c r="E4" s="763" t="e">
        <f>'LR OKT 23'!C15</f>
        <v>#REF!</v>
      </c>
      <c r="F4" s="763">
        <f>'LR OKT 23'!C38</f>
        <v>12829266.98</v>
      </c>
      <c r="G4" s="763" t="e">
        <f>E4-F4</f>
        <v>#REF!</v>
      </c>
      <c r="H4" s="761"/>
    </row>
    <row r="5" spans="2:9">
      <c r="B5" s="761">
        <v>2</v>
      </c>
      <c r="C5" s="762" t="s">
        <v>5088</v>
      </c>
      <c r="D5" s="762">
        <v>2023</v>
      </c>
      <c r="E5" s="763">
        <f>'LR NOV 2023'!C15</f>
        <v>17071158.399999999</v>
      </c>
      <c r="F5" s="763">
        <f>'LR NOV 2023'!C38</f>
        <v>2307351.2799999998</v>
      </c>
      <c r="G5" s="763">
        <f t="shared" ref="G5:G16" si="0">E5-F5</f>
        <v>14763807.119999999</v>
      </c>
      <c r="H5" s="761"/>
    </row>
    <row r="6" spans="2:9">
      <c r="B6" s="761">
        <v>3</v>
      </c>
      <c r="C6" s="762" t="s">
        <v>5089</v>
      </c>
      <c r="D6" s="762">
        <v>2023</v>
      </c>
      <c r="E6" s="763">
        <f>'LR DES 2023'!C15</f>
        <v>69447708.409999996</v>
      </c>
      <c r="F6" s="763">
        <f>'LR DES 2023'!C38</f>
        <v>15258040.08</v>
      </c>
      <c r="G6" s="763">
        <f t="shared" si="0"/>
        <v>54189668.329999998</v>
      </c>
      <c r="H6" s="761"/>
    </row>
    <row r="7" spans="2:9">
      <c r="B7" s="761">
        <v>4</v>
      </c>
      <c r="C7" s="762" t="s">
        <v>5090</v>
      </c>
      <c r="D7" s="762">
        <v>2024</v>
      </c>
      <c r="E7" s="763">
        <f>'LR JAN 2024'!C15</f>
        <v>38688155.43</v>
      </c>
      <c r="F7" s="763">
        <f>'LR JAN 2024'!C38</f>
        <v>9893770.6899999995</v>
      </c>
      <c r="G7" s="763">
        <f t="shared" si="0"/>
        <v>28794384.740000002</v>
      </c>
      <c r="H7" s="761"/>
    </row>
    <row r="8" spans="2:9">
      <c r="B8" s="761">
        <v>5</v>
      </c>
      <c r="C8" s="762" t="s">
        <v>5091</v>
      </c>
      <c r="D8" s="762">
        <v>2024</v>
      </c>
      <c r="E8" s="763">
        <f>'LR FEB 2024'!C15</f>
        <v>30085811.800000001</v>
      </c>
      <c r="F8" s="763">
        <f>'LR FEB 2024'!C38</f>
        <v>10030987.960000001</v>
      </c>
      <c r="G8" s="763">
        <f t="shared" si="0"/>
        <v>20054823.84</v>
      </c>
      <c r="H8" s="761"/>
    </row>
    <row r="9" spans="2:9">
      <c r="B9" s="761">
        <v>6</v>
      </c>
      <c r="C9" s="762" t="s">
        <v>5092</v>
      </c>
      <c r="D9" s="762">
        <v>2024</v>
      </c>
      <c r="E9" s="763">
        <f>'LR MAR 2024'!C15</f>
        <v>13419984.630000001</v>
      </c>
      <c r="F9" s="763">
        <f>'LR MAR 2024'!C38</f>
        <v>6185804.1299999999</v>
      </c>
      <c r="G9" s="763">
        <f t="shared" si="0"/>
        <v>7234180.5000000009</v>
      </c>
      <c r="H9" s="761"/>
    </row>
    <row r="10" spans="2:9">
      <c r="B10" s="761">
        <v>7</v>
      </c>
      <c r="C10" s="762" t="s">
        <v>5093</v>
      </c>
      <c r="D10" s="762">
        <v>2024</v>
      </c>
      <c r="E10" s="763">
        <f>'LR APR 2024'!C15</f>
        <v>12976106.27</v>
      </c>
      <c r="F10" s="763">
        <f>'LR APR 2024'!C39</f>
        <v>161808.85</v>
      </c>
      <c r="G10" s="763">
        <f t="shared" si="0"/>
        <v>12814297.42</v>
      </c>
      <c r="H10" s="761"/>
    </row>
    <row r="11" spans="2:9">
      <c r="B11" s="761">
        <v>8</v>
      </c>
      <c r="C11" s="762" t="s">
        <v>5094</v>
      </c>
      <c r="D11" s="762">
        <v>2024</v>
      </c>
      <c r="E11" s="763">
        <f>'LR MEI 2024'!C15</f>
        <v>50519681</v>
      </c>
      <c r="F11" s="763">
        <f>'LR MEI 2024'!C39</f>
        <v>150000</v>
      </c>
      <c r="G11" s="763">
        <f t="shared" si="0"/>
        <v>50369681</v>
      </c>
      <c r="H11" s="761"/>
    </row>
    <row r="12" spans="2:9">
      <c r="B12" s="761">
        <v>9</v>
      </c>
      <c r="C12" s="762" t="s">
        <v>5095</v>
      </c>
      <c r="D12" s="762">
        <v>2024</v>
      </c>
      <c r="E12" s="763">
        <f>'LR JUN 2024'!C15</f>
        <v>19132580.120000001</v>
      </c>
      <c r="F12" s="763">
        <f>'LR JUN 2024'!C39</f>
        <v>2196116.02</v>
      </c>
      <c r="G12" s="763">
        <f t="shared" si="0"/>
        <v>16936464.100000001</v>
      </c>
      <c r="H12" s="761"/>
    </row>
    <row r="13" spans="2:9">
      <c r="B13" s="761">
        <v>10</v>
      </c>
      <c r="C13" s="762" t="s">
        <v>5096</v>
      </c>
      <c r="D13" s="762">
        <v>2024</v>
      </c>
      <c r="E13" s="763">
        <f>'LR JUL 2024'!C15</f>
        <v>27043494.93</v>
      </c>
      <c r="F13" s="763">
        <f>'LR JUL 2024'!C38</f>
        <v>8446546.9900000002</v>
      </c>
      <c r="G13" s="763">
        <f t="shared" si="0"/>
        <v>18596947.939999998</v>
      </c>
      <c r="H13" s="761"/>
    </row>
    <row r="14" spans="2:9">
      <c r="B14" s="761">
        <v>11</v>
      </c>
      <c r="C14" s="762" t="s">
        <v>5097</v>
      </c>
      <c r="D14" s="762">
        <v>2024</v>
      </c>
      <c r="E14" s="763">
        <f>'LR AUG 2024'!C17</f>
        <v>74851005.319999993</v>
      </c>
      <c r="F14" s="763">
        <f>'LR AUG 2024'!C41</f>
        <v>19538145.66</v>
      </c>
      <c r="G14" s="763">
        <f t="shared" si="0"/>
        <v>55312859.659999996</v>
      </c>
      <c r="H14" s="761"/>
    </row>
    <row r="15" spans="2:9">
      <c r="B15" s="761">
        <v>12</v>
      </c>
      <c r="C15" s="762" t="s">
        <v>5098</v>
      </c>
      <c r="D15" s="762">
        <v>2024</v>
      </c>
      <c r="E15" s="763">
        <f>'LR SEPT 2024'!C17</f>
        <v>118776094</v>
      </c>
      <c r="F15" s="763">
        <f>'LR SEPT 2024'!C41</f>
        <v>35451339.590000004</v>
      </c>
      <c r="G15" s="763">
        <f t="shared" si="0"/>
        <v>83324754.409999996</v>
      </c>
      <c r="H15" s="761"/>
    </row>
    <row r="16" spans="2:9">
      <c r="B16" s="761">
        <v>13</v>
      </c>
      <c r="C16" s="762" t="s">
        <v>5087</v>
      </c>
      <c r="D16" s="762">
        <v>2024</v>
      </c>
      <c r="E16" s="763">
        <f>'LR OKT 2024'!C17</f>
        <v>80733601.890000001</v>
      </c>
      <c r="F16" s="763">
        <f>'LR OKT 2024'!C42</f>
        <v>43510335.380000003</v>
      </c>
      <c r="G16" s="763">
        <f t="shared" si="0"/>
        <v>37223266.509999998</v>
      </c>
      <c r="H16" s="761"/>
    </row>
    <row r="17" spans="2:9" s="758" customFormat="1">
      <c r="B17" s="1144" t="s">
        <v>5099</v>
      </c>
      <c r="C17" s="1145"/>
      <c r="D17" s="1146"/>
      <c r="E17" s="765" t="e">
        <f>SUM(E4:E16)</f>
        <v>#REF!</v>
      </c>
      <c r="F17" s="765">
        <f>SUM(F4:F16)</f>
        <v>165959513.61000001</v>
      </c>
      <c r="G17" s="765" t="e">
        <f>SUM(G4:G16)</f>
        <v>#REF!</v>
      </c>
      <c r="H17" s="766"/>
      <c r="I17" s="742"/>
    </row>
    <row r="19" spans="2:9">
      <c r="B19" s="1147" t="s">
        <v>3222</v>
      </c>
      <c r="C19" s="1147"/>
    </row>
    <row r="20" spans="2:9">
      <c r="C20" s="764" t="s">
        <v>5102</v>
      </c>
    </row>
    <row r="21" spans="2:9">
      <c r="C21" s="764" t="s">
        <v>5103</v>
      </c>
    </row>
    <row r="22" spans="2:9">
      <c r="C22" s="764" t="s">
        <v>5104</v>
      </c>
    </row>
    <row r="24" spans="2:9" ht="24">
      <c r="B24" s="1143" t="s">
        <v>5084</v>
      </c>
      <c r="C24" s="1143"/>
      <c r="D24" s="1143"/>
      <c r="E24" s="1143"/>
      <c r="F24" s="1143"/>
      <c r="G24" s="1143"/>
      <c r="H24" s="1143"/>
    </row>
    <row r="25" spans="2:9" ht="24">
      <c r="B25" s="1143" t="s">
        <v>5085</v>
      </c>
      <c r="C25" s="1143"/>
      <c r="D25" s="1143"/>
      <c r="E25" s="1143"/>
      <c r="F25" s="1143"/>
      <c r="G25" s="1143"/>
      <c r="H25" s="1143"/>
    </row>
    <row r="26" spans="2:9">
      <c r="B26" s="760" t="s">
        <v>1</v>
      </c>
      <c r="C26" s="760" t="s">
        <v>5083</v>
      </c>
      <c r="D26" s="760" t="s">
        <v>5086</v>
      </c>
      <c r="E26" s="760" t="s">
        <v>5081</v>
      </c>
      <c r="F26" s="760" t="s">
        <v>5082</v>
      </c>
      <c r="G26" s="760" t="s">
        <v>5100</v>
      </c>
      <c r="H26" s="760" t="s">
        <v>3461</v>
      </c>
    </row>
    <row r="27" spans="2:9">
      <c r="B27" s="761">
        <v>1</v>
      </c>
      <c r="C27" s="762" t="s">
        <v>5088</v>
      </c>
      <c r="D27" s="762">
        <v>2024</v>
      </c>
      <c r="E27" s="763">
        <f>'LR NOV 2024'!C17</f>
        <v>26270463.030000001</v>
      </c>
      <c r="F27" s="763">
        <f>'LR NOV 2024'!C43</f>
        <v>26574849.010000002</v>
      </c>
      <c r="G27" s="763">
        <f t="shared" ref="G27:G38" si="1">E27-F27</f>
        <v>-304385.98000000045</v>
      </c>
      <c r="H27" s="761"/>
    </row>
    <row r="28" spans="2:9">
      <c r="B28" s="761">
        <v>2</v>
      </c>
      <c r="C28" s="762" t="s">
        <v>5089</v>
      </c>
      <c r="D28" s="762">
        <v>2024</v>
      </c>
      <c r="E28" s="763">
        <f>'LABA RUGI DES 2024'!C17</f>
        <v>100500000</v>
      </c>
      <c r="F28" s="763">
        <f>'LABA RUGI DES 2024'!C38</f>
        <v>33540001</v>
      </c>
      <c r="G28" s="763">
        <f t="shared" si="1"/>
        <v>66959999</v>
      </c>
      <c r="H28" s="761"/>
    </row>
    <row r="29" spans="2:9">
      <c r="B29" s="761">
        <v>3</v>
      </c>
      <c r="C29" s="762" t="s">
        <v>5090</v>
      </c>
      <c r="D29" s="762">
        <v>2025</v>
      </c>
      <c r="E29" s="763"/>
      <c r="F29" s="763"/>
      <c r="G29" s="763">
        <f t="shared" si="1"/>
        <v>0</v>
      </c>
      <c r="H29" s="761"/>
    </row>
    <row r="30" spans="2:9">
      <c r="B30" s="761">
        <v>4</v>
      </c>
      <c r="C30" s="762" t="s">
        <v>5091</v>
      </c>
      <c r="D30" s="762">
        <v>2025</v>
      </c>
      <c r="E30" s="763"/>
      <c r="F30" s="763"/>
      <c r="G30" s="763">
        <f t="shared" si="1"/>
        <v>0</v>
      </c>
      <c r="H30" s="761"/>
    </row>
    <row r="31" spans="2:9">
      <c r="B31" s="761">
        <v>5</v>
      </c>
      <c r="C31" s="762" t="s">
        <v>5092</v>
      </c>
      <c r="D31" s="762">
        <v>2025</v>
      </c>
      <c r="E31" s="763"/>
      <c r="F31" s="763"/>
      <c r="G31" s="763">
        <f t="shared" si="1"/>
        <v>0</v>
      </c>
      <c r="H31" s="761"/>
    </row>
    <row r="32" spans="2:9">
      <c r="B32" s="761">
        <v>6</v>
      </c>
      <c r="C32" s="762" t="s">
        <v>5093</v>
      </c>
      <c r="D32" s="762">
        <v>2025</v>
      </c>
      <c r="E32" s="763"/>
      <c r="F32" s="763"/>
      <c r="G32" s="763">
        <f t="shared" si="1"/>
        <v>0</v>
      </c>
      <c r="H32" s="761"/>
    </row>
    <row r="33" spans="2:8">
      <c r="B33" s="761">
        <v>7</v>
      </c>
      <c r="C33" s="762" t="s">
        <v>5094</v>
      </c>
      <c r="D33" s="762">
        <v>2025</v>
      </c>
      <c r="E33" s="763"/>
      <c r="F33" s="763"/>
      <c r="G33" s="763">
        <f t="shared" si="1"/>
        <v>0</v>
      </c>
      <c r="H33" s="761"/>
    </row>
    <row r="34" spans="2:8">
      <c r="B34" s="761">
        <v>8</v>
      </c>
      <c r="C34" s="762" t="s">
        <v>5095</v>
      </c>
      <c r="D34" s="762">
        <v>2025</v>
      </c>
      <c r="E34" s="763"/>
      <c r="F34" s="763"/>
      <c r="G34" s="763">
        <f t="shared" si="1"/>
        <v>0</v>
      </c>
      <c r="H34" s="761"/>
    </row>
    <row r="35" spans="2:8">
      <c r="B35" s="761">
        <v>9</v>
      </c>
      <c r="C35" s="762" t="s">
        <v>5096</v>
      </c>
      <c r="D35" s="762">
        <v>2025</v>
      </c>
      <c r="E35" s="763"/>
      <c r="F35" s="763"/>
      <c r="G35" s="763">
        <f t="shared" si="1"/>
        <v>0</v>
      </c>
      <c r="H35" s="761"/>
    </row>
    <row r="36" spans="2:8">
      <c r="B36" s="761">
        <v>10</v>
      </c>
      <c r="C36" s="762" t="s">
        <v>5097</v>
      </c>
      <c r="D36" s="762">
        <v>2025</v>
      </c>
      <c r="E36" s="763"/>
      <c r="F36" s="763"/>
      <c r="G36" s="763">
        <f t="shared" si="1"/>
        <v>0</v>
      </c>
      <c r="H36" s="761"/>
    </row>
    <row r="37" spans="2:8">
      <c r="B37" s="761">
        <v>11</v>
      </c>
      <c r="C37" s="762" t="s">
        <v>5098</v>
      </c>
      <c r="D37" s="762">
        <v>2025</v>
      </c>
      <c r="E37" s="763"/>
      <c r="F37" s="763"/>
      <c r="G37" s="763">
        <f t="shared" si="1"/>
        <v>0</v>
      </c>
      <c r="H37" s="761"/>
    </row>
    <row r="38" spans="2:8">
      <c r="B38" s="761">
        <v>12</v>
      </c>
      <c r="C38" s="762" t="s">
        <v>5087</v>
      </c>
      <c r="D38" s="762">
        <v>2025</v>
      </c>
      <c r="E38" s="763"/>
      <c r="F38" s="763"/>
      <c r="G38" s="763">
        <f t="shared" si="1"/>
        <v>0</v>
      </c>
      <c r="H38" s="761"/>
    </row>
    <row r="39" spans="2:8">
      <c r="B39" s="1144" t="s">
        <v>5099</v>
      </c>
      <c r="C39" s="1145"/>
      <c r="D39" s="1146"/>
      <c r="E39" s="765">
        <f>SUM(E27:E38)</f>
        <v>126770463.03</v>
      </c>
      <c r="F39" s="765">
        <f>SUM(F27:F38)</f>
        <v>60114850.010000005</v>
      </c>
      <c r="G39" s="765">
        <f>SUM(G27:G38)</f>
        <v>66655613.019999996</v>
      </c>
      <c r="H39" s="766"/>
    </row>
    <row r="41" spans="2:8">
      <c r="B41" s="1147" t="s">
        <v>3222</v>
      </c>
      <c r="C41" s="1147"/>
    </row>
    <row r="42" spans="2:8">
      <c r="C42" s="764"/>
    </row>
    <row r="43" spans="2:8">
      <c r="C43" s="764"/>
    </row>
    <row r="44" spans="2:8">
      <c r="C44" s="764"/>
    </row>
  </sheetData>
  <mergeCells count="8">
    <mergeCell ref="B25:H25"/>
    <mergeCell ref="B39:D39"/>
    <mergeCell ref="B41:C41"/>
    <mergeCell ref="B1:H1"/>
    <mergeCell ref="B2:H2"/>
    <mergeCell ref="B17:D17"/>
    <mergeCell ref="B19:C19"/>
    <mergeCell ref="B24:H2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83BE-5A55-4E22-BDF9-8B7B652CD0A4}">
  <sheetPr>
    <pageSetUpPr fitToPage="1"/>
  </sheetPr>
  <dimension ref="A1:M60"/>
  <sheetViews>
    <sheetView topLeftCell="A13" zoomScaleNormal="100" workbookViewId="0">
      <selection activeCell="B53" sqref="B53"/>
    </sheetView>
  </sheetViews>
  <sheetFormatPr defaultColWidth="9" defaultRowHeight="14.5"/>
  <cols>
    <col min="1" max="1" width="3.25" style="628" customWidth="1"/>
    <col min="2" max="2" width="59.83203125" style="629" customWidth="1"/>
    <col min="3" max="3" width="27.33203125" style="630" customWidth="1"/>
    <col min="4" max="4" width="1.58203125" style="628" customWidth="1"/>
    <col min="5" max="5" width="4.25" style="628" customWidth="1"/>
    <col min="6" max="6" width="13.58203125" style="628" customWidth="1"/>
    <col min="7" max="7" width="26" style="628" customWidth="1"/>
    <col min="8" max="8" width="13.5" style="628" customWidth="1"/>
    <col min="9" max="9" width="2" style="628" customWidth="1"/>
    <col min="10" max="10" width="4.75" customWidth="1"/>
    <col min="11" max="11" width="13.5" style="737" customWidth="1"/>
    <col min="12" max="12" width="13.5" customWidth="1"/>
    <col min="13" max="13" width="15.83203125" customWidth="1"/>
    <col min="14" max="14" width="10.33203125" bestFit="1" customWidth="1"/>
  </cols>
  <sheetData>
    <row r="1" spans="1:13">
      <c r="A1" s="628" t="s">
        <v>4989</v>
      </c>
      <c r="E1" s="1148" t="s">
        <v>5114</v>
      </c>
      <c r="F1" s="1148"/>
      <c r="G1" s="1148"/>
      <c r="H1" s="1148"/>
    </row>
    <row r="2" spans="1:13" ht="18.5">
      <c r="B2" s="1136" t="s">
        <v>4028</v>
      </c>
      <c r="C2" s="1137"/>
      <c r="E2" s="1149" t="s">
        <v>5005</v>
      </c>
      <c r="F2" s="1150"/>
      <c r="G2" s="1150"/>
      <c r="H2" s="1151"/>
      <c r="J2" s="1142" t="s">
        <v>4492</v>
      </c>
      <c r="K2" s="1142"/>
      <c r="L2" s="1142"/>
      <c r="M2" s="1142"/>
    </row>
    <row r="3" spans="1:13" ht="16">
      <c r="B3" s="1138" t="s">
        <v>4029</v>
      </c>
      <c r="C3" s="1139"/>
      <c r="D3" s="631"/>
      <c r="E3" s="641" t="s">
        <v>3385</v>
      </c>
      <c r="F3" s="641" t="s">
        <v>4262</v>
      </c>
      <c r="G3" s="641" t="s">
        <v>4502</v>
      </c>
      <c r="H3" s="641" t="s">
        <v>3213</v>
      </c>
      <c r="J3" s="641" t="s">
        <v>3385</v>
      </c>
      <c r="K3" s="728" t="s">
        <v>8</v>
      </c>
      <c r="L3" s="641" t="s">
        <v>3543</v>
      </c>
      <c r="M3" s="641" t="s">
        <v>3552</v>
      </c>
    </row>
    <row r="4" spans="1:13" ht="16">
      <c r="B4" s="1138" t="s">
        <v>5058</v>
      </c>
      <c r="C4" s="1139"/>
      <c r="D4" s="631"/>
      <c r="E4" s="642">
        <v>1</v>
      </c>
      <c r="F4" s="642" t="s">
        <v>5106</v>
      </c>
      <c r="G4" s="642" t="s">
        <v>5109</v>
      </c>
      <c r="H4" s="643">
        <v>5000000</v>
      </c>
      <c r="J4" s="642">
        <v>1</v>
      </c>
      <c r="K4" s="642" t="s">
        <v>5115</v>
      </c>
      <c r="L4" s="642" t="s">
        <v>5116</v>
      </c>
      <c r="M4" s="643">
        <v>5000000</v>
      </c>
    </row>
    <row r="5" spans="1:13">
      <c r="B5" s="632"/>
      <c r="C5" s="633"/>
      <c r="E5" s="642">
        <v>2</v>
      </c>
      <c r="F5" s="642" t="s">
        <v>5107</v>
      </c>
      <c r="G5" s="642" t="s">
        <v>5109</v>
      </c>
      <c r="H5" s="643">
        <v>5000000</v>
      </c>
      <c r="J5" s="642">
        <v>2</v>
      </c>
      <c r="K5" s="642" t="s">
        <v>5115</v>
      </c>
      <c r="L5" s="642" t="s">
        <v>5116</v>
      </c>
      <c r="M5" s="643">
        <v>5000000</v>
      </c>
    </row>
    <row r="6" spans="1:13">
      <c r="B6" s="634" t="s">
        <v>3455</v>
      </c>
      <c r="C6" s="634" t="s">
        <v>3857</v>
      </c>
      <c r="E6" s="642">
        <v>3</v>
      </c>
      <c r="F6" s="642" t="s">
        <v>4681</v>
      </c>
      <c r="G6" s="642" t="s">
        <v>5110</v>
      </c>
      <c r="H6" s="643">
        <v>10000000</v>
      </c>
      <c r="J6" s="642">
        <v>3</v>
      </c>
      <c r="K6" s="642" t="s">
        <v>5115</v>
      </c>
      <c r="L6" s="642" t="s">
        <v>5116</v>
      </c>
      <c r="M6" s="643">
        <v>5000000</v>
      </c>
    </row>
    <row r="7" spans="1:13">
      <c r="B7" s="635" t="s">
        <v>4031</v>
      </c>
      <c r="C7" s="636"/>
      <c r="E7" s="642">
        <v>4</v>
      </c>
      <c r="F7" s="642" t="s">
        <v>5111</v>
      </c>
      <c r="G7" s="642" t="s">
        <v>5112</v>
      </c>
      <c r="H7" s="643">
        <v>6000000</v>
      </c>
      <c r="J7" s="642">
        <v>4</v>
      </c>
      <c r="K7" s="642" t="s">
        <v>5115</v>
      </c>
      <c r="L7" s="642" t="s">
        <v>5116</v>
      </c>
      <c r="M7" s="643">
        <v>5000000</v>
      </c>
    </row>
    <row r="8" spans="1:13">
      <c r="B8" s="632" t="s">
        <v>4032</v>
      </c>
      <c r="C8" s="636"/>
      <c r="E8" s="642">
        <v>5</v>
      </c>
      <c r="F8" s="642" t="s">
        <v>5108</v>
      </c>
      <c r="G8" s="642" t="s">
        <v>5113</v>
      </c>
      <c r="H8" s="643">
        <v>5000000</v>
      </c>
      <c r="J8" s="642">
        <v>5</v>
      </c>
      <c r="K8" s="642" t="s">
        <v>5115</v>
      </c>
      <c r="L8" s="642" t="s">
        <v>5116</v>
      </c>
      <c r="M8" s="643">
        <v>5000000</v>
      </c>
    </row>
    <row r="9" spans="1:13" ht="15">
      <c r="B9" s="632" t="s">
        <v>4033</v>
      </c>
      <c r="C9" s="636">
        <f>'LR NOV 2024'!C50</f>
        <v>181919310.83000001</v>
      </c>
      <c r="E9" s="1121" t="s">
        <v>4493</v>
      </c>
      <c r="F9" s="1121"/>
      <c r="G9" s="1121"/>
      <c r="H9" s="644">
        <f>SUM(H4:H8)</f>
        <v>31000000</v>
      </c>
      <c r="J9" s="642">
        <v>6</v>
      </c>
      <c r="K9" s="642" t="s">
        <v>5115</v>
      </c>
      <c r="L9" s="642" t="s">
        <v>5116</v>
      </c>
      <c r="M9" s="643">
        <v>5000000</v>
      </c>
    </row>
    <row r="10" spans="1:13">
      <c r="B10" s="632" t="s">
        <v>4489</v>
      </c>
      <c r="C10" s="636">
        <f>'LR NOV 2024'!C51</f>
        <v>107705729</v>
      </c>
      <c r="J10" s="642">
        <v>7</v>
      </c>
      <c r="K10" s="642" t="s">
        <v>5115</v>
      </c>
      <c r="L10" s="642" t="s">
        <v>5116</v>
      </c>
      <c r="M10" s="643">
        <v>20000000</v>
      </c>
    </row>
    <row r="11" spans="1:13">
      <c r="B11" s="635" t="s">
        <v>4034</v>
      </c>
      <c r="C11" s="637">
        <f>SUM(C8:C10)</f>
        <v>289625039.83000004</v>
      </c>
      <c r="J11" s="642">
        <v>8</v>
      </c>
      <c r="K11" s="642" t="s">
        <v>5115</v>
      </c>
      <c r="L11" s="642" t="s">
        <v>5116</v>
      </c>
      <c r="M11" s="643">
        <v>5000000</v>
      </c>
    </row>
    <row r="12" spans="1:13" ht="15">
      <c r="B12" s="632"/>
      <c r="C12" s="636"/>
      <c r="E12" s="1120" t="s">
        <v>4730</v>
      </c>
      <c r="F12" s="1120"/>
      <c r="G12" s="1120"/>
      <c r="H12" s="1120"/>
      <c r="J12" s="642">
        <v>9</v>
      </c>
      <c r="K12" s="642" t="s">
        <v>5115</v>
      </c>
      <c r="L12" s="642" t="s">
        <v>5116</v>
      </c>
      <c r="M12" s="643">
        <v>25000000</v>
      </c>
    </row>
    <row r="13" spans="1:13">
      <c r="B13" s="635" t="s">
        <v>4035</v>
      </c>
      <c r="C13" s="636"/>
      <c r="E13" s="642">
        <v>1</v>
      </c>
      <c r="F13" s="646" t="s">
        <v>4732</v>
      </c>
      <c r="G13" s="646" t="s">
        <v>4733</v>
      </c>
      <c r="H13" s="699" t="s">
        <v>4734</v>
      </c>
      <c r="J13" s="642">
        <v>10</v>
      </c>
      <c r="K13" s="642" t="s">
        <v>5115</v>
      </c>
      <c r="L13" s="642" t="s">
        <v>5116</v>
      </c>
      <c r="M13" s="643">
        <v>10000000</v>
      </c>
    </row>
    <row r="14" spans="1:13">
      <c r="B14" s="632" t="s">
        <v>5059</v>
      </c>
      <c r="C14" s="636">
        <f>M16</f>
        <v>100000000</v>
      </c>
      <c r="E14" s="642">
        <v>2</v>
      </c>
      <c r="F14" s="648" t="s">
        <v>4563</v>
      </c>
      <c r="G14" s="697"/>
      <c r="H14" s="697"/>
      <c r="J14" s="642">
        <v>11</v>
      </c>
      <c r="K14" s="642" t="s">
        <v>5115</v>
      </c>
      <c r="L14" s="642" t="s">
        <v>5116</v>
      </c>
      <c r="M14" s="643">
        <v>5000000</v>
      </c>
    </row>
    <row r="15" spans="1:13">
      <c r="B15" s="632" t="s">
        <v>4498</v>
      </c>
      <c r="C15" s="636">
        <f>H18</f>
        <v>500000</v>
      </c>
      <c r="E15" s="642">
        <v>3</v>
      </c>
      <c r="F15" s="648" t="s">
        <v>5055</v>
      </c>
      <c r="G15" s="697"/>
      <c r="H15" s="697"/>
      <c r="J15" s="642">
        <v>12</v>
      </c>
      <c r="K15" s="642" t="s">
        <v>5115</v>
      </c>
      <c r="L15" s="642" t="s">
        <v>5116</v>
      </c>
      <c r="M15" s="643">
        <v>5000000</v>
      </c>
    </row>
    <row r="16" spans="1:13" ht="15">
      <c r="B16" s="632" t="s">
        <v>4499</v>
      </c>
      <c r="C16" s="636">
        <v>0</v>
      </c>
      <c r="E16" s="642">
        <v>4</v>
      </c>
      <c r="F16" s="648" t="s">
        <v>3883</v>
      </c>
      <c r="G16" s="697"/>
      <c r="H16" s="697">
        <v>500000</v>
      </c>
      <c r="J16" s="1121" t="s">
        <v>4493</v>
      </c>
      <c r="K16" s="1121"/>
      <c r="L16" s="1121"/>
      <c r="M16" s="644">
        <f>SUM(M4:M15)</f>
        <v>100000000</v>
      </c>
    </row>
    <row r="17" spans="2:11">
      <c r="B17" s="635" t="s">
        <v>4038</v>
      </c>
      <c r="C17" s="640">
        <f>SUM(C14:C16)</f>
        <v>100500000</v>
      </c>
      <c r="E17" s="642">
        <v>5</v>
      </c>
      <c r="F17" s="648" t="s">
        <v>3884</v>
      </c>
      <c r="G17" s="697"/>
      <c r="H17" s="697"/>
      <c r="K17"/>
    </row>
    <row r="18" spans="2:11" ht="15">
      <c r="B18" s="632"/>
      <c r="C18" s="636"/>
      <c r="E18" s="1134" t="s">
        <v>4493</v>
      </c>
      <c r="F18" s="1135"/>
      <c r="G18" s="698">
        <f>SUM(G14:G17)</f>
        <v>0</v>
      </c>
      <c r="H18" s="698">
        <f>SUM(H14:H17)</f>
        <v>500000</v>
      </c>
      <c r="K18"/>
    </row>
    <row r="19" spans="2:11">
      <c r="B19" s="635" t="s">
        <v>4039</v>
      </c>
      <c r="C19" s="636"/>
      <c r="K19"/>
    </row>
    <row r="20" spans="2:11">
      <c r="B20" s="632" t="s">
        <v>4333</v>
      </c>
      <c r="C20" s="636"/>
      <c r="K20"/>
    </row>
    <row r="21" spans="2:11" ht="15">
      <c r="B21" s="632"/>
      <c r="C21" s="636"/>
      <c r="E21" s="1120" t="s">
        <v>4731</v>
      </c>
      <c r="F21" s="1120"/>
      <c r="G21" s="1120"/>
      <c r="H21" s="1120"/>
      <c r="K21"/>
    </row>
    <row r="22" spans="2:11">
      <c r="B22" s="635" t="s">
        <v>5060</v>
      </c>
      <c r="C22" s="637">
        <v>0</v>
      </c>
      <c r="E22" s="642"/>
      <c r="F22" s="646" t="s">
        <v>4732</v>
      </c>
      <c r="G22" s="646" t="s">
        <v>4733</v>
      </c>
      <c r="H22" s="647" t="s">
        <v>4734</v>
      </c>
      <c r="K22"/>
    </row>
    <row r="23" spans="2:11">
      <c r="B23" s="635" t="s">
        <v>5061</v>
      </c>
      <c r="C23" s="637">
        <v>0</v>
      </c>
      <c r="E23" s="642">
        <v>1</v>
      </c>
      <c r="F23" s="648" t="s">
        <v>4565</v>
      </c>
      <c r="G23" s="697"/>
      <c r="H23" s="697"/>
      <c r="K23"/>
    </row>
    <row r="24" spans="2:11" ht="15">
      <c r="B24" s="635" t="s">
        <v>5062</v>
      </c>
      <c r="C24" s="637">
        <v>0</v>
      </c>
      <c r="E24" s="1134" t="s">
        <v>4493</v>
      </c>
      <c r="F24" s="1135"/>
      <c r="G24" s="650">
        <f>SUM(G23:G23)</f>
        <v>0</v>
      </c>
      <c r="H24" s="650">
        <f>SUM(H23:H23)</f>
        <v>0</v>
      </c>
      <c r="K24"/>
    </row>
    <row r="25" spans="2:11">
      <c r="B25" s="632"/>
      <c r="C25" s="636"/>
      <c r="K25"/>
    </row>
    <row r="26" spans="2:11">
      <c r="B26" s="635" t="s">
        <v>4042</v>
      </c>
      <c r="C26" s="636"/>
      <c r="K26"/>
    </row>
    <row r="27" spans="2:11" ht="15">
      <c r="B27" s="632" t="s">
        <v>4043</v>
      </c>
      <c r="C27" s="636">
        <f>H9</f>
        <v>31000000</v>
      </c>
      <c r="E27" s="1149" t="s">
        <v>5117</v>
      </c>
      <c r="F27" s="1150"/>
      <c r="G27" s="1150"/>
      <c r="H27" s="1151"/>
      <c r="K27"/>
    </row>
    <row r="28" spans="2:11" ht="15">
      <c r="B28" s="632" t="s">
        <v>4044</v>
      </c>
      <c r="C28" s="636">
        <v>0</v>
      </c>
      <c r="E28" s="641" t="s">
        <v>3385</v>
      </c>
      <c r="F28" s="641" t="s">
        <v>3854</v>
      </c>
      <c r="G28" s="641" t="s">
        <v>5066</v>
      </c>
      <c r="H28" s="641" t="s">
        <v>3213</v>
      </c>
      <c r="K28"/>
    </row>
    <row r="29" spans="2:11">
      <c r="B29" s="632" t="s">
        <v>5063</v>
      </c>
      <c r="C29" s="636">
        <f>H47</f>
        <v>2121017</v>
      </c>
      <c r="E29" s="642">
        <v>1</v>
      </c>
      <c r="F29" s="750"/>
      <c r="G29" s="642"/>
      <c r="H29" s="643"/>
      <c r="I29" s="645"/>
      <c r="K29"/>
    </row>
    <row r="30" spans="2:11">
      <c r="B30" s="632" t="s">
        <v>4049</v>
      </c>
      <c r="C30" s="636">
        <v>0</v>
      </c>
      <c r="E30" s="642">
        <v>2</v>
      </c>
      <c r="F30" s="750"/>
      <c r="G30" s="642"/>
      <c r="H30" s="643"/>
      <c r="K30"/>
    </row>
    <row r="31" spans="2:11" ht="15">
      <c r="B31" s="632" t="s">
        <v>5000</v>
      </c>
      <c r="C31" s="636">
        <v>0</v>
      </c>
      <c r="E31" s="1121" t="s">
        <v>4493</v>
      </c>
      <c r="F31" s="1121"/>
      <c r="G31" s="1121"/>
      <c r="H31" s="644">
        <f>SUM(H29:H30)</f>
        <v>0</v>
      </c>
      <c r="K31"/>
    </row>
    <row r="32" spans="2:11">
      <c r="B32" s="632" t="s">
        <v>5001</v>
      </c>
      <c r="C32" s="636">
        <v>0</v>
      </c>
      <c r="K32"/>
    </row>
    <row r="33" spans="2:11">
      <c r="B33" s="632" t="s">
        <v>4052</v>
      </c>
      <c r="C33" s="636">
        <v>0</v>
      </c>
      <c r="K33"/>
    </row>
    <row r="34" spans="2:11" ht="15">
      <c r="B34" s="632" t="s">
        <v>5064</v>
      </c>
      <c r="C34" s="636">
        <f>H40</f>
        <v>418984</v>
      </c>
      <c r="E34" s="1149" t="s">
        <v>5004</v>
      </c>
      <c r="F34" s="1150"/>
      <c r="G34" s="1150"/>
      <c r="H34" s="1151"/>
      <c r="K34"/>
    </row>
    <row r="35" spans="2:11" ht="15">
      <c r="B35" s="632" t="s">
        <v>4496</v>
      </c>
      <c r="C35" s="636">
        <f>G18</f>
        <v>0</v>
      </c>
      <c r="E35" s="641" t="s">
        <v>3385</v>
      </c>
      <c r="F35" s="641" t="s">
        <v>3854</v>
      </c>
      <c r="G35" s="641" t="s">
        <v>5066</v>
      </c>
      <c r="H35" s="641" t="s">
        <v>3213</v>
      </c>
      <c r="K35"/>
    </row>
    <row r="36" spans="2:11">
      <c r="B36" s="632" t="s">
        <v>4735</v>
      </c>
      <c r="C36" s="636">
        <f>G24</f>
        <v>0</v>
      </c>
      <c r="E36" s="642">
        <v>1</v>
      </c>
      <c r="F36" s="750">
        <v>45628</v>
      </c>
      <c r="G36" s="642" t="s">
        <v>5067</v>
      </c>
      <c r="H36" s="643">
        <v>115400</v>
      </c>
      <c r="K36"/>
    </row>
    <row r="37" spans="2:11">
      <c r="B37" s="632"/>
      <c r="C37" s="636"/>
      <c r="E37" s="642">
        <v>2</v>
      </c>
      <c r="F37" s="750">
        <v>45628</v>
      </c>
      <c r="G37" s="642" t="s">
        <v>5068</v>
      </c>
      <c r="H37" s="643">
        <v>106084</v>
      </c>
      <c r="K37"/>
    </row>
    <row r="38" spans="2:11">
      <c r="B38" s="635" t="s">
        <v>4057</v>
      </c>
      <c r="C38" s="640">
        <f>SUM(C27:C37)</f>
        <v>33540001</v>
      </c>
      <c r="E38" s="642">
        <v>3</v>
      </c>
      <c r="F38" s="750">
        <v>45628</v>
      </c>
      <c r="G38" s="642" t="s">
        <v>5069</v>
      </c>
      <c r="H38" s="643">
        <v>179500</v>
      </c>
      <c r="K38"/>
    </row>
    <row r="39" spans="2:11">
      <c r="B39" s="632"/>
      <c r="C39" s="636"/>
      <c r="E39" s="642">
        <v>4</v>
      </c>
      <c r="F39" s="750">
        <v>45628</v>
      </c>
      <c r="G39" s="642" t="s">
        <v>5070</v>
      </c>
      <c r="H39" s="643">
        <v>18000</v>
      </c>
      <c r="K39"/>
    </row>
    <row r="40" spans="2:11" ht="15">
      <c r="B40" s="632"/>
      <c r="C40" s="636"/>
      <c r="E40" s="1121" t="s">
        <v>4493</v>
      </c>
      <c r="F40" s="1121"/>
      <c r="G40" s="1121"/>
      <c r="H40" s="644">
        <f>SUM(H36:H39)</f>
        <v>418984</v>
      </c>
      <c r="K40"/>
    </row>
    <row r="41" spans="2:11">
      <c r="B41" s="632"/>
      <c r="C41" s="636"/>
      <c r="F41"/>
      <c r="G41"/>
      <c r="H41"/>
      <c r="K41"/>
    </row>
    <row r="42" spans="2:11" ht="15">
      <c r="B42" s="635" t="s">
        <v>4058</v>
      </c>
      <c r="C42" s="637">
        <f>C17-C38</f>
        <v>66959999</v>
      </c>
      <c r="E42" s="1149" t="s">
        <v>5071</v>
      </c>
      <c r="F42" s="1150"/>
      <c r="G42" s="1150"/>
      <c r="H42" s="1151"/>
    </row>
    <row r="43" spans="2:11" ht="15">
      <c r="B43" s="638"/>
      <c r="C43" s="639"/>
      <c r="E43" s="641" t="s">
        <v>3385</v>
      </c>
      <c r="F43" s="641" t="s">
        <v>3854</v>
      </c>
      <c r="G43" s="641" t="s">
        <v>5066</v>
      </c>
      <c r="H43" s="641" t="s">
        <v>3213</v>
      </c>
    </row>
    <row r="44" spans="2:11">
      <c r="E44" s="642">
        <v>1</v>
      </c>
      <c r="F44" s="750">
        <v>45632</v>
      </c>
      <c r="G44" s="642" t="s">
        <v>5072</v>
      </c>
      <c r="H44" s="643">
        <v>1332000</v>
      </c>
    </row>
    <row r="45" spans="2:11">
      <c r="B45" s="681" t="s">
        <v>4549</v>
      </c>
      <c r="C45" s="682">
        <v>178539310.83000001</v>
      </c>
      <c r="E45" s="642">
        <v>2</v>
      </c>
      <c r="F45" s="750">
        <v>45632</v>
      </c>
      <c r="G45" s="642" t="s">
        <v>5073</v>
      </c>
      <c r="H45" s="643">
        <v>498730</v>
      </c>
    </row>
    <row r="46" spans="2:11">
      <c r="B46" s="681" t="s">
        <v>4729</v>
      </c>
      <c r="C46" s="682">
        <v>165729420</v>
      </c>
      <c r="E46" s="642">
        <v>3</v>
      </c>
      <c r="F46" s="750">
        <v>45632</v>
      </c>
      <c r="G46" s="642" t="s">
        <v>5074</v>
      </c>
      <c r="H46" s="643">
        <v>290287</v>
      </c>
    </row>
    <row r="47" spans="2:11" ht="15">
      <c r="E47" s="1121" t="s">
        <v>4493</v>
      </c>
      <c r="F47" s="1121"/>
      <c r="G47" s="1121"/>
      <c r="H47" s="644">
        <f>SUM(H44:H46)</f>
        <v>2121017</v>
      </c>
    </row>
    <row r="48" spans="2:11">
      <c r="B48" s="629" t="s">
        <v>5118</v>
      </c>
      <c r="C48" s="696">
        <f>SUM(C45:C46)</f>
        <v>344268730.83000004</v>
      </c>
    </row>
    <row r="53" spans="9:9">
      <c r="I53"/>
    </row>
    <row r="54" spans="9:9">
      <c r="I54"/>
    </row>
    <row r="55" spans="9:9">
      <c r="I55"/>
    </row>
    <row r="56" spans="9:9">
      <c r="I56"/>
    </row>
    <row r="57" spans="9:9">
      <c r="I57"/>
    </row>
    <row r="58" spans="9:9">
      <c r="I58"/>
    </row>
    <row r="59" spans="9:9">
      <c r="I59"/>
    </row>
    <row r="60" spans="9:9">
      <c r="I60"/>
    </row>
  </sheetData>
  <mergeCells count="18">
    <mergeCell ref="E42:H42"/>
    <mergeCell ref="E47:G47"/>
    <mergeCell ref="E24:F24"/>
    <mergeCell ref="E2:H2"/>
    <mergeCell ref="E27:H27"/>
    <mergeCell ref="E9:G9"/>
    <mergeCell ref="E12:H12"/>
    <mergeCell ref="E18:F18"/>
    <mergeCell ref="E21:H21"/>
    <mergeCell ref="E31:G31"/>
    <mergeCell ref="E34:H34"/>
    <mergeCell ref="E40:G40"/>
    <mergeCell ref="E1:H1"/>
    <mergeCell ref="J16:L16"/>
    <mergeCell ref="B2:C2"/>
    <mergeCell ref="J2:M2"/>
    <mergeCell ref="B3:C3"/>
    <mergeCell ref="B4:C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2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F68C-EF25-4471-B8DA-6317656D3018}">
  <dimension ref="A1:N61"/>
  <sheetViews>
    <sheetView topLeftCell="A31" zoomScale="85" zoomScaleNormal="85" workbookViewId="0">
      <selection activeCell="T55" sqref="T55"/>
    </sheetView>
  </sheetViews>
  <sheetFormatPr defaultRowHeight="16"/>
  <cols>
    <col min="1" max="1" width="6.33203125" style="739" customWidth="1"/>
    <col min="2" max="2" width="14.08203125" style="739" customWidth="1"/>
    <col min="3" max="3" width="28" style="739" customWidth="1"/>
    <col min="4" max="12" width="14" style="739" customWidth="1"/>
    <col min="13" max="14" width="9" style="739"/>
  </cols>
  <sheetData>
    <row r="1" spans="1:14">
      <c r="A1" s="1159" t="s">
        <v>5006</v>
      </c>
      <c r="B1" s="1159"/>
      <c r="C1" s="1159"/>
      <c r="D1" s="1159"/>
      <c r="E1" s="1159"/>
      <c r="F1" s="1159"/>
      <c r="G1" s="1159"/>
      <c r="H1" s="1159"/>
      <c r="I1" s="1159"/>
      <c r="J1" s="1159"/>
      <c r="K1" s="1159"/>
      <c r="L1" s="1159"/>
    </row>
    <row r="2" spans="1:14">
      <c r="A2" s="1160"/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</row>
    <row r="3" spans="1:14" ht="26.5">
      <c r="A3" s="1152" t="s">
        <v>5007</v>
      </c>
      <c r="B3" s="1153"/>
      <c r="C3" s="1153"/>
      <c r="D3" s="1153"/>
      <c r="E3" s="1153"/>
      <c r="F3" s="1153"/>
      <c r="G3" s="1153"/>
      <c r="H3" s="1153"/>
      <c r="I3" s="1153"/>
      <c r="J3" s="1153"/>
      <c r="K3" s="1153"/>
      <c r="L3" s="1154"/>
    </row>
    <row r="4" spans="1:14" s="743" customFormat="1" ht="30" customHeight="1">
      <c r="A4" s="741" t="s">
        <v>1</v>
      </c>
      <c r="B4" s="741" t="s">
        <v>5019</v>
      </c>
      <c r="C4" s="741" t="s">
        <v>4445</v>
      </c>
      <c r="D4" s="741" t="s">
        <v>2738</v>
      </c>
      <c r="E4" s="741" t="s">
        <v>5020</v>
      </c>
      <c r="F4" s="741" t="s">
        <v>5008</v>
      </c>
      <c r="G4" s="741" t="s">
        <v>5017</v>
      </c>
      <c r="H4" s="741" t="s">
        <v>5009</v>
      </c>
      <c r="I4" s="741" t="s">
        <v>5010</v>
      </c>
      <c r="J4" s="741" t="s">
        <v>4748</v>
      </c>
      <c r="K4" s="741" t="s">
        <v>5011</v>
      </c>
      <c r="L4" s="741" t="s">
        <v>5012</v>
      </c>
      <c r="M4" s="742"/>
      <c r="N4" s="742"/>
    </row>
    <row r="5" spans="1:14">
      <c r="A5" s="740"/>
      <c r="B5" s="747">
        <v>45596</v>
      </c>
      <c r="C5" s="729" t="s">
        <v>5016</v>
      </c>
      <c r="D5" s="740"/>
      <c r="E5" s="748"/>
      <c r="F5" s="748"/>
      <c r="G5" s="748"/>
      <c r="H5" s="748"/>
      <c r="I5" s="748"/>
      <c r="J5" s="748"/>
      <c r="K5" s="748"/>
      <c r="L5" s="748">
        <v>2159000</v>
      </c>
    </row>
    <row r="6" spans="1:14">
      <c r="A6" s="740">
        <v>1</v>
      </c>
      <c r="B6" s="747">
        <v>45597</v>
      </c>
      <c r="C6" s="740" t="s">
        <v>4503</v>
      </c>
      <c r="D6" s="740"/>
      <c r="E6" s="748"/>
      <c r="F6" s="748"/>
      <c r="G6" s="748"/>
      <c r="H6" s="748"/>
      <c r="I6" s="748"/>
      <c r="J6" s="748"/>
      <c r="K6" s="748">
        <v>417000</v>
      </c>
      <c r="L6" s="748"/>
    </row>
    <row r="7" spans="1:14">
      <c r="A7" s="740">
        <v>2</v>
      </c>
      <c r="B7" s="747">
        <v>45597</v>
      </c>
      <c r="C7" s="740" t="s">
        <v>4571</v>
      </c>
      <c r="D7" s="740"/>
      <c r="E7" s="748">
        <v>10000</v>
      </c>
      <c r="F7" s="748"/>
      <c r="G7" s="748"/>
      <c r="H7" s="748"/>
      <c r="I7" s="748"/>
      <c r="J7" s="748"/>
      <c r="K7" s="748"/>
      <c r="L7" s="748"/>
    </row>
    <row r="8" spans="1:14">
      <c r="A8" s="740">
        <v>3</v>
      </c>
      <c r="B8" s="747">
        <v>45600</v>
      </c>
      <c r="C8" s="740" t="s">
        <v>4571</v>
      </c>
      <c r="D8" s="740"/>
      <c r="E8" s="748">
        <v>10000</v>
      </c>
      <c r="F8" s="748"/>
      <c r="G8" s="748"/>
      <c r="H8" s="748"/>
      <c r="I8" s="748"/>
      <c r="J8" s="748"/>
      <c r="K8" s="748"/>
      <c r="L8" s="748"/>
    </row>
    <row r="9" spans="1:14">
      <c r="A9" s="740">
        <v>4</v>
      </c>
      <c r="B9" s="747">
        <v>45601</v>
      </c>
      <c r="C9" s="740" t="s">
        <v>4853</v>
      </c>
      <c r="D9" s="740"/>
      <c r="E9" s="748">
        <v>10000</v>
      </c>
      <c r="F9" s="748"/>
      <c r="G9" s="748"/>
      <c r="H9" s="748"/>
      <c r="I9" s="748"/>
      <c r="J9" s="748"/>
      <c r="K9" s="748"/>
      <c r="L9" s="748"/>
    </row>
    <row r="10" spans="1:14">
      <c r="A10" s="740">
        <v>5</v>
      </c>
      <c r="B10" s="747">
        <v>45602</v>
      </c>
      <c r="C10" s="740" t="s">
        <v>4210</v>
      </c>
      <c r="D10" s="740"/>
      <c r="E10" s="748"/>
      <c r="F10" s="748">
        <v>9000</v>
      </c>
      <c r="G10" s="748"/>
      <c r="H10" s="748"/>
      <c r="I10" s="748"/>
      <c r="J10" s="748"/>
      <c r="K10" s="748"/>
      <c r="L10" s="748"/>
    </row>
    <row r="11" spans="1:14">
      <c r="A11" s="740">
        <v>6</v>
      </c>
      <c r="B11" s="747">
        <v>45602</v>
      </c>
      <c r="C11" s="740" t="s">
        <v>5021</v>
      </c>
      <c r="D11" s="740"/>
      <c r="E11" s="748"/>
      <c r="F11" s="748">
        <v>20000</v>
      </c>
      <c r="G11" s="748"/>
      <c r="H11" s="748"/>
      <c r="I11" s="748"/>
      <c r="J11" s="748"/>
      <c r="K11" s="748"/>
      <c r="L11" s="748"/>
    </row>
    <row r="12" spans="1:14">
      <c r="A12" s="740">
        <v>7</v>
      </c>
      <c r="B12" s="747">
        <v>45604</v>
      </c>
      <c r="C12" s="740" t="s">
        <v>4503</v>
      </c>
      <c r="D12" s="740"/>
      <c r="E12" s="748"/>
      <c r="F12" s="748"/>
      <c r="G12" s="748"/>
      <c r="H12" s="748"/>
      <c r="I12" s="748"/>
      <c r="J12" s="748"/>
      <c r="K12" s="748">
        <v>450000</v>
      </c>
      <c r="L12" s="748"/>
    </row>
    <row r="13" spans="1:14">
      <c r="A13" s="740">
        <v>8</v>
      </c>
      <c r="B13" s="747">
        <v>45607</v>
      </c>
      <c r="C13" s="740" t="s">
        <v>5022</v>
      </c>
      <c r="D13" s="740"/>
      <c r="E13" s="748"/>
      <c r="F13" s="748"/>
      <c r="G13" s="748"/>
      <c r="H13" s="748">
        <v>11700</v>
      </c>
      <c r="I13" s="748"/>
      <c r="J13" s="748"/>
      <c r="K13" s="748"/>
      <c r="L13" s="748"/>
    </row>
    <row r="14" spans="1:14">
      <c r="A14" s="740">
        <v>9</v>
      </c>
      <c r="B14" s="747">
        <v>45608</v>
      </c>
      <c r="C14" s="740" t="s">
        <v>5022</v>
      </c>
      <c r="D14" s="740"/>
      <c r="E14" s="748"/>
      <c r="F14" s="748"/>
      <c r="G14" s="748"/>
      <c r="H14" s="748">
        <v>200000</v>
      </c>
      <c r="I14" s="748"/>
      <c r="J14" s="748"/>
      <c r="K14" s="748"/>
      <c r="L14" s="748"/>
    </row>
    <row r="15" spans="1:14">
      <c r="A15" s="740">
        <v>10</v>
      </c>
      <c r="B15" s="747">
        <v>45608</v>
      </c>
      <c r="C15" s="740" t="s">
        <v>4210</v>
      </c>
      <c r="D15" s="740"/>
      <c r="E15" s="748"/>
      <c r="F15" s="748">
        <v>9000</v>
      </c>
      <c r="G15" s="748"/>
      <c r="H15" s="748"/>
      <c r="I15" s="748"/>
      <c r="J15" s="748"/>
      <c r="K15" s="748"/>
      <c r="L15" s="748"/>
    </row>
    <row r="16" spans="1:14">
      <c r="A16" s="740">
        <v>11</v>
      </c>
      <c r="B16" s="747">
        <v>45608</v>
      </c>
      <c r="C16" s="740" t="s">
        <v>5023</v>
      </c>
      <c r="D16" s="740"/>
      <c r="E16" s="748">
        <v>10000</v>
      </c>
      <c r="F16" s="748"/>
      <c r="G16" s="748"/>
      <c r="H16" s="748"/>
      <c r="I16" s="748"/>
      <c r="J16" s="748"/>
      <c r="K16" s="748"/>
      <c r="L16" s="748"/>
    </row>
    <row r="17" spans="1:12">
      <c r="A17" s="740">
        <v>12</v>
      </c>
      <c r="B17" s="747">
        <v>45611</v>
      </c>
      <c r="C17" s="740" t="s">
        <v>4210</v>
      </c>
      <c r="D17" s="740"/>
      <c r="E17" s="748"/>
      <c r="F17" s="748">
        <v>9000</v>
      </c>
      <c r="G17" s="748"/>
      <c r="H17" s="748"/>
      <c r="I17" s="748"/>
      <c r="J17" s="748"/>
      <c r="K17" s="748"/>
      <c r="L17" s="748"/>
    </row>
    <row r="18" spans="1:12">
      <c r="A18" s="740">
        <v>13</v>
      </c>
      <c r="B18" s="747">
        <v>45611</v>
      </c>
      <c r="C18" s="740" t="s">
        <v>4503</v>
      </c>
      <c r="D18" s="740"/>
      <c r="E18" s="748"/>
      <c r="F18" s="748"/>
      <c r="G18" s="748"/>
      <c r="H18" s="748"/>
      <c r="I18" s="748"/>
      <c r="J18" s="748"/>
      <c r="K18" s="748">
        <v>450000</v>
      </c>
      <c r="L18" s="748"/>
    </row>
    <row r="19" spans="1:12">
      <c r="A19" s="740">
        <v>14</v>
      </c>
      <c r="B19" s="747">
        <v>45611</v>
      </c>
      <c r="C19" s="740" t="s">
        <v>5024</v>
      </c>
      <c r="D19" s="740"/>
      <c r="E19" s="748">
        <v>10000</v>
      </c>
      <c r="F19" s="748"/>
      <c r="G19" s="748"/>
      <c r="H19" s="748"/>
      <c r="I19" s="748"/>
      <c r="J19" s="748"/>
      <c r="K19" s="748"/>
      <c r="L19" s="748"/>
    </row>
    <row r="20" spans="1:12">
      <c r="A20" s="740">
        <v>15</v>
      </c>
      <c r="B20" s="747">
        <v>45611</v>
      </c>
      <c r="C20" s="740" t="s">
        <v>5025</v>
      </c>
      <c r="D20" s="740"/>
      <c r="E20" s="748"/>
      <c r="F20" s="748">
        <v>8000</v>
      </c>
      <c r="G20" s="748"/>
      <c r="H20" s="748"/>
      <c r="I20" s="748"/>
      <c r="J20" s="748"/>
      <c r="K20" s="748"/>
      <c r="L20" s="748"/>
    </row>
    <row r="21" spans="1:12">
      <c r="A21" s="740">
        <v>16</v>
      </c>
      <c r="B21" s="747">
        <v>45614</v>
      </c>
      <c r="C21" s="740" t="s">
        <v>5022</v>
      </c>
      <c r="D21" s="740"/>
      <c r="E21" s="748"/>
      <c r="F21" s="748"/>
      <c r="G21" s="748"/>
      <c r="H21" s="748">
        <v>100000</v>
      </c>
      <c r="I21" s="748"/>
      <c r="J21" s="748"/>
      <c r="K21" s="748"/>
      <c r="L21" s="748"/>
    </row>
    <row r="22" spans="1:12">
      <c r="A22" s="740">
        <v>17</v>
      </c>
      <c r="B22" s="747">
        <v>45618</v>
      </c>
      <c r="C22" s="740" t="s">
        <v>5026</v>
      </c>
      <c r="D22" s="740"/>
      <c r="E22" s="748"/>
      <c r="F22" s="748"/>
      <c r="G22" s="748"/>
      <c r="H22" s="748"/>
      <c r="I22" s="748"/>
      <c r="J22" s="748"/>
      <c r="K22" s="748"/>
      <c r="L22" s="748">
        <v>5000000</v>
      </c>
    </row>
    <row r="23" spans="1:12">
      <c r="A23" s="740">
        <v>18</v>
      </c>
      <c r="B23" s="747">
        <v>45648</v>
      </c>
      <c r="C23" s="740" t="s">
        <v>4503</v>
      </c>
      <c r="D23" s="740"/>
      <c r="E23" s="748"/>
      <c r="F23" s="748"/>
      <c r="G23" s="748"/>
      <c r="H23" s="748"/>
      <c r="I23" s="748"/>
      <c r="J23" s="748"/>
      <c r="K23" s="748">
        <v>450000</v>
      </c>
      <c r="L23" s="748"/>
    </row>
    <row r="24" spans="1:12">
      <c r="A24" s="740">
        <v>19</v>
      </c>
      <c r="B24" s="747">
        <v>45618</v>
      </c>
      <c r="C24" s="740" t="s">
        <v>4210</v>
      </c>
      <c r="D24" s="740"/>
      <c r="E24" s="748"/>
      <c r="F24" s="748">
        <v>18000</v>
      </c>
      <c r="G24" s="748"/>
      <c r="H24" s="748"/>
      <c r="I24" s="748"/>
      <c r="J24" s="748"/>
      <c r="K24" s="748"/>
      <c r="L24" s="748"/>
    </row>
    <row r="25" spans="1:12">
      <c r="A25" s="740">
        <v>20</v>
      </c>
      <c r="B25" s="747">
        <v>45622</v>
      </c>
      <c r="C25" s="740" t="s">
        <v>4571</v>
      </c>
      <c r="D25" s="740"/>
      <c r="E25" s="748">
        <v>10000</v>
      </c>
      <c r="F25" s="748"/>
      <c r="G25" s="748"/>
      <c r="H25" s="748"/>
      <c r="I25" s="748"/>
      <c r="J25" s="748"/>
      <c r="K25" s="748"/>
      <c r="L25" s="748"/>
    </row>
    <row r="26" spans="1:12">
      <c r="A26" s="740">
        <v>21</v>
      </c>
      <c r="B26" s="747">
        <v>45623</v>
      </c>
      <c r="C26" s="740" t="s">
        <v>5024</v>
      </c>
      <c r="D26" s="740"/>
      <c r="E26" s="748">
        <v>10000</v>
      </c>
      <c r="F26" s="748"/>
      <c r="G26" s="748"/>
      <c r="H26" s="748"/>
      <c r="I26" s="748"/>
      <c r="J26" s="748"/>
      <c r="K26" s="748"/>
      <c r="L26" s="748"/>
    </row>
    <row r="27" spans="1:12">
      <c r="A27" s="740">
        <v>22</v>
      </c>
      <c r="B27" s="747">
        <v>45625</v>
      </c>
      <c r="C27" s="740" t="s">
        <v>4503</v>
      </c>
      <c r="D27" s="740"/>
      <c r="E27" s="748"/>
      <c r="F27" s="748"/>
      <c r="G27" s="748"/>
      <c r="H27" s="748"/>
      <c r="I27" s="748"/>
      <c r="J27" s="748"/>
      <c r="K27" s="748">
        <v>450000</v>
      </c>
      <c r="L27" s="748"/>
    </row>
    <row r="28" spans="1:12">
      <c r="A28" s="1155" t="s">
        <v>5014</v>
      </c>
      <c r="B28" s="1156"/>
      <c r="C28" s="1156"/>
      <c r="D28" s="1161"/>
      <c r="E28" s="749">
        <f t="shared" ref="E28:K28" si="0">SUM(E6:E27)</f>
        <v>70000</v>
      </c>
      <c r="F28" s="749">
        <f t="shared" si="0"/>
        <v>73000</v>
      </c>
      <c r="G28" s="749">
        <f t="shared" si="0"/>
        <v>0</v>
      </c>
      <c r="H28" s="749">
        <f t="shared" si="0"/>
        <v>311700</v>
      </c>
      <c r="I28" s="749">
        <f t="shared" si="0"/>
        <v>0</v>
      </c>
      <c r="J28" s="749">
        <f t="shared" si="0"/>
        <v>0</v>
      </c>
      <c r="K28" s="749">
        <f t="shared" si="0"/>
        <v>2217000</v>
      </c>
      <c r="L28" s="749"/>
    </row>
    <row r="29" spans="1:12">
      <c r="A29" s="1155" t="s">
        <v>5013</v>
      </c>
      <c r="B29" s="1156"/>
      <c r="C29" s="1156"/>
      <c r="D29" s="1161"/>
      <c r="E29" s="1157">
        <f>SUM(E28:K28)</f>
        <v>2671700</v>
      </c>
      <c r="F29" s="1158"/>
      <c r="G29" s="1158"/>
      <c r="H29" s="1158"/>
      <c r="I29" s="1158"/>
      <c r="J29" s="1158"/>
      <c r="K29" s="1158"/>
      <c r="L29" s="749">
        <f>SUM(L5:L28)</f>
        <v>7159000</v>
      </c>
    </row>
    <row r="30" spans="1:12">
      <c r="A30" s="1155" t="s">
        <v>5015</v>
      </c>
      <c r="B30" s="1156"/>
      <c r="C30" s="1156"/>
      <c r="D30" s="1156"/>
      <c r="E30" s="1156"/>
      <c r="F30" s="1156"/>
      <c r="G30" s="1156"/>
      <c r="H30" s="1156"/>
      <c r="I30" s="1156"/>
      <c r="J30" s="1156"/>
      <c r="K30" s="1156"/>
      <c r="L30" s="749">
        <f>L29-E29</f>
        <v>4487300</v>
      </c>
    </row>
    <row r="31" spans="1:12">
      <c r="A31" s="744"/>
      <c r="B31" s="745"/>
      <c r="C31" s="745"/>
      <c r="D31" s="745"/>
      <c r="E31" s="745"/>
      <c r="F31" s="745"/>
      <c r="G31" s="745"/>
      <c r="H31" s="745"/>
      <c r="I31" s="745"/>
      <c r="J31" s="745"/>
      <c r="K31" s="745"/>
      <c r="L31" s="746"/>
    </row>
    <row r="32" spans="1:12" ht="26.5">
      <c r="A32" s="1152" t="s">
        <v>5018</v>
      </c>
      <c r="B32" s="1153"/>
      <c r="C32" s="1153"/>
      <c r="D32" s="1153"/>
      <c r="E32" s="1153"/>
      <c r="F32" s="1153"/>
      <c r="G32" s="1153"/>
      <c r="H32" s="1153"/>
      <c r="I32" s="1153"/>
      <c r="J32" s="1153"/>
      <c r="K32" s="1153"/>
      <c r="L32" s="1154"/>
    </row>
    <row r="33" spans="1:12" ht="32">
      <c r="A33" s="741" t="s">
        <v>1</v>
      </c>
      <c r="B33" s="741"/>
      <c r="C33" s="741" t="s">
        <v>4445</v>
      </c>
      <c r="D33" s="741" t="s">
        <v>2738</v>
      </c>
      <c r="E33" s="741" t="s">
        <v>4479</v>
      </c>
      <c r="F33" s="741" t="s">
        <v>5008</v>
      </c>
      <c r="G33" s="741" t="s">
        <v>5017</v>
      </c>
      <c r="H33" s="741" t="s">
        <v>5009</v>
      </c>
      <c r="I33" s="741" t="s">
        <v>5010</v>
      </c>
      <c r="J33" s="741" t="s">
        <v>4923</v>
      </c>
      <c r="K33" s="741" t="s">
        <v>5011</v>
      </c>
      <c r="L33" s="741" t="s">
        <v>5012</v>
      </c>
    </row>
    <row r="34" spans="1:12">
      <c r="A34" s="740"/>
      <c r="B34" s="747">
        <v>45627</v>
      </c>
      <c r="C34" s="729" t="s">
        <v>5016</v>
      </c>
      <c r="D34" s="740"/>
      <c r="E34" s="748"/>
      <c r="F34" s="748"/>
      <c r="G34" s="748"/>
      <c r="H34" s="748"/>
      <c r="I34" s="748"/>
      <c r="J34" s="748"/>
      <c r="K34" s="748"/>
      <c r="L34" s="748">
        <f>L30</f>
        <v>4487300</v>
      </c>
    </row>
    <row r="35" spans="1:12">
      <c r="A35" s="740">
        <v>1</v>
      </c>
      <c r="B35" s="747">
        <v>45628</v>
      </c>
      <c r="C35" s="740" t="s">
        <v>5075</v>
      </c>
      <c r="D35" s="740"/>
      <c r="E35" s="748"/>
      <c r="F35" s="748">
        <v>36000</v>
      </c>
      <c r="G35" s="748"/>
      <c r="H35" s="748"/>
      <c r="I35" s="748"/>
      <c r="J35" s="748"/>
      <c r="K35" s="748"/>
      <c r="L35" s="748"/>
    </row>
    <row r="36" spans="1:12">
      <c r="A36" s="740">
        <v>2</v>
      </c>
      <c r="B36" s="747">
        <v>45629</v>
      </c>
      <c r="C36" s="740" t="s">
        <v>5076</v>
      </c>
      <c r="D36" s="740"/>
      <c r="E36" s="748"/>
      <c r="F36" s="748">
        <v>5000</v>
      </c>
      <c r="G36" s="748"/>
      <c r="H36" s="748"/>
      <c r="I36" s="748"/>
      <c r="J36" s="748"/>
      <c r="K36" s="748"/>
      <c r="L36" s="748"/>
    </row>
    <row r="37" spans="1:12">
      <c r="A37" s="740">
        <v>3</v>
      </c>
      <c r="B37" s="747">
        <v>45629</v>
      </c>
      <c r="C37" s="740" t="s">
        <v>4210</v>
      </c>
      <c r="D37" s="740"/>
      <c r="E37" s="748"/>
      <c r="F37" s="748">
        <v>9000</v>
      </c>
      <c r="G37" s="748"/>
      <c r="H37" s="748"/>
      <c r="I37" s="748"/>
      <c r="J37" s="748"/>
      <c r="K37" s="748"/>
      <c r="L37" s="748"/>
    </row>
    <row r="38" spans="1:12">
      <c r="A38" s="740">
        <v>4</v>
      </c>
      <c r="B38" s="747">
        <v>45629</v>
      </c>
      <c r="C38" s="740" t="s">
        <v>5077</v>
      </c>
      <c r="D38" s="740"/>
      <c r="E38" s="748"/>
      <c r="F38" s="748"/>
      <c r="G38" s="748"/>
      <c r="H38" s="748">
        <v>11800</v>
      </c>
      <c r="I38" s="748"/>
      <c r="J38" s="748"/>
      <c r="K38" s="748"/>
      <c r="L38" s="748"/>
    </row>
    <row r="39" spans="1:12">
      <c r="A39" s="740">
        <v>5</v>
      </c>
      <c r="B39" s="747">
        <v>45631</v>
      </c>
      <c r="C39" s="740" t="s">
        <v>4217</v>
      </c>
      <c r="D39" s="740"/>
      <c r="E39" s="748"/>
      <c r="F39" s="748">
        <v>15000</v>
      </c>
      <c r="G39" s="748"/>
      <c r="H39" s="748"/>
      <c r="I39" s="748"/>
      <c r="J39" s="748"/>
      <c r="K39" s="748"/>
      <c r="L39" s="748"/>
    </row>
    <row r="40" spans="1:12">
      <c r="A40" s="740">
        <v>6</v>
      </c>
      <c r="B40" s="747">
        <v>45632</v>
      </c>
      <c r="C40" s="740" t="s">
        <v>4503</v>
      </c>
      <c r="D40" s="740"/>
      <c r="E40" s="748"/>
      <c r="F40" s="748"/>
      <c r="G40" s="748"/>
      <c r="H40" s="748"/>
      <c r="I40" s="748"/>
      <c r="J40" s="748"/>
      <c r="K40" s="748">
        <v>450000</v>
      </c>
      <c r="L40" s="748"/>
    </row>
    <row r="41" spans="1:12">
      <c r="A41" s="740">
        <v>7</v>
      </c>
      <c r="B41" s="747">
        <v>45632</v>
      </c>
      <c r="C41" s="740" t="s">
        <v>5078</v>
      </c>
      <c r="D41" s="740"/>
      <c r="E41" s="748"/>
      <c r="F41" s="748"/>
      <c r="G41" s="748"/>
      <c r="H41" s="748"/>
      <c r="I41" s="748"/>
      <c r="J41" s="748"/>
      <c r="K41" s="748"/>
      <c r="L41" s="748">
        <v>28000</v>
      </c>
    </row>
    <row r="42" spans="1:12">
      <c r="A42" s="740">
        <v>8</v>
      </c>
      <c r="B42" s="747">
        <v>45632</v>
      </c>
      <c r="C42" s="740" t="s">
        <v>5079</v>
      </c>
      <c r="D42" s="740" t="s">
        <v>4834</v>
      </c>
      <c r="E42" s="748">
        <v>18000</v>
      </c>
      <c r="F42" s="748"/>
      <c r="G42" s="748"/>
      <c r="H42" s="748"/>
      <c r="I42" s="748"/>
      <c r="J42" s="748"/>
      <c r="K42" s="748"/>
      <c r="L42" s="748"/>
    </row>
    <row r="43" spans="1:12">
      <c r="A43" s="740">
        <v>9</v>
      </c>
      <c r="B43" s="747">
        <v>45634</v>
      </c>
      <c r="C43" s="740" t="s">
        <v>5080</v>
      </c>
      <c r="D43" s="740"/>
      <c r="E43" s="748"/>
      <c r="F43" s="748"/>
      <c r="G43" s="748"/>
      <c r="H43" s="748"/>
      <c r="I43" s="748"/>
      <c r="J43" s="748"/>
      <c r="K43" s="748"/>
      <c r="L43" s="748">
        <v>4000</v>
      </c>
    </row>
    <row r="44" spans="1:12">
      <c r="A44" s="740">
        <v>10</v>
      </c>
      <c r="B44" s="747">
        <v>45636</v>
      </c>
      <c r="C44" s="740" t="s">
        <v>4210</v>
      </c>
      <c r="D44" s="740"/>
      <c r="E44" s="748"/>
      <c r="F44" s="748">
        <v>9000</v>
      </c>
      <c r="G44" s="748"/>
      <c r="H44" s="748"/>
      <c r="I44" s="748"/>
      <c r="J44" s="748"/>
      <c r="K44" s="748"/>
      <c r="L44" s="748"/>
    </row>
    <row r="45" spans="1:12">
      <c r="A45" s="740">
        <v>11</v>
      </c>
      <c r="B45" s="747">
        <v>45636</v>
      </c>
      <c r="C45" s="740" t="s">
        <v>5105</v>
      </c>
      <c r="D45" s="740"/>
      <c r="E45" s="748"/>
      <c r="F45" s="748">
        <v>8000</v>
      </c>
      <c r="G45" s="748"/>
      <c r="H45" s="748"/>
      <c r="I45" s="748"/>
      <c r="J45" s="748"/>
      <c r="K45" s="748"/>
      <c r="L45" s="748"/>
    </row>
    <row r="46" spans="1:12">
      <c r="A46" s="740">
        <v>12</v>
      </c>
      <c r="B46" s="740"/>
      <c r="C46" s="740"/>
      <c r="D46" s="740"/>
      <c r="E46" s="748"/>
      <c r="F46" s="748"/>
      <c r="G46" s="748"/>
      <c r="H46" s="748"/>
      <c r="I46" s="748"/>
      <c r="J46" s="748"/>
      <c r="K46" s="748"/>
      <c r="L46" s="748"/>
    </row>
    <row r="47" spans="1:12">
      <c r="A47" s="740">
        <v>13</v>
      </c>
      <c r="B47" s="740"/>
      <c r="C47" s="740"/>
      <c r="D47" s="740"/>
      <c r="E47" s="748"/>
      <c r="F47" s="748"/>
      <c r="G47" s="748"/>
      <c r="H47" s="748"/>
      <c r="I47" s="748"/>
      <c r="J47" s="748"/>
      <c r="K47" s="748"/>
      <c r="L47" s="748"/>
    </row>
    <row r="48" spans="1:12">
      <c r="A48" s="740">
        <v>14</v>
      </c>
      <c r="B48" s="740"/>
      <c r="C48" s="740"/>
      <c r="D48" s="740"/>
      <c r="E48" s="748"/>
      <c r="F48" s="748"/>
      <c r="G48" s="748"/>
      <c r="H48" s="748"/>
      <c r="I48" s="748"/>
      <c r="J48" s="748"/>
      <c r="K48" s="748"/>
      <c r="L48" s="748"/>
    </row>
    <row r="49" spans="1:12">
      <c r="A49" s="740">
        <v>15</v>
      </c>
      <c r="B49" s="740"/>
      <c r="C49" s="740"/>
      <c r="D49" s="740"/>
      <c r="E49" s="748"/>
      <c r="F49" s="748"/>
      <c r="G49" s="748"/>
      <c r="H49" s="748"/>
      <c r="I49" s="748"/>
      <c r="J49" s="748"/>
      <c r="K49" s="748"/>
      <c r="L49" s="748"/>
    </row>
    <row r="50" spans="1:12">
      <c r="A50" s="740">
        <v>16</v>
      </c>
      <c r="B50" s="740"/>
      <c r="C50" s="740"/>
      <c r="D50" s="740"/>
      <c r="E50" s="748"/>
      <c r="F50" s="748"/>
      <c r="G50" s="748"/>
      <c r="H50" s="748"/>
      <c r="I50" s="748"/>
      <c r="J50" s="748"/>
      <c r="K50" s="748"/>
      <c r="L50" s="748"/>
    </row>
    <row r="51" spans="1:12">
      <c r="A51" s="740">
        <v>17</v>
      </c>
      <c r="B51" s="740"/>
      <c r="C51" s="740"/>
      <c r="D51" s="740"/>
      <c r="E51" s="748"/>
      <c r="F51" s="748"/>
      <c r="G51" s="748"/>
      <c r="H51" s="748"/>
      <c r="I51" s="748"/>
      <c r="J51" s="748"/>
      <c r="K51" s="748"/>
      <c r="L51" s="748"/>
    </row>
    <row r="52" spans="1:12">
      <c r="A52" s="740">
        <v>18</v>
      </c>
      <c r="B52" s="740"/>
      <c r="C52" s="740"/>
      <c r="D52" s="740"/>
      <c r="E52" s="748"/>
      <c r="F52" s="748"/>
      <c r="G52" s="748"/>
      <c r="H52" s="748"/>
      <c r="I52" s="748"/>
      <c r="J52" s="748"/>
      <c r="K52" s="748"/>
      <c r="L52" s="748"/>
    </row>
    <row r="53" spans="1:12">
      <c r="A53" s="740">
        <v>19</v>
      </c>
      <c r="B53" s="740"/>
      <c r="C53" s="740"/>
      <c r="D53" s="740"/>
      <c r="E53" s="748"/>
      <c r="F53" s="748"/>
      <c r="G53" s="748"/>
      <c r="H53" s="748"/>
      <c r="I53" s="748"/>
      <c r="J53" s="748"/>
      <c r="K53" s="748"/>
      <c r="L53" s="748"/>
    </row>
    <row r="54" spans="1:12">
      <c r="A54" s="740">
        <v>20</v>
      </c>
      <c r="B54" s="740"/>
      <c r="C54" s="740"/>
      <c r="D54" s="740"/>
      <c r="E54" s="748"/>
      <c r="F54" s="748"/>
      <c r="G54" s="748"/>
      <c r="H54" s="748"/>
      <c r="I54" s="748"/>
      <c r="J54" s="748"/>
      <c r="K54" s="748"/>
      <c r="L54" s="748"/>
    </row>
    <row r="55" spans="1:12">
      <c r="A55" s="740">
        <v>21</v>
      </c>
      <c r="B55" s="740"/>
      <c r="C55" s="740"/>
      <c r="D55" s="740"/>
      <c r="E55" s="748"/>
      <c r="F55" s="748"/>
      <c r="G55" s="748"/>
      <c r="H55" s="748"/>
      <c r="I55" s="748"/>
      <c r="J55" s="748"/>
      <c r="K55" s="748"/>
      <c r="L55" s="748"/>
    </row>
    <row r="56" spans="1:12">
      <c r="A56" s="740">
        <v>22</v>
      </c>
      <c r="B56" s="740"/>
      <c r="C56" s="740"/>
      <c r="D56" s="740"/>
      <c r="E56" s="748"/>
      <c r="F56" s="748"/>
      <c r="G56" s="748"/>
      <c r="H56" s="748"/>
      <c r="I56" s="748"/>
      <c r="J56" s="748"/>
      <c r="K56" s="748"/>
      <c r="L56" s="748"/>
    </row>
    <row r="57" spans="1:12">
      <c r="A57" s="740">
        <v>23</v>
      </c>
      <c r="B57" s="740"/>
      <c r="C57" s="740"/>
      <c r="D57" s="740"/>
      <c r="E57" s="748"/>
      <c r="F57" s="748"/>
      <c r="G57" s="748"/>
      <c r="H57" s="748"/>
      <c r="I57" s="748"/>
      <c r="J57" s="748"/>
      <c r="K57" s="748"/>
      <c r="L57" s="748"/>
    </row>
    <row r="58" spans="1:12">
      <c r="A58" s="740">
        <v>24</v>
      </c>
      <c r="B58" s="740"/>
      <c r="C58" s="740"/>
      <c r="D58" s="740"/>
      <c r="E58" s="748"/>
      <c r="F58" s="748"/>
      <c r="G58" s="748"/>
      <c r="H58" s="748"/>
      <c r="I58" s="748"/>
      <c r="J58" s="748"/>
      <c r="K58" s="748"/>
      <c r="L58" s="748"/>
    </row>
    <row r="59" spans="1:12">
      <c r="A59" s="1155" t="s">
        <v>5014</v>
      </c>
      <c r="B59" s="1156"/>
      <c r="C59" s="1156"/>
      <c r="D59" s="1161"/>
      <c r="E59" s="749">
        <f>SUM(E35:E58)</f>
        <v>18000</v>
      </c>
      <c r="F59" s="749">
        <f t="shared" ref="F59" si="1">SUM(F35:F58)</f>
        <v>82000</v>
      </c>
      <c r="G59" s="749">
        <f t="shared" ref="G59" si="2">SUM(G35:G58)</f>
        <v>0</v>
      </c>
      <c r="H59" s="749">
        <f t="shared" ref="H59" si="3">SUM(H35:H58)</f>
        <v>11800</v>
      </c>
      <c r="I59" s="749">
        <f t="shared" ref="I59" si="4">SUM(I35:I58)</f>
        <v>0</v>
      </c>
      <c r="J59" s="749">
        <f t="shared" ref="J59" si="5">SUM(J35:J58)</f>
        <v>0</v>
      </c>
      <c r="K59" s="749">
        <f t="shared" ref="K59" si="6">SUM(K35:K58)</f>
        <v>450000</v>
      </c>
      <c r="L59" s="749"/>
    </row>
    <row r="60" spans="1:12">
      <c r="A60" s="1155" t="s">
        <v>5013</v>
      </c>
      <c r="B60" s="1156"/>
      <c r="C60" s="1156"/>
      <c r="D60" s="1161"/>
      <c r="E60" s="1162">
        <f>SUM(E59:K59)</f>
        <v>561800</v>
      </c>
      <c r="F60" s="1163"/>
      <c r="G60" s="1163"/>
      <c r="H60" s="1163"/>
      <c r="I60" s="1163"/>
      <c r="J60" s="1163"/>
      <c r="K60" s="1163"/>
      <c r="L60" s="749"/>
    </row>
    <row r="61" spans="1:12">
      <c r="A61" s="1155" t="s">
        <v>5015</v>
      </c>
      <c r="B61" s="1156"/>
      <c r="C61" s="1156"/>
      <c r="D61" s="1156"/>
      <c r="E61" s="1156"/>
      <c r="F61" s="1156"/>
      <c r="G61" s="1156"/>
      <c r="H61" s="1156"/>
      <c r="I61" s="1156"/>
      <c r="J61" s="1156"/>
      <c r="K61" s="1156"/>
      <c r="L61" s="749">
        <f>L34-E60</f>
        <v>3925500</v>
      </c>
    </row>
  </sheetData>
  <mergeCells count="11">
    <mergeCell ref="A3:L3"/>
    <mergeCell ref="A30:K30"/>
    <mergeCell ref="E29:K29"/>
    <mergeCell ref="A1:L2"/>
    <mergeCell ref="A61:K61"/>
    <mergeCell ref="A28:D28"/>
    <mergeCell ref="A29:D29"/>
    <mergeCell ref="A32:L32"/>
    <mergeCell ref="A59:D59"/>
    <mergeCell ref="A60:D60"/>
    <mergeCell ref="E60:K60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183C-0BD0-494D-8D24-253ACDEA3C2A}">
  <sheetPr>
    <tabColor rgb="FF92D050"/>
    <pageSetUpPr fitToPage="1"/>
  </sheetPr>
  <dimension ref="A1:Y98"/>
  <sheetViews>
    <sheetView tabSelected="1" zoomScale="85" zoomScaleNormal="85" workbookViewId="0">
      <pane xSplit="5" ySplit="4" topLeftCell="F22" activePane="bottomRight" state="frozen"/>
      <selection pane="topRight" activeCell="F1" sqref="F1"/>
      <selection pane="bottomLeft" activeCell="A5" sqref="A5"/>
      <selection pane="bottomRight" activeCell="F28" sqref="F28:F34"/>
    </sheetView>
  </sheetViews>
  <sheetFormatPr defaultColWidth="14.33203125" defaultRowHeight="15" customHeight="1"/>
  <cols>
    <col min="1" max="1" width="4.58203125" style="1" customWidth="1"/>
    <col min="2" max="2" width="14.75" style="1" customWidth="1"/>
    <col min="3" max="3" width="14.08203125" style="1" customWidth="1"/>
    <col min="4" max="4" width="30.08203125" style="1" customWidth="1"/>
    <col min="5" max="5" width="19.83203125" style="1" customWidth="1"/>
    <col min="6" max="6" width="21" style="1" customWidth="1"/>
    <col min="7" max="7" width="10.25" style="1" customWidth="1"/>
    <col min="8" max="8" width="17.33203125" style="1" customWidth="1"/>
    <col min="9" max="9" width="17.58203125" style="1" customWidth="1"/>
    <col min="10" max="10" width="11.58203125" style="1" customWidth="1"/>
    <col min="11" max="11" width="29.25" style="1" customWidth="1"/>
    <col min="12" max="12" width="14.75" style="624" customWidth="1"/>
    <col min="13" max="13" width="25.08203125" style="1" customWidth="1"/>
    <col min="14" max="14" width="38.25" style="1" customWidth="1"/>
    <col min="15" max="15" width="11.75" style="1" customWidth="1"/>
    <col min="16" max="16" width="11.58203125" style="1" customWidth="1"/>
    <col min="17" max="17" width="16.58203125" style="1" customWidth="1"/>
    <col min="18" max="18" width="14.75" style="50" customWidth="1"/>
    <col min="19" max="19" width="15.75" style="1" customWidth="1"/>
    <col min="20" max="20" width="17.33203125" style="1" customWidth="1"/>
    <col min="21" max="21" width="18.58203125" style="1" customWidth="1"/>
    <col min="22" max="22" width="14.5" style="1" customWidth="1"/>
    <col min="23" max="23" width="14.75" style="1" customWidth="1"/>
    <col min="24" max="24" width="12" style="1" customWidth="1"/>
    <col min="25" max="25" width="23.25" style="1" customWidth="1"/>
    <col min="26" max="26" width="15.25" style="1" customWidth="1"/>
    <col min="27" max="16384" width="14.33203125" style="1"/>
  </cols>
  <sheetData>
    <row r="1" spans="1:25" s="775" customFormat="1" ht="45" customHeight="1">
      <c r="A1" s="1202" t="s">
        <v>4449</v>
      </c>
      <c r="B1" s="1202"/>
      <c r="C1" s="1202"/>
      <c r="D1" s="1203"/>
      <c r="E1" s="1203"/>
      <c r="F1" s="1203"/>
      <c r="G1" s="1203"/>
      <c r="H1" s="1203"/>
      <c r="I1" s="1203"/>
      <c r="J1" s="1203"/>
      <c r="K1" s="1203"/>
      <c r="L1" s="1203"/>
      <c r="M1" s="1203"/>
      <c r="N1" s="1203"/>
      <c r="O1" s="1203"/>
      <c r="P1" s="1203"/>
      <c r="Q1" s="1203"/>
      <c r="R1" s="1203"/>
      <c r="S1" s="1203"/>
      <c r="T1" s="1203"/>
      <c r="U1" s="1203"/>
      <c r="V1" s="1203"/>
      <c r="W1" s="1203"/>
      <c r="X1" s="1203"/>
      <c r="Y1" s="1203"/>
    </row>
    <row r="2" spans="1:25" s="779" customFormat="1" ht="24" customHeight="1">
      <c r="A2" s="1204" t="s">
        <v>3853</v>
      </c>
      <c r="B2" s="1204"/>
      <c r="C2" s="1204"/>
      <c r="D2" s="1204"/>
      <c r="E2" s="1204"/>
      <c r="F2" s="1204"/>
      <c r="G2" s="776"/>
      <c r="H2" s="776"/>
      <c r="I2" s="776"/>
      <c r="J2" s="776"/>
      <c r="K2" s="776"/>
      <c r="L2" s="777"/>
      <c r="M2" s="776"/>
      <c r="N2" s="776"/>
      <c r="O2" s="776"/>
      <c r="P2" s="776"/>
      <c r="Q2" s="776"/>
      <c r="R2" s="778"/>
      <c r="S2" s="776"/>
      <c r="T2" s="776"/>
      <c r="U2" s="776"/>
      <c r="V2" s="776"/>
      <c r="W2" s="776"/>
      <c r="X2" s="776"/>
      <c r="Y2" s="776"/>
    </row>
    <row r="3" spans="1:25" s="619" customFormat="1" ht="15" customHeight="1">
      <c r="A3" s="1200" t="s">
        <v>1</v>
      </c>
      <c r="B3" s="1200" t="s">
        <v>2738</v>
      </c>
      <c r="C3" s="1200" t="s">
        <v>4446</v>
      </c>
      <c r="D3" s="1200" t="s">
        <v>4435</v>
      </c>
      <c r="E3" s="1200" t="s">
        <v>4436</v>
      </c>
      <c r="F3" s="1200" t="s">
        <v>4452</v>
      </c>
      <c r="G3" s="1200" t="s">
        <v>4437</v>
      </c>
      <c r="H3" s="1200" t="s">
        <v>4475</v>
      </c>
      <c r="I3" s="1200" t="s">
        <v>10</v>
      </c>
      <c r="J3" s="1200" t="s">
        <v>13</v>
      </c>
      <c r="K3" s="1200" t="s">
        <v>4444</v>
      </c>
      <c r="L3" s="1200"/>
      <c r="M3" s="1200"/>
      <c r="N3" s="1200"/>
      <c r="O3" s="1200"/>
      <c r="P3" s="1200"/>
      <c r="Q3" s="1200" t="s">
        <v>4438</v>
      </c>
      <c r="R3" s="1200" t="s">
        <v>4439</v>
      </c>
      <c r="S3" s="1198" t="s">
        <v>4440</v>
      </c>
      <c r="T3" s="1198" t="s">
        <v>4441</v>
      </c>
      <c r="U3" s="1198" t="s">
        <v>21</v>
      </c>
      <c r="V3" s="1198" t="s">
        <v>4368</v>
      </c>
      <c r="W3" s="1198" t="s">
        <v>4448</v>
      </c>
      <c r="X3" s="1200" t="s">
        <v>3278</v>
      </c>
      <c r="Y3" s="1200" t="s">
        <v>4447</v>
      </c>
    </row>
    <row r="4" spans="1:25" s="621" customFormat="1" ht="15" customHeight="1">
      <c r="A4" s="1200"/>
      <c r="B4" s="1200"/>
      <c r="C4" s="1200"/>
      <c r="D4" s="1200"/>
      <c r="E4" s="1200"/>
      <c r="F4" s="1200"/>
      <c r="G4" s="1200"/>
      <c r="H4" s="1200"/>
      <c r="I4" s="1200"/>
      <c r="J4" s="1200"/>
      <c r="K4" s="620" t="s">
        <v>4445</v>
      </c>
      <c r="L4" s="620" t="s">
        <v>4442</v>
      </c>
      <c r="M4" s="620" t="s">
        <v>4443</v>
      </c>
      <c r="N4" s="620" t="s">
        <v>4473</v>
      </c>
      <c r="O4" s="620" t="s">
        <v>4474</v>
      </c>
      <c r="P4" s="620" t="s">
        <v>3278</v>
      </c>
      <c r="Q4" s="1200"/>
      <c r="R4" s="1200"/>
      <c r="S4" s="1201"/>
      <c r="T4" s="1201"/>
      <c r="U4" s="1199"/>
      <c r="V4" s="1199"/>
      <c r="W4" s="1199"/>
      <c r="X4" s="1200"/>
      <c r="Y4" s="1200"/>
    </row>
    <row r="5" spans="1:25" ht="38.25" customHeight="1">
      <c r="A5" s="1205" t="s">
        <v>4839</v>
      </c>
      <c r="B5" s="1205"/>
      <c r="C5" s="1205"/>
      <c r="D5" s="1205"/>
      <c r="E5" s="1205"/>
      <c r="F5" s="1205"/>
      <c r="G5" s="618"/>
      <c r="H5" s="618"/>
      <c r="I5" s="618"/>
      <c r="J5" s="618"/>
      <c r="K5" s="618"/>
      <c r="L5" s="623"/>
      <c r="M5" s="618"/>
      <c r="N5" s="618"/>
      <c r="O5" s="618"/>
      <c r="P5" s="618"/>
      <c r="Q5" s="618"/>
      <c r="R5" s="657"/>
      <c r="S5" s="618"/>
      <c r="T5" s="618"/>
      <c r="U5" s="618"/>
      <c r="V5" s="618"/>
      <c r="W5" s="618"/>
      <c r="X5" s="618"/>
      <c r="Y5" s="618"/>
    </row>
    <row r="6" spans="1:25" ht="15" customHeight="1">
      <c r="A6" s="1200" t="s">
        <v>1</v>
      </c>
      <c r="B6" s="1200" t="s">
        <v>2738</v>
      </c>
      <c r="C6" s="1200" t="s">
        <v>4446</v>
      </c>
      <c r="D6" s="1200" t="s">
        <v>4435</v>
      </c>
      <c r="E6" s="1200" t="s">
        <v>4436</v>
      </c>
      <c r="F6" s="1200" t="s">
        <v>4452</v>
      </c>
      <c r="G6" s="1200" t="s">
        <v>4437</v>
      </c>
      <c r="H6" s="1200" t="s">
        <v>4475</v>
      </c>
      <c r="I6" s="1200" t="s">
        <v>10</v>
      </c>
      <c r="J6" s="1200" t="s">
        <v>13</v>
      </c>
      <c r="K6" s="1200" t="s">
        <v>4444</v>
      </c>
      <c r="L6" s="1200"/>
      <c r="M6" s="1200"/>
      <c r="N6" s="1200"/>
      <c r="O6" s="1200"/>
      <c r="P6" s="1200"/>
      <c r="Q6" s="1200" t="s">
        <v>4438</v>
      </c>
      <c r="R6" s="1200" t="s">
        <v>4439</v>
      </c>
      <c r="S6" s="1198" t="s">
        <v>4440</v>
      </c>
      <c r="T6" s="1198" t="s">
        <v>4441</v>
      </c>
      <c r="U6" s="1198" t="s">
        <v>21</v>
      </c>
      <c r="V6" s="1198" t="s">
        <v>4368</v>
      </c>
      <c r="W6" s="1198" t="s">
        <v>4448</v>
      </c>
      <c r="X6" s="1200" t="s">
        <v>3278</v>
      </c>
      <c r="Y6" s="1200" t="s">
        <v>4447</v>
      </c>
    </row>
    <row r="7" spans="1:25" ht="15" customHeight="1">
      <c r="A7" s="1200"/>
      <c r="B7" s="1200"/>
      <c r="C7" s="1200"/>
      <c r="D7" s="1200"/>
      <c r="E7" s="1200"/>
      <c r="F7" s="1200"/>
      <c r="G7" s="1200"/>
      <c r="H7" s="1198"/>
      <c r="I7" s="1200"/>
      <c r="J7" s="1200"/>
      <c r="K7" s="620" t="s">
        <v>4445</v>
      </c>
      <c r="L7" s="620" t="s">
        <v>4442</v>
      </c>
      <c r="M7" s="620" t="s">
        <v>4443</v>
      </c>
      <c r="N7" s="620" t="s">
        <v>4473</v>
      </c>
      <c r="O7" s="620" t="s">
        <v>4474</v>
      </c>
      <c r="P7" s="620" t="s">
        <v>3278</v>
      </c>
      <c r="Q7" s="1200"/>
      <c r="R7" s="1200"/>
      <c r="S7" s="1199"/>
      <c r="T7" s="1199"/>
      <c r="U7" s="1199"/>
      <c r="V7" s="1199"/>
      <c r="W7" s="1199"/>
      <c r="X7" s="1200"/>
      <c r="Y7" s="1200"/>
    </row>
    <row r="8" spans="1:25" s="782" customFormat="1" ht="15" customHeight="1">
      <c r="A8" s="1206">
        <v>1</v>
      </c>
      <c r="B8" s="1206" t="s">
        <v>4840</v>
      </c>
      <c r="C8" s="1206" t="s">
        <v>4659</v>
      </c>
      <c r="D8" s="1208" t="s">
        <v>4660</v>
      </c>
      <c r="E8" s="1206" t="s">
        <v>4841</v>
      </c>
      <c r="F8" s="1206" t="s">
        <v>40</v>
      </c>
      <c r="G8" s="1208" t="s">
        <v>71</v>
      </c>
      <c r="H8" s="1239" t="s">
        <v>4842</v>
      </c>
      <c r="I8" s="1206" t="s">
        <v>4664</v>
      </c>
      <c r="J8" s="1210">
        <v>45628</v>
      </c>
      <c r="K8" s="781" t="s">
        <v>4838</v>
      </c>
      <c r="L8" s="718">
        <v>275000</v>
      </c>
      <c r="M8" s="781" t="s">
        <v>5119</v>
      </c>
      <c r="N8" s="717" t="s">
        <v>5120</v>
      </c>
      <c r="O8" s="715">
        <v>45650</v>
      </c>
      <c r="P8" s="715">
        <v>45652</v>
      </c>
      <c r="Q8" s="1206" t="s">
        <v>5121</v>
      </c>
      <c r="R8" s="1210">
        <v>45653</v>
      </c>
      <c r="S8" s="716">
        <v>450000</v>
      </c>
      <c r="T8" s="716"/>
      <c r="U8" s="1212">
        <f>SUM(T17+S17-L17)</f>
        <v>1000000</v>
      </c>
      <c r="V8" s="1214" t="s">
        <v>4603</v>
      </c>
      <c r="W8" s="1214">
        <v>45684</v>
      </c>
      <c r="X8" s="1214">
        <v>45685</v>
      </c>
      <c r="Y8" s="1214" t="s">
        <v>4797</v>
      </c>
    </row>
    <row r="9" spans="1:25" s="782" customFormat="1" ht="15" customHeight="1">
      <c r="A9" s="1207"/>
      <c r="B9" s="1207"/>
      <c r="C9" s="1207"/>
      <c r="D9" s="1209"/>
      <c r="E9" s="1207"/>
      <c r="F9" s="1207"/>
      <c r="G9" s="1209"/>
      <c r="H9" s="1207"/>
      <c r="I9" s="1207"/>
      <c r="J9" s="1211"/>
      <c r="K9" s="781" t="s">
        <v>4661</v>
      </c>
      <c r="L9" s="718">
        <v>350000</v>
      </c>
      <c r="M9" s="781" t="s">
        <v>5119</v>
      </c>
      <c r="N9" s="717" t="s">
        <v>5120</v>
      </c>
      <c r="O9" s="715">
        <v>45630</v>
      </c>
      <c r="P9" s="715">
        <v>45630</v>
      </c>
      <c r="Q9" s="1207"/>
      <c r="R9" s="1211"/>
      <c r="S9" s="716">
        <v>500000</v>
      </c>
      <c r="T9" s="716"/>
      <c r="U9" s="1213"/>
      <c r="V9" s="1215"/>
      <c r="W9" s="1215"/>
      <c r="X9" s="1215"/>
      <c r="Y9" s="1215"/>
    </row>
    <row r="10" spans="1:25" s="782" customFormat="1" ht="15" customHeight="1">
      <c r="A10" s="1207"/>
      <c r="B10" s="1207"/>
      <c r="C10" s="1207"/>
      <c r="D10" s="1209"/>
      <c r="E10" s="1207"/>
      <c r="F10" s="1207"/>
      <c r="G10" s="1209"/>
      <c r="H10" s="1207"/>
      <c r="I10" s="1207"/>
      <c r="J10" s="1211"/>
      <c r="K10" s="781" t="s">
        <v>4523</v>
      </c>
      <c r="L10" s="718">
        <v>150000</v>
      </c>
      <c r="M10" s="781" t="s">
        <v>5119</v>
      </c>
      <c r="N10" s="717" t="s">
        <v>5120</v>
      </c>
      <c r="O10" s="715"/>
      <c r="P10" s="715"/>
      <c r="Q10" s="1207"/>
      <c r="R10" s="1211"/>
      <c r="S10" s="716">
        <v>200000</v>
      </c>
      <c r="T10" s="716"/>
      <c r="U10" s="1213"/>
      <c r="V10" s="1215"/>
      <c r="W10" s="1215"/>
      <c r="X10" s="1215"/>
      <c r="Y10" s="1215"/>
    </row>
    <row r="11" spans="1:25" s="782" customFormat="1" ht="15" customHeight="1">
      <c r="A11" s="1207"/>
      <c r="B11" s="1207"/>
      <c r="C11" s="1207"/>
      <c r="D11" s="1209"/>
      <c r="E11" s="1207"/>
      <c r="F11" s="1207"/>
      <c r="G11" s="1209"/>
      <c r="H11" s="1207"/>
      <c r="I11" s="1207"/>
      <c r="J11" s="1211"/>
      <c r="K11" s="781" t="s">
        <v>4522</v>
      </c>
      <c r="L11" s="718">
        <v>50000</v>
      </c>
      <c r="M11" s="781" t="s">
        <v>5119</v>
      </c>
      <c r="N11" s="717" t="s">
        <v>5120</v>
      </c>
      <c r="O11" s="715"/>
      <c r="P11" s="715"/>
      <c r="Q11" s="1207"/>
      <c r="R11" s="1211"/>
      <c r="S11" s="716">
        <v>175000</v>
      </c>
      <c r="T11" s="716"/>
      <c r="U11" s="1213"/>
      <c r="V11" s="1215"/>
      <c r="W11" s="1215"/>
      <c r="X11" s="1215"/>
      <c r="Y11" s="1215"/>
    </row>
    <row r="12" spans="1:25" s="782" customFormat="1" ht="15" customHeight="1">
      <c r="A12" s="1207"/>
      <c r="B12" s="1207"/>
      <c r="C12" s="1207"/>
      <c r="D12" s="1209"/>
      <c r="E12" s="1207"/>
      <c r="F12" s="1207"/>
      <c r="G12" s="1209"/>
      <c r="H12" s="1207"/>
      <c r="I12" s="1207"/>
      <c r="J12" s="1211"/>
      <c r="K12" s="781" t="s">
        <v>4555</v>
      </c>
      <c r="L12" s="718">
        <v>2000000</v>
      </c>
      <c r="M12" s="781" t="s">
        <v>5122</v>
      </c>
      <c r="N12" s="717" t="s">
        <v>4682</v>
      </c>
      <c r="O12" s="715"/>
      <c r="P12" s="715"/>
      <c r="Q12" s="1207"/>
      <c r="R12" s="1211"/>
      <c r="S12" s="716">
        <v>2900000</v>
      </c>
      <c r="T12" s="716"/>
      <c r="U12" s="1213"/>
      <c r="V12" s="1215"/>
      <c r="W12" s="1215"/>
      <c r="X12" s="1215"/>
      <c r="Y12" s="1215"/>
    </row>
    <row r="13" spans="1:25" s="782" customFormat="1" ht="15" customHeight="1">
      <c r="A13" s="1207"/>
      <c r="B13" s="1207"/>
      <c r="C13" s="1207"/>
      <c r="D13" s="1209"/>
      <c r="E13" s="1207"/>
      <c r="F13" s="1207"/>
      <c r="G13" s="1209"/>
      <c r="H13" s="1207"/>
      <c r="I13" s="1207"/>
      <c r="J13" s="1211"/>
      <c r="K13" s="781" t="s">
        <v>4556</v>
      </c>
      <c r="L13" s="718">
        <v>200000</v>
      </c>
      <c r="M13" s="781" t="s">
        <v>5122</v>
      </c>
      <c r="N13" s="717" t="s">
        <v>4682</v>
      </c>
      <c r="O13" s="715"/>
      <c r="P13" s="715"/>
      <c r="Q13" s="1207"/>
      <c r="R13" s="1211"/>
      <c r="S13" s="716"/>
      <c r="T13" s="716"/>
      <c r="U13" s="1213"/>
      <c r="V13" s="1215"/>
      <c r="W13" s="1215"/>
      <c r="X13" s="1215"/>
      <c r="Y13" s="1215"/>
    </row>
    <row r="14" spans="1:25" s="782" customFormat="1" ht="15" customHeight="1">
      <c r="A14" s="1207"/>
      <c r="B14" s="1207"/>
      <c r="C14" s="1207"/>
      <c r="D14" s="1209"/>
      <c r="E14" s="1207"/>
      <c r="F14" s="1207"/>
      <c r="G14" s="1209"/>
      <c r="H14" s="1207"/>
      <c r="I14" s="1207"/>
      <c r="J14" s="1211"/>
      <c r="K14" s="781" t="s">
        <v>4601</v>
      </c>
      <c r="L14" s="718">
        <v>2563000</v>
      </c>
      <c r="M14" s="781" t="s">
        <v>5123</v>
      </c>
      <c r="N14" s="717" t="s">
        <v>5124</v>
      </c>
      <c r="O14" s="715">
        <v>45628</v>
      </c>
      <c r="P14" s="715">
        <v>45628</v>
      </c>
      <c r="Q14" s="1207"/>
      <c r="R14" s="1211"/>
      <c r="S14" s="716"/>
      <c r="T14" s="716">
        <v>2563000</v>
      </c>
      <c r="U14" s="1213"/>
      <c r="V14" s="1215"/>
      <c r="W14" s="1215"/>
      <c r="X14" s="1215"/>
      <c r="Y14" s="1215"/>
    </row>
    <row r="15" spans="1:25" s="782" customFormat="1" ht="15" customHeight="1">
      <c r="A15" s="1207"/>
      <c r="B15" s="1207"/>
      <c r="C15" s="1207"/>
      <c r="D15" s="1209"/>
      <c r="E15" s="1207"/>
      <c r="F15" s="1207"/>
      <c r="G15" s="1209"/>
      <c r="H15" s="1207"/>
      <c r="I15" s="1207"/>
      <c r="J15" s="1211"/>
      <c r="K15" s="781" t="s">
        <v>4521</v>
      </c>
      <c r="L15" s="718">
        <v>200000</v>
      </c>
      <c r="M15" s="781" t="s">
        <v>5125</v>
      </c>
      <c r="N15" s="717" t="s">
        <v>4662</v>
      </c>
      <c r="O15" s="715" t="s">
        <v>40</v>
      </c>
      <c r="P15" s="715">
        <v>45653</v>
      </c>
      <c r="Q15" s="1207"/>
      <c r="R15" s="1211"/>
      <c r="S15" s="716"/>
      <c r="T15" s="716"/>
      <c r="U15" s="1213"/>
      <c r="V15" s="1215"/>
      <c r="W15" s="1215"/>
      <c r="X15" s="1215"/>
      <c r="Y15" s="1215"/>
    </row>
    <row r="16" spans="1:25" s="782" customFormat="1" ht="15" customHeight="1">
      <c r="A16" s="1207"/>
      <c r="B16" s="1207"/>
      <c r="C16" s="1207"/>
      <c r="D16" s="1209"/>
      <c r="E16" s="1207"/>
      <c r="F16" s="1207"/>
      <c r="G16" s="1209"/>
      <c r="H16" s="1207"/>
      <c r="I16" s="1207"/>
      <c r="J16" s="1211"/>
      <c r="K16" s="781" t="s">
        <v>5065</v>
      </c>
      <c r="L16" s="718">
        <v>50000</v>
      </c>
      <c r="M16" s="781" t="s">
        <v>5123</v>
      </c>
      <c r="N16" s="717" t="s">
        <v>5124</v>
      </c>
      <c r="O16" s="715">
        <v>45628</v>
      </c>
      <c r="P16" s="715">
        <v>45628</v>
      </c>
      <c r="Q16" s="1207"/>
      <c r="R16" s="1211"/>
      <c r="S16" s="716"/>
      <c r="T16" s="716">
        <v>50000</v>
      </c>
      <c r="U16" s="1213"/>
      <c r="V16" s="1215"/>
      <c r="W16" s="1215"/>
      <c r="X16" s="1215"/>
      <c r="Y16" s="1215"/>
    </row>
    <row r="17" spans="1:25" ht="15" customHeight="1">
      <c r="A17" s="659"/>
      <c r="B17" s="659"/>
      <c r="C17" s="660"/>
      <c r="D17" s="661"/>
      <c r="E17" s="660"/>
      <c r="F17" s="660"/>
      <c r="G17" s="661"/>
      <c r="H17" s="662"/>
      <c r="I17" s="660"/>
      <c r="J17" s="663"/>
      <c r="K17" s="664"/>
      <c r="L17" s="1166">
        <f>SUM(L8:L16)</f>
        <v>5838000</v>
      </c>
      <c r="M17" s="1167"/>
      <c r="N17" s="1168"/>
      <c r="O17" s="663"/>
      <c r="P17" s="663"/>
      <c r="Q17" s="665"/>
      <c r="R17" s="666"/>
      <c r="S17" s="625">
        <f>SUM(S8:S16)</f>
        <v>4225000</v>
      </c>
      <c r="T17" s="625">
        <f>SUM(T8:T16)</f>
        <v>2613000</v>
      </c>
      <c r="U17" s="667"/>
      <c r="V17" s="668"/>
      <c r="W17" s="668"/>
      <c r="X17" s="668"/>
      <c r="Y17" s="668"/>
    </row>
    <row r="18" spans="1:25" s="160" customFormat="1" ht="15" customHeight="1">
      <c r="A18" s="1216">
        <v>1</v>
      </c>
      <c r="B18" s="1216" t="s">
        <v>4840</v>
      </c>
      <c r="C18" s="1216" t="s">
        <v>4659</v>
      </c>
      <c r="D18" s="1218" t="s">
        <v>4660</v>
      </c>
      <c r="E18" s="1216" t="s">
        <v>4841</v>
      </c>
      <c r="F18" s="1216" t="s">
        <v>40</v>
      </c>
      <c r="G18" s="1218" t="s">
        <v>71</v>
      </c>
      <c r="H18" s="1220" t="s">
        <v>4842</v>
      </c>
      <c r="I18" s="1216" t="s">
        <v>4664</v>
      </c>
      <c r="J18" s="1221">
        <v>45628</v>
      </c>
      <c r="K18" s="770" t="s">
        <v>4838</v>
      </c>
      <c r="L18" s="685">
        <v>275000</v>
      </c>
      <c r="M18" s="770" t="s">
        <v>5119</v>
      </c>
      <c r="N18" s="686" t="s">
        <v>5120</v>
      </c>
      <c r="O18" s="687">
        <v>45650</v>
      </c>
      <c r="P18" s="687">
        <v>45652</v>
      </c>
      <c r="Q18" s="1216" t="s">
        <v>5121</v>
      </c>
      <c r="R18" s="1221">
        <v>45653</v>
      </c>
      <c r="S18" s="688">
        <v>450000</v>
      </c>
      <c r="T18" s="688"/>
      <c r="U18" s="1223">
        <f>SUM(T27+S27-L27)</f>
        <v>0</v>
      </c>
      <c r="V18" s="1225" t="s">
        <v>4603</v>
      </c>
      <c r="W18" s="1225">
        <v>45684</v>
      </c>
      <c r="X18" s="1225" t="s">
        <v>40</v>
      </c>
      <c r="Y18" s="1225" t="s">
        <v>40</v>
      </c>
    </row>
    <row r="19" spans="1:25" s="160" customFormat="1" ht="15" customHeight="1">
      <c r="A19" s="1217"/>
      <c r="B19" s="1217"/>
      <c r="C19" s="1217"/>
      <c r="D19" s="1219"/>
      <c r="E19" s="1217"/>
      <c r="F19" s="1217"/>
      <c r="G19" s="1219"/>
      <c r="H19" s="1217"/>
      <c r="I19" s="1217"/>
      <c r="J19" s="1222"/>
      <c r="K19" s="770" t="s">
        <v>4661</v>
      </c>
      <c r="L19" s="685">
        <v>350000</v>
      </c>
      <c r="M19" s="770" t="s">
        <v>5119</v>
      </c>
      <c r="N19" s="686" t="s">
        <v>5120</v>
      </c>
      <c r="O19" s="687">
        <v>45630</v>
      </c>
      <c r="P19" s="687">
        <v>45630</v>
      </c>
      <c r="Q19" s="1217"/>
      <c r="R19" s="1222"/>
      <c r="S19" s="688">
        <v>500000</v>
      </c>
      <c r="T19" s="688"/>
      <c r="U19" s="1224"/>
      <c r="V19" s="1226"/>
      <c r="W19" s="1226"/>
      <c r="X19" s="1226"/>
      <c r="Y19" s="1226"/>
    </row>
    <row r="20" spans="1:25" s="160" customFormat="1" ht="15" customHeight="1">
      <c r="A20" s="1217"/>
      <c r="B20" s="1217"/>
      <c r="C20" s="1217"/>
      <c r="D20" s="1219"/>
      <c r="E20" s="1217"/>
      <c r="F20" s="1217"/>
      <c r="G20" s="1219"/>
      <c r="H20" s="1217"/>
      <c r="I20" s="1217"/>
      <c r="J20" s="1222"/>
      <c r="K20" s="770" t="s">
        <v>4523</v>
      </c>
      <c r="L20" s="685">
        <v>150000</v>
      </c>
      <c r="M20" s="770" t="s">
        <v>5119</v>
      </c>
      <c r="N20" s="686" t="s">
        <v>5120</v>
      </c>
      <c r="O20" s="687"/>
      <c r="P20" s="687"/>
      <c r="Q20" s="1217"/>
      <c r="R20" s="1222"/>
      <c r="S20" s="688">
        <v>200000</v>
      </c>
      <c r="T20" s="688"/>
      <c r="U20" s="1224"/>
      <c r="V20" s="1226"/>
      <c r="W20" s="1226"/>
      <c r="X20" s="1226"/>
      <c r="Y20" s="1226"/>
    </row>
    <row r="21" spans="1:25" s="160" customFormat="1" ht="15" customHeight="1">
      <c r="A21" s="1217"/>
      <c r="B21" s="1217"/>
      <c r="C21" s="1217"/>
      <c r="D21" s="1219"/>
      <c r="E21" s="1217"/>
      <c r="F21" s="1217"/>
      <c r="G21" s="1219"/>
      <c r="H21" s="1217"/>
      <c r="I21" s="1217"/>
      <c r="J21" s="1222"/>
      <c r="K21" s="770" t="s">
        <v>4522</v>
      </c>
      <c r="L21" s="685">
        <v>50000</v>
      </c>
      <c r="M21" s="770" t="s">
        <v>5119</v>
      </c>
      <c r="N21" s="686" t="s">
        <v>5120</v>
      </c>
      <c r="O21" s="687"/>
      <c r="P21" s="687"/>
      <c r="Q21" s="1217"/>
      <c r="R21" s="1222"/>
      <c r="S21" s="688">
        <v>175000</v>
      </c>
      <c r="T21" s="688"/>
      <c r="U21" s="1224"/>
      <c r="V21" s="1226"/>
      <c r="W21" s="1226"/>
      <c r="X21" s="1226"/>
      <c r="Y21" s="1226"/>
    </row>
    <row r="22" spans="1:25" s="160" customFormat="1" ht="15" customHeight="1">
      <c r="A22" s="1217"/>
      <c r="B22" s="1217"/>
      <c r="C22" s="1217"/>
      <c r="D22" s="1219"/>
      <c r="E22" s="1217"/>
      <c r="F22" s="1217"/>
      <c r="G22" s="1219"/>
      <c r="H22" s="1217"/>
      <c r="I22" s="1217"/>
      <c r="J22" s="1222"/>
      <c r="K22" s="770" t="s">
        <v>4555</v>
      </c>
      <c r="L22" s="685">
        <v>2000000</v>
      </c>
      <c r="M22" s="770" t="s">
        <v>5122</v>
      </c>
      <c r="N22" s="686" t="s">
        <v>4682</v>
      </c>
      <c r="O22" s="687"/>
      <c r="P22" s="687"/>
      <c r="Q22" s="1217"/>
      <c r="R22" s="1222"/>
      <c r="S22" s="688">
        <v>2900000</v>
      </c>
      <c r="T22" s="688"/>
      <c r="U22" s="1224"/>
      <c r="V22" s="1226"/>
      <c r="W22" s="1226"/>
      <c r="X22" s="1226"/>
      <c r="Y22" s="1226"/>
    </row>
    <row r="23" spans="1:25" s="160" customFormat="1" ht="15" customHeight="1">
      <c r="A23" s="1217"/>
      <c r="B23" s="1217"/>
      <c r="C23" s="1217"/>
      <c r="D23" s="1219"/>
      <c r="E23" s="1217"/>
      <c r="F23" s="1217"/>
      <c r="G23" s="1219"/>
      <c r="H23" s="1217"/>
      <c r="I23" s="1217"/>
      <c r="J23" s="1222"/>
      <c r="K23" s="770" t="s">
        <v>4556</v>
      </c>
      <c r="L23" s="685">
        <v>200000</v>
      </c>
      <c r="M23" s="770" t="s">
        <v>5122</v>
      </c>
      <c r="N23" s="686" t="s">
        <v>4682</v>
      </c>
      <c r="O23" s="687"/>
      <c r="P23" s="687"/>
      <c r="Q23" s="1217"/>
      <c r="R23" s="1222"/>
      <c r="S23" s="688"/>
      <c r="T23" s="688"/>
      <c r="U23" s="1224"/>
      <c r="V23" s="1226"/>
      <c r="W23" s="1226"/>
      <c r="X23" s="1226"/>
      <c r="Y23" s="1226"/>
    </row>
    <row r="24" spans="1:25" s="160" customFormat="1" ht="15" customHeight="1">
      <c r="A24" s="1217"/>
      <c r="B24" s="1217"/>
      <c r="C24" s="1217"/>
      <c r="D24" s="1219"/>
      <c r="E24" s="1217"/>
      <c r="F24" s="1217"/>
      <c r="G24" s="1219"/>
      <c r="H24" s="1217"/>
      <c r="I24" s="1217"/>
      <c r="J24" s="1222"/>
      <c r="K24" s="770" t="s">
        <v>4601</v>
      </c>
      <c r="L24" s="685">
        <v>2563000</v>
      </c>
      <c r="M24" s="770" t="s">
        <v>5123</v>
      </c>
      <c r="N24" s="686" t="s">
        <v>5124</v>
      </c>
      <c r="O24" s="687">
        <v>45628</v>
      </c>
      <c r="P24" s="687">
        <v>45628</v>
      </c>
      <c r="Q24" s="1217"/>
      <c r="R24" s="1222"/>
      <c r="S24" s="688"/>
      <c r="T24" s="688">
        <v>2563000</v>
      </c>
      <c r="U24" s="1224"/>
      <c r="V24" s="1226"/>
      <c r="W24" s="1226"/>
      <c r="X24" s="1226"/>
      <c r="Y24" s="1226"/>
    </row>
    <row r="25" spans="1:25" s="160" customFormat="1" ht="15" customHeight="1">
      <c r="A25" s="1217"/>
      <c r="B25" s="1217"/>
      <c r="C25" s="1217"/>
      <c r="D25" s="1219"/>
      <c r="E25" s="1217"/>
      <c r="F25" s="1217"/>
      <c r="G25" s="1219"/>
      <c r="H25" s="1217"/>
      <c r="I25" s="1217"/>
      <c r="J25" s="1222"/>
      <c r="K25" s="770" t="s">
        <v>4521</v>
      </c>
      <c r="L25" s="685">
        <v>200000</v>
      </c>
      <c r="M25" s="770" t="s">
        <v>5125</v>
      </c>
      <c r="N25" s="686" t="s">
        <v>4662</v>
      </c>
      <c r="O25" s="687" t="s">
        <v>40</v>
      </c>
      <c r="P25" s="687">
        <v>45653</v>
      </c>
      <c r="Q25" s="1217"/>
      <c r="R25" s="1222"/>
      <c r="S25" s="688"/>
      <c r="T25" s="688"/>
      <c r="U25" s="1224"/>
      <c r="V25" s="1226"/>
      <c r="W25" s="1226"/>
      <c r="X25" s="1226"/>
      <c r="Y25" s="1226"/>
    </row>
    <row r="26" spans="1:25" s="160" customFormat="1" ht="15" customHeight="1">
      <c r="A26" s="1217"/>
      <c r="B26" s="1217"/>
      <c r="C26" s="1217"/>
      <c r="D26" s="1219"/>
      <c r="E26" s="1217"/>
      <c r="F26" s="1217"/>
      <c r="G26" s="1219"/>
      <c r="H26" s="1217"/>
      <c r="I26" s="1217"/>
      <c r="J26" s="1222"/>
      <c r="K26" s="770" t="s">
        <v>5065</v>
      </c>
      <c r="L26" s="685">
        <v>50000</v>
      </c>
      <c r="M26" s="770" t="s">
        <v>5123</v>
      </c>
      <c r="N26" s="686" t="s">
        <v>5124</v>
      </c>
      <c r="O26" s="687">
        <v>45628</v>
      </c>
      <c r="P26" s="687">
        <v>45628</v>
      </c>
      <c r="Q26" s="1217"/>
      <c r="R26" s="1222"/>
      <c r="S26" s="688"/>
      <c r="T26" s="688">
        <v>50000</v>
      </c>
      <c r="U26" s="1224"/>
      <c r="V26" s="1226"/>
      <c r="W26" s="1226"/>
      <c r="X26" s="1226"/>
      <c r="Y26" s="1226"/>
    </row>
    <row r="27" spans="1:25" ht="15" customHeight="1">
      <c r="A27" s="660"/>
      <c r="B27" s="660"/>
      <c r="C27" s="660"/>
      <c r="D27" s="661"/>
      <c r="E27" s="660"/>
      <c r="F27" s="660"/>
      <c r="G27" s="661"/>
      <c r="H27" s="662"/>
      <c r="I27" s="660"/>
      <c r="J27" s="663"/>
      <c r="K27" s="664"/>
      <c r="L27" s="1166"/>
      <c r="M27" s="1167"/>
      <c r="N27" s="1168"/>
      <c r="O27" s="663"/>
      <c r="P27" s="663"/>
      <c r="Q27" s="665"/>
      <c r="R27" s="666"/>
      <c r="S27" s="625"/>
      <c r="T27" s="625"/>
      <c r="U27" s="667"/>
      <c r="V27" s="668"/>
      <c r="W27" s="668"/>
      <c r="X27" s="668"/>
      <c r="Y27" s="668"/>
    </row>
    <row r="28" spans="1:25" s="725" customFormat="1" ht="15" customHeight="1">
      <c r="A28" s="1184">
        <v>3</v>
      </c>
      <c r="B28" s="1184" t="s">
        <v>4846</v>
      </c>
      <c r="C28" s="1184" t="s">
        <v>4843</v>
      </c>
      <c r="D28" s="1186" t="s">
        <v>2816</v>
      </c>
      <c r="E28" s="1188" t="s">
        <v>4844</v>
      </c>
      <c r="F28" s="1188" t="s">
        <v>40</v>
      </c>
      <c r="G28" s="1186" t="s">
        <v>818</v>
      </c>
      <c r="H28" s="1190"/>
      <c r="I28" s="1184" t="s">
        <v>4589</v>
      </c>
      <c r="J28" s="1192">
        <v>45631</v>
      </c>
      <c r="K28" s="720" t="s">
        <v>4838</v>
      </c>
      <c r="L28" s="693"/>
      <c r="M28" s="712"/>
      <c r="N28" s="689"/>
      <c r="O28" s="724"/>
      <c r="P28" s="724"/>
      <c r="Q28" s="1184"/>
      <c r="R28" s="1192"/>
      <c r="S28" s="690"/>
      <c r="T28" s="690"/>
      <c r="U28" s="1194"/>
      <c r="V28" s="1196"/>
      <c r="W28" s="1196"/>
      <c r="X28" s="1196"/>
      <c r="Y28" s="1196"/>
    </row>
    <row r="29" spans="1:25" s="725" customFormat="1" ht="15" customHeight="1">
      <c r="A29" s="1185"/>
      <c r="B29" s="1185"/>
      <c r="C29" s="1185"/>
      <c r="D29" s="1187"/>
      <c r="E29" s="1189"/>
      <c r="F29" s="1189"/>
      <c r="G29" s="1187"/>
      <c r="H29" s="1191"/>
      <c r="I29" s="1185"/>
      <c r="J29" s="1193"/>
      <c r="K29" s="720" t="s">
        <v>4845</v>
      </c>
      <c r="L29" s="693"/>
      <c r="M29" s="712"/>
      <c r="N29" s="689"/>
      <c r="O29" s="724"/>
      <c r="P29" s="714"/>
      <c r="Q29" s="1185"/>
      <c r="R29" s="1193"/>
      <c r="S29" s="690"/>
      <c r="T29" s="690"/>
      <c r="U29" s="1195"/>
      <c r="V29" s="1197"/>
      <c r="W29" s="1197"/>
      <c r="X29" s="1197"/>
      <c r="Y29" s="1197"/>
    </row>
    <row r="30" spans="1:25" s="725" customFormat="1" ht="15" customHeight="1">
      <c r="A30" s="1185"/>
      <c r="B30" s="1185"/>
      <c r="C30" s="1185"/>
      <c r="D30" s="1187"/>
      <c r="E30" s="1189"/>
      <c r="F30" s="1189"/>
      <c r="G30" s="1187"/>
      <c r="H30" s="1191"/>
      <c r="I30" s="1185"/>
      <c r="J30" s="1193"/>
      <c r="K30" s="720" t="s">
        <v>4555</v>
      </c>
      <c r="L30" s="693"/>
      <c r="M30" s="712"/>
      <c r="N30" s="689"/>
      <c r="O30" s="724"/>
      <c r="P30" s="714"/>
      <c r="Q30" s="1185"/>
      <c r="R30" s="1193"/>
      <c r="S30" s="690"/>
      <c r="T30" s="690"/>
      <c r="U30" s="1195"/>
      <c r="V30" s="1197"/>
      <c r="W30" s="1197"/>
      <c r="X30" s="1197"/>
      <c r="Y30" s="1197"/>
    </row>
    <row r="31" spans="1:25" s="725" customFormat="1" ht="15" customHeight="1">
      <c r="A31" s="1185"/>
      <c r="B31" s="1185"/>
      <c r="C31" s="1185"/>
      <c r="D31" s="1187"/>
      <c r="E31" s="1189"/>
      <c r="F31" s="1189"/>
      <c r="G31" s="1187"/>
      <c r="H31" s="1191"/>
      <c r="I31" s="1185"/>
      <c r="J31" s="1193"/>
      <c r="K31" s="720" t="s">
        <v>4649</v>
      </c>
      <c r="L31" s="693"/>
      <c r="M31" s="712"/>
      <c r="N31" s="689"/>
      <c r="O31" s="724"/>
      <c r="P31" s="714"/>
      <c r="Q31" s="1185"/>
      <c r="R31" s="1193"/>
      <c r="S31" s="690"/>
      <c r="T31" s="690"/>
      <c r="U31" s="1195"/>
      <c r="V31" s="1197"/>
      <c r="W31" s="1197"/>
      <c r="X31" s="1197"/>
      <c r="Y31" s="1197"/>
    </row>
    <row r="32" spans="1:25" s="725" customFormat="1" ht="15" customHeight="1">
      <c r="A32" s="1185"/>
      <c r="B32" s="1185"/>
      <c r="C32" s="1185"/>
      <c r="D32" s="1187"/>
      <c r="E32" s="1189"/>
      <c r="F32" s="1189"/>
      <c r="G32" s="1187"/>
      <c r="H32" s="1191"/>
      <c r="I32" s="1185"/>
      <c r="J32" s="1193"/>
      <c r="K32" s="720" t="s">
        <v>4519</v>
      </c>
      <c r="L32" s="693"/>
      <c r="M32" s="712"/>
      <c r="N32" s="689"/>
      <c r="O32" s="724"/>
      <c r="P32" s="714"/>
      <c r="Q32" s="1185"/>
      <c r="R32" s="1193"/>
      <c r="S32" s="690"/>
      <c r="T32" s="690"/>
      <c r="U32" s="1195"/>
      <c r="V32" s="1197"/>
      <c r="W32" s="1197"/>
      <c r="X32" s="1197"/>
      <c r="Y32" s="1197"/>
    </row>
    <row r="33" spans="1:25" s="725" customFormat="1" ht="15" customHeight="1">
      <c r="A33" s="1185"/>
      <c r="B33" s="1185"/>
      <c r="C33" s="1185"/>
      <c r="D33" s="1187"/>
      <c r="E33" s="1189"/>
      <c r="F33" s="1189"/>
      <c r="G33" s="1187"/>
      <c r="H33" s="1191"/>
      <c r="I33" s="1185"/>
      <c r="J33" s="1193"/>
      <c r="K33" s="720" t="s">
        <v>4521</v>
      </c>
      <c r="L33" s="693"/>
      <c r="M33" s="712"/>
      <c r="N33" s="689"/>
      <c r="O33" s="714"/>
      <c r="P33" s="714"/>
      <c r="Q33" s="1185"/>
      <c r="R33" s="1193"/>
      <c r="S33" s="690"/>
      <c r="T33" s="690"/>
      <c r="U33" s="1195"/>
      <c r="V33" s="1197"/>
      <c r="W33" s="1197"/>
      <c r="X33" s="1197"/>
      <c r="Y33" s="1197"/>
    </row>
    <row r="34" spans="1:25" s="725" customFormat="1" ht="15" customHeight="1">
      <c r="A34" s="1185"/>
      <c r="B34" s="1185"/>
      <c r="C34" s="1185"/>
      <c r="D34" s="1187"/>
      <c r="E34" s="1189"/>
      <c r="F34" s="1189"/>
      <c r="G34" s="1187"/>
      <c r="H34" s="1191"/>
      <c r="I34" s="1185"/>
      <c r="J34" s="1193"/>
      <c r="K34" s="720"/>
      <c r="L34" s="693"/>
      <c r="M34" s="712"/>
      <c r="N34" s="689"/>
      <c r="O34" s="714"/>
      <c r="P34" s="714"/>
      <c r="Q34" s="1185"/>
      <c r="R34" s="1193"/>
      <c r="S34" s="690"/>
      <c r="T34" s="690"/>
      <c r="U34" s="1195"/>
      <c r="V34" s="1197"/>
      <c r="W34" s="1197"/>
      <c r="X34" s="1197"/>
      <c r="Y34" s="1197"/>
    </row>
    <row r="35" spans="1:25" ht="15" customHeight="1">
      <c r="A35" s="660"/>
      <c r="B35" s="660"/>
      <c r="C35" s="660"/>
      <c r="D35" s="661"/>
      <c r="E35" s="660"/>
      <c r="F35" s="660"/>
      <c r="G35" s="661"/>
      <c r="H35" s="662"/>
      <c r="I35" s="660"/>
      <c r="J35" s="663"/>
      <c r="K35" s="664"/>
      <c r="L35" s="1166"/>
      <c r="M35" s="1167"/>
      <c r="N35" s="1168"/>
      <c r="O35" s="663"/>
      <c r="P35" s="663"/>
      <c r="Q35" s="665"/>
      <c r="R35" s="666"/>
      <c r="S35" s="625"/>
      <c r="T35" s="625"/>
      <c r="U35" s="667"/>
      <c r="V35" s="668"/>
      <c r="W35" s="668"/>
      <c r="X35" s="668"/>
      <c r="Y35" s="668"/>
    </row>
    <row r="36" spans="1:25" s="725" customFormat="1" ht="15" customHeight="1">
      <c r="A36" s="1184"/>
      <c r="B36" s="1184"/>
      <c r="C36" s="1184"/>
      <c r="D36" s="1186"/>
      <c r="E36" s="1188"/>
      <c r="F36" s="1188"/>
      <c r="G36" s="1186"/>
      <c r="H36" s="1190"/>
      <c r="I36" s="1184"/>
      <c r="J36" s="1192"/>
      <c r="K36" s="720"/>
      <c r="L36" s="693"/>
      <c r="M36" s="712"/>
      <c r="N36" s="689"/>
      <c r="O36" s="724"/>
      <c r="P36" s="724"/>
      <c r="Q36" s="1184"/>
      <c r="R36" s="1192"/>
      <c r="S36" s="690"/>
      <c r="T36" s="690"/>
      <c r="U36" s="1194"/>
      <c r="V36" s="1196"/>
      <c r="W36" s="1196"/>
      <c r="X36" s="1196"/>
      <c r="Y36" s="1196"/>
    </row>
    <row r="37" spans="1:25" s="725" customFormat="1" ht="15" customHeight="1">
      <c r="A37" s="1185"/>
      <c r="B37" s="1185"/>
      <c r="C37" s="1185"/>
      <c r="D37" s="1187"/>
      <c r="E37" s="1189"/>
      <c r="F37" s="1189"/>
      <c r="G37" s="1187"/>
      <c r="H37" s="1191"/>
      <c r="I37" s="1185"/>
      <c r="J37" s="1193"/>
      <c r="K37" s="720"/>
      <c r="L37" s="693"/>
      <c r="M37" s="712"/>
      <c r="N37" s="689"/>
      <c r="O37" s="724"/>
      <c r="P37" s="714"/>
      <c r="Q37" s="1185"/>
      <c r="R37" s="1193"/>
      <c r="S37" s="690"/>
      <c r="T37" s="690"/>
      <c r="U37" s="1195"/>
      <c r="V37" s="1197"/>
      <c r="W37" s="1197"/>
      <c r="X37" s="1197"/>
      <c r="Y37" s="1197"/>
    </row>
    <row r="38" spans="1:25" s="725" customFormat="1" ht="15" customHeight="1">
      <c r="A38" s="1185"/>
      <c r="B38" s="1185"/>
      <c r="C38" s="1185"/>
      <c r="D38" s="1187"/>
      <c r="E38" s="1189"/>
      <c r="F38" s="1189"/>
      <c r="G38" s="1187"/>
      <c r="H38" s="1191"/>
      <c r="I38" s="1185"/>
      <c r="J38" s="1193"/>
      <c r="K38" s="720"/>
      <c r="L38" s="693"/>
      <c r="M38" s="712"/>
      <c r="N38" s="689"/>
      <c r="O38" s="724"/>
      <c r="P38" s="714"/>
      <c r="Q38" s="1185"/>
      <c r="R38" s="1193"/>
      <c r="S38" s="690"/>
      <c r="T38" s="690"/>
      <c r="U38" s="1195"/>
      <c r="V38" s="1197"/>
      <c r="W38" s="1197"/>
      <c r="X38" s="1197"/>
      <c r="Y38" s="1197"/>
    </row>
    <row r="39" spans="1:25" s="725" customFormat="1" ht="15" customHeight="1">
      <c r="A39" s="1185"/>
      <c r="B39" s="1185"/>
      <c r="C39" s="1185"/>
      <c r="D39" s="1187"/>
      <c r="E39" s="1189"/>
      <c r="F39" s="1189"/>
      <c r="G39" s="1187"/>
      <c r="H39" s="1191"/>
      <c r="I39" s="1185"/>
      <c r="J39" s="1193"/>
      <c r="K39" s="720"/>
      <c r="L39" s="693"/>
      <c r="M39" s="712"/>
      <c r="N39" s="689"/>
      <c r="O39" s="714"/>
      <c r="P39" s="714"/>
      <c r="Q39" s="1185"/>
      <c r="R39" s="1193"/>
      <c r="S39" s="690"/>
      <c r="T39" s="690"/>
      <c r="U39" s="1195"/>
      <c r="V39" s="1197"/>
      <c r="W39" s="1197"/>
      <c r="X39" s="1197"/>
      <c r="Y39" s="1197"/>
    </row>
    <row r="40" spans="1:25" s="725" customFormat="1" ht="15" customHeight="1">
      <c r="A40" s="1185"/>
      <c r="B40" s="1185"/>
      <c r="C40" s="1185"/>
      <c r="D40" s="1187"/>
      <c r="E40" s="1189"/>
      <c r="F40" s="1189"/>
      <c r="G40" s="1187"/>
      <c r="H40" s="1191"/>
      <c r="I40" s="1185"/>
      <c r="J40" s="1193"/>
      <c r="K40" s="720"/>
      <c r="L40" s="693"/>
      <c r="M40" s="712"/>
      <c r="N40" s="689"/>
      <c r="O40" s="714"/>
      <c r="P40" s="714"/>
      <c r="Q40" s="1185"/>
      <c r="R40" s="1193"/>
      <c r="S40" s="690"/>
      <c r="T40" s="690"/>
      <c r="U40" s="1195"/>
      <c r="V40" s="1197"/>
      <c r="W40" s="1197"/>
      <c r="X40" s="1197"/>
      <c r="Y40" s="1197"/>
    </row>
    <row r="41" spans="1:25" s="725" customFormat="1" ht="15" customHeight="1">
      <c r="A41" s="1185"/>
      <c r="B41" s="1185"/>
      <c r="C41" s="1185"/>
      <c r="D41" s="1187"/>
      <c r="E41" s="1189"/>
      <c r="F41" s="1189"/>
      <c r="G41" s="1187"/>
      <c r="H41" s="1191"/>
      <c r="I41" s="1185"/>
      <c r="J41" s="1193"/>
      <c r="K41" s="720"/>
      <c r="L41" s="693"/>
      <c r="M41" s="712"/>
      <c r="N41" s="689"/>
      <c r="O41" s="714"/>
      <c r="P41" s="714"/>
      <c r="Q41" s="1185"/>
      <c r="R41" s="1193"/>
      <c r="S41" s="690"/>
      <c r="T41" s="690"/>
      <c r="U41" s="1195"/>
      <c r="V41" s="1197"/>
      <c r="W41" s="1197"/>
      <c r="X41" s="1197"/>
      <c r="Y41" s="1197"/>
    </row>
    <row r="42" spans="1:25" s="725" customFormat="1" ht="15" customHeight="1">
      <c r="A42" s="1185"/>
      <c r="B42" s="1185"/>
      <c r="C42" s="1185"/>
      <c r="D42" s="1187"/>
      <c r="E42" s="1189"/>
      <c r="F42" s="1189"/>
      <c r="G42" s="1187"/>
      <c r="H42" s="1191"/>
      <c r="I42" s="1185"/>
      <c r="J42" s="1193"/>
      <c r="K42" s="720"/>
      <c r="L42" s="693"/>
      <c r="M42" s="712"/>
      <c r="N42" s="689"/>
      <c r="O42" s="714"/>
      <c r="P42" s="714"/>
      <c r="Q42" s="1185"/>
      <c r="R42" s="1193"/>
      <c r="S42" s="690"/>
      <c r="T42" s="690"/>
      <c r="U42" s="1195"/>
      <c r="V42" s="1197"/>
      <c r="W42" s="1197"/>
      <c r="X42" s="1197"/>
      <c r="Y42" s="1197"/>
    </row>
    <row r="43" spans="1:25" ht="15" customHeight="1">
      <c r="A43" s="660"/>
      <c r="B43" s="660"/>
      <c r="C43" s="660"/>
      <c r="D43" s="661"/>
      <c r="E43" s="660"/>
      <c r="F43" s="660"/>
      <c r="G43" s="661"/>
      <c r="H43" s="662"/>
      <c r="I43" s="660"/>
      <c r="J43" s="663"/>
      <c r="K43" s="664"/>
      <c r="L43" s="1166"/>
      <c r="M43" s="1167"/>
      <c r="N43" s="1168"/>
      <c r="O43" s="663"/>
      <c r="P43" s="663"/>
      <c r="Q43" s="665"/>
      <c r="R43" s="666"/>
      <c r="S43" s="625"/>
      <c r="T43" s="625"/>
      <c r="U43" s="667"/>
      <c r="V43" s="668"/>
      <c r="W43" s="668"/>
      <c r="X43" s="668"/>
      <c r="Y43" s="668"/>
    </row>
    <row r="44" spans="1:25" s="725" customFormat="1" ht="15" customHeight="1">
      <c r="A44" s="1184"/>
      <c r="B44" s="1184"/>
      <c r="C44" s="1184"/>
      <c r="D44" s="1186"/>
      <c r="E44" s="1188"/>
      <c r="F44" s="1188"/>
      <c r="G44" s="1186"/>
      <c r="H44" s="726"/>
      <c r="I44" s="1184"/>
      <c r="J44" s="1192"/>
      <c r="K44" s="720"/>
      <c r="L44" s="693"/>
      <c r="M44" s="712"/>
      <c r="N44" s="689"/>
      <c r="O44" s="724"/>
      <c r="P44" s="724"/>
      <c r="Q44" s="1184"/>
      <c r="R44" s="1192"/>
      <c r="S44" s="690"/>
      <c r="T44" s="690"/>
      <c r="U44" s="1194"/>
      <c r="V44" s="1196"/>
      <c r="W44" s="1196"/>
      <c r="X44" s="1196"/>
      <c r="Y44" s="1196"/>
    </row>
    <row r="45" spans="1:25" s="725" customFormat="1" ht="15" customHeight="1">
      <c r="A45" s="1185"/>
      <c r="B45" s="1185"/>
      <c r="C45" s="1185"/>
      <c r="D45" s="1187"/>
      <c r="E45" s="1189"/>
      <c r="F45" s="1189"/>
      <c r="G45" s="1187"/>
      <c r="H45" s="726"/>
      <c r="I45" s="1185"/>
      <c r="J45" s="1193"/>
      <c r="K45" s="720"/>
      <c r="L45" s="693"/>
      <c r="M45" s="712"/>
      <c r="N45" s="689"/>
      <c r="O45" s="714"/>
      <c r="P45" s="714"/>
      <c r="Q45" s="1185"/>
      <c r="R45" s="1193"/>
      <c r="S45" s="690"/>
      <c r="T45" s="690"/>
      <c r="U45" s="1195"/>
      <c r="V45" s="1197"/>
      <c r="W45" s="1197"/>
      <c r="X45" s="1197"/>
      <c r="Y45" s="1197"/>
    </row>
    <row r="46" spans="1:25" s="725" customFormat="1" ht="15" customHeight="1">
      <c r="A46" s="1185"/>
      <c r="B46" s="1185"/>
      <c r="C46" s="1185"/>
      <c r="D46" s="1187"/>
      <c r="E46" s="1189"/>
      <c r="F46" s="1189"/>
      <c r="G46" s="1187"/>
      <c r="H46" s="726"/>
      <c r="I46" s="1185"/>
      <c r="J46" s="1193"/>
      <c r="K46" s="720"/>
      <c r="L46" s="693"/>
      <c r="M46" s="712"/>
      <c r="N46" s="689"/>
      <c r="O46" s="714"/>
      <c r="P46" s="714"/>
      <c r="Q46" s="1185"/>
      <c r="R46" s="1193"/>
      <c r="S46" s="690"/>
      <c r="T46" s="690"/>
      <c r="U46" s="1195"/>
      <c r="V46" s="1197"/>
      <c r="W46" s="1197"/>
      <c r="X46" s="1197"/>
      <c r="Y46" s="1197"/>
    </row>
    <row r="47" spans="1:25" s="725" customFormat="1" ht="15" customHeight="1">
      <c r="A47" s="1185"/>
      <c r="B47" s="1185"/>
      <c r="C47" s="1185"/>
      <c r="D47" s="1187"/>
      <c r="E47" s="1189"/>
      <c r="F47" s="1189"/>
      <c r="G47" s="1187"/>
      <c r="H47" s="726"/>
      <c r="I47" s="1185"/>
      <c r="J47" s="1193"/>
      <c r="K47" s="720"/>
      <c r="L47" s="693"/>
      <c r="M47" s="712"/>
      <c r="N47" s="689"/>
      <c r="O47" s="714"/>
      <c r="P47" s="714"/>
      <c r="Q47" s="1185"/>
      <c r="R47" s="1193"/>
      <c r="S47" s="690"/>
      <c r="T47" s="690"/>
      <c r="U47" s="1195"/>
      <c r="V47" s="1197"/>
      <c r="W47" s="1197"/>
      <c r="X47" s="1197"/>
      <c r="Y47" s="1197"/>
    </row>
    <row r="48" spans="1:25" s="725" customFormat="1" ht="15" customHeight="1">
      <c r="A48" s="1185"/>
      <c r="B48" s="1185"/>
      <c r="C48" s="1185"/>
      <c r="D48" s="1187"/>
      <c r="E48" s="1189"/>
      <c r="F48" s="1189"/>
      <c r="G48" s="1187"/>
      <c r="H48" s="726"/>
      <c r="I48" s="1185"/>
      <c r="J48" s="1193"/>
      <c r="K48" s="720"/>
      <c r="L48" s="693"/>
      <c r="M48" s="712"/>
      <c r="N48" s="689"/>
      <c r="O48" s="714"/>
      <c r="P48" s="714"/>
      <c r="Q48" s="1185"/>
      <c r="R48" s="1193"/>
      <c r="S48" s="690"/>
      <c r="T48" s="690"/>
      <c r="U48" s="1195"/>
      <c r="V48" s="1197"/>
      <c r="W48" s="1197"/>
      <c r="X48" s="1197"/>
      <c r="Y48" s="1197"/>
    </row>
    <row r="49" spans="1:25" s="725" customFormat="1" ht="15" customHeight="1">
      <c r="A49" s="1185"/>
      <c r="B49" s="1185"/>
      <c r="C49" s="1185"/>
      <c r="D49" s="1187"/>
      <c r="E49" s="1189"/>
      <c r="F49" s="1189"/>
      <c r="G49" s="1187"/>
      <c r="H49" s="726"/>
      <c r="I49" s="1185"/>
      <c r="J49" s="1193"/>
      <c r="K49" s="720"/>
      <c r="L49" s="693"/>
      <c r="M49" s="712"/>
      <c r="N49" s="689"/>
      <c r="O49" s="714"/>
      <c r="P49" s="714"/>
      <c r="Q49" s="1185"/>
      <c r="R49" s="1193"/>
      <c r="S49" s="690"/>
      <c r="T49" s="690"/>
      <c r="U49" s="1195"/>
      <c r="V49" s="1197"/>
      <c r="W49" s="1197"/>
      <c r="X49" s="1197"/>
      <c r="Y49" s="1197"/>
    </row>
    <row r="50" spans="1:25" s="725" customFormat="1" ht="15" customHeight="1">
      <c r="A50" s="1185"/>
      <c r="B50" s="1185"/>
      <c r="C50" s="1185"/>
      <c r="D50" s="1187"/>
      <c r="E50" s="1189"/>
      <c r="F50" s="1189"/>
      <c r="G50" s="1187"/>
      <c r="H50" s="726"/>
      <c r="I50" s="1185"/>
      <c r="J50" s="1193"/>
      <c r="K50" s="720"/>
      <c r="L50" s="693"/>
      <c r="M50" s="712"/>
      <c r="N50" s="689"/>
      <c r="O50" s="714"/>
      <c r="P50" s="714"/>
      <c r="Q50" s="1185"/>
      <c r="R50" s="1193"/>
      <c r="S50" s="690"/>
      <c r="T50" s="690"/>
      <c r="U50" s="1195"/>
      <c r="V50" s="1197"/>
      <c r="W50" s="1197"/>
      <c r="X50" s="1197"/>
      <c r="Y50" s="1197"/>
    </row>
    <row r="51" spans="1:25" ht="15" customHeight="1">
      <c r="A51" s="660"/>
      <c r="B51" s="660"/>
      <c r="C51" s="660"/>
      <c r="D51" s="661"/>
      <c r="E51" s="660"/>
      <c r="F51" s="660"/>
      <c r="G51" s="661"/>
      <c r="H51" s="662"/>
      <c r="I51" s="660"/>
      <c r="J51" s="663"/>
      <c r="K51" s="664"/>
      <c r="L51" s="1166"/>
      <c r="M51" s="1167"/>
      <c r="N51" s="1168"/>
      <c r="O51" s="663"/>
      <c r="P51" s="663"/>
      <c r="Q51" s="665"/>
      <c r="R51" s="666"/>
      <c r="S51" s="625"/>
      <c r="T51" s="625"/>
      <c r="U51" s="667"/>
      <c r="V51" s="668"/>
      <c r="W51" s="668"/>
      <c r="X51" s="668"/>
      <c r="Y51" s="668"/>
    </row>
    <row r="52" spans="1:25" s="725" customFormat="1" ht="15" customHeight="1">
      <c r="A52" s="1184"/>
      <c r="B52" s="1184"/>
      <c r="C52" s="1184"/>
      <c r="D52" s="1186"/>
      <c r="E52" s="1188"/>
      <c r="F52" s="1188"/>
      <c r="G52" s="1186"/>
      <c r="H52" s="726"/>
      <c r="I52" s="1184"/>
      <c r="J52" s="1192"/>
      <c r="K52" s="720"/>
      <c r="L52" s="693"/>
      <c r="M52" s="712"/>
      <c r="N52" s="689"/>
      <c r="O52" s="724"/>
      <c r="P52" s="724"/>
      <c r="Q52" s="1184"/>
      <c r="R52" s="1192"/>
      <c r="S52" s="690"/>
      <c r="T52" s="690"/>
      <c r="U52" s="1194"/>
      <c r="V52" s="1196"/>
      <c r="W52" s="1196"/>
      <c r="X52" s="1196"/>
      <c r="Y52" s="1196"/>
    </row>
    <row r="53" spans="1:25" s="725" customFormat="1" ht="15" customHeight="1">
      <c r="A53" s="1185"/>
      <c r="B53" s="1185"/>
      <c r="C53" s="1185"/>
      <c r="D53" s="1187"/>
      <c r="E53" s="1189"/>
      <c r="F53" s="1189"/>
      <c r="G53" s="1187"/>
      <c r="H53" s="726"/>
      <c r="I53" s="1185"/>
      <c r="J53" s="1193"/>
      <c r="K53" s="720"/>
      <c r="L53" s="693"/>
      <c r="M53" s="712"/>
      <c r="N53" s="689"/>
      <c r="O53" s="714"/>
      <c r="P53" s="714"/>
      <c r="Q53" s="1185"/>
      <c r="R53" s="1193"/>
      <c r="S53" s="690"/>
      <c r="T53" s="690"/>
      <c r="U53" s="1195"/>
      <c r="V53" s="1197"/>
      <c r="W53" s="1197"/>
      <c r="X53" s="1197"/>
      <c r="Y53" s="1197"/>
    </row>
    <row r="54" spans="1:25" s="725" customFormat="1" ht="15" customHeight="1">
      <c r="A54" s="1185"/>
      <c r="B54" s="1185"/>
      <c r="C54" s="1185"/>
      <c r="D54" s="1187"/>
      <c r="E54" s="1189"/>
      <c r="F54" s="1189"/>
      <c r="G54" s="1187"/>
      <c r="H54" s="726"/>
      <c r="I54" s="1185"/>
      <c r="J54" s="1193"/>
      <c r="K54" s="720"/>
      <c r="L54" s="693"/>
      <c r="M54" s="712"/>
      <c r="N54" s="689"/>
      <c r="O54" s="714"/>
      <c r="P54" s="714"/>
      <c r="Q54" s="1185"/>
      <c r="R54" s="1193"/>
      <c r="S54" s="690"/>
      <c r="T54" s="690"/>
      <c r="U54" s="1195"/>
      <c r="V54" s="1197"/>
      <c r="W54" s="1197"/>
      <c r="X54" s="1197"/>
      <c r="Y54" s="1197"/>
    </row>
    <row r="55" spans="1:25" s="725" customFormat="1" ht="15" customHeight="1">
      <c r="A55" s="1185"/>
      <c r="B55" s="1185"/>
      <c r="C55" s="1185"/>
      <c r="D55" s="1187"/>
      <c r="E55" s="1189"/>
      <c r="F55" s="1189"/>
      <c r="G55" s="1187"/>
      <c r="H55" s="726"/>
      <c r="I55" s="1185"/>
      <c r="J55" s="1193"/>
      <c r="K55" s="720"/>
      <c r="L55" s="693"/>
      <c r="M55" s="712"/>
      <c r="N55" s="689"/>
      <c r="O55" s="714"/>
      <c r="P55" s="714"/>
      <c r="Q55" s="1185"/>
      <c r="R55" s="1193"/>
      <c r="S55" s="690"/>
      <c r="T55" s="690"/>
      <c r="U55" s="1195"/>
      <c r="V55" s="1197"/>
      <c r="W55" s="1197"/>
      <c r="X55" s="1197"/>
      <c r="Y55" s="1197"/>
    </row>
    <row r="56" spans="1:25" s="725" customFormat="1" ht="15" customHeight="1">
      <c r="A56" s="1185"/>
      <c r="B56" s="1185"/>
      <c r="C56" s="1185"/>
      <c r="D56" s="1187"/>
      <c r="E56" s="1189"/>
      <c r="F56" s="1189"/>
      <c r="G56" s="1187"/>
      <c r="H56" s="726"/>
      <c r="I56" s="1185"/>
      <c r="J56" s="1193"/>
      <c r="K56" s="720"/>
      <c r="L56" s="693"/>
      <c r="M56" s="712"/>
      <c r="N56" s="689"/>
      <c r="O56" s="714"/>
      <c r="P56" s="714"/>
      <c r="Q56" s="1185"/>
      <c r="R56" s="1193"/>
      <c r="S56" s="690"/>
      <c r="T56" s="690"/>
      <c r="U56" s="1195"/>
      <c r="V56" s="1197"/>
      <c r="W56" s="1197"/>
      <c r="X56" s="1197"/>
      <c r="Y56" s="1197"/>
    </row>
    <row r="57" spans="1:25" s="725" customFormat="1" ht="15" customHeight="1">
      <c r="A57" s="1185"/>
      <c r="B57" s="1185"/>
      <c r="C57" s="1185"/>
      <c r="D57" s="1187"/>
      <c r="E57" s="1189"/>
      <c r="F57" s="1189"/>
      <c r="G57" s="1187"/>
      <c r="H57" s="726"/>
      <c r="I57" s="1185"/>
      <c r="J57" s="1193"/>
      <c r="K57" s="720"/>
      <c r="L57" s="693"/>
      <c r="M57" s="712"/>
      <c r="N57" s="689"/>
      <c r="O57" s="714"/>
      <c r="P57" s="714"/>
      <c r="Q57" s="1185"/>
      <c r="R57" s="1193"/>
      <c r="S57" s="690"/>
      <c r="T57" s="690"/>
      <c r="U57" s="1195"/>
      <c r="V57" s="1197"/>
      <c r="W57" s="1197"/>
      <c r="X57" s="1197"/>
      <c r="Y57" s="1197"/>
    </row>
    <row r="58" spans="1:25" s="725" customFormat="1" ht="15" customHeight="1">
      <c r="A58" s="1185"/>
      <c r="B58" s="1185"/>
      <c r="C58" s="1185"/>
      <c r="D58" s="1187"/>
      <c r="E58" s="1189"/>
      <c r="F58" s="1189"/>
      <c r="G58" s="1187"/>
      <c r="H58" s="726"/>
      <c r="I58" s="1185"/>
      <c r="J58" s="1193"/>
      <c r="K58" s="720"/>
      <c r="L58" s="693"/>
      <c r="M58" s="712"/>
      <c r="N58" s="689"/>
      <c r="O58" s="714"/>
      <c r="P58" s="714"/>
      <c r="Q58" s="1185"/>
      <c r="R58" s="1193"/>
      <c r="S58" s="690"/>
      <c r="T58" s="690"/>
      <c r="U58" s="1195"/>
      <c r="V58" s="1197"/>
      <c r="W58" s="1197"/>
      <c r="X58" s="1197"/>
      <c r="Y58" s="1197"/>
    </row>
    <row r="59" spans="1:25" s="725" customFormat="1" ht="15" customHeight="1">
      <c r="A59" s="1185"/>
      <c r="B59" s="1185"/>
      <c r="C59" s="1185"/>
      <c r="D59" s="1187"/>
      <c r="E59" s="1189"/>
      <c r="F59" s="1189"/>
      <c r="G59" s="1187"/>
      <c r="H59" s="726"/>
      <c r="I59" s="1185"/>
      <c r="J59" s="1193"/>
      <c r="K59" s="720"/>
      <c r="L59" s="693"/>
      <c r="M59" s="712"/>
      <c r="N59" s="689"/>
      <c r="O59" s="714"/>
      <c r="P59" s="714"/>
      <c r="Q59" s="1185"/>
      <c r="R59" s="1193"/>
      <c r="S59" s="690"/>
      <c r="T59" s="690"/>
      <c r="U59" s="1195"/>
      <c r="V59" s="1197"/>
      <c r="W59" s="1197"/>
      <c r="X59" s="1197"/>
      <c r="Y59" s="1197"/>
    </row>
    <row r="60" spans="1:25" ht="15" customHeight="1">
      <c r="A60" s="660"/>
      <c r="B60" s="660"/>
      <c r="C60" s="660"/>
      <c r="D60" s="661"/>
      <c r="E60" s="660"/>
      <c r="F60" s="660"/>
      <c r="G60" s="661"/>
      <c r="H60" s="662"/>
      <c r="I60" s="660"/>
      <c r="J60" s="663"/>
      <c r="K60" s="664"/>
      <c r="L60" s="1166"/>
      <c r="M60" s="1167"/>
      <c r="N60" s="1168"/>
      <c r="O60" s="663"/>
      <c r="P60" s="663"/>
      <c r="Q60" s="665"/>
      <c r="R60" s="666"/>
      <c r="S60" s="625"/>
      <c r="T60" s="625"/>
      <c r="U60" s="667"/>
      <c r="V60" s="668"/>
      <c r="W60" s="668"/>
      <c r="X60" s="668"/>
      <c r="Y60" s="668"/>
    </row>
    <row r="61" spans="1:25" s="691" customFormat="1" ht="34.5" customHeight="1">
      <c r="A61" s="732"/>
      <c r="B61" s="732"/>
      <c r="C61" s="732"/>
      <c r="D61" s="733"/>
      <c r="E61" s="734"/>
      <c r="F61" s="734"/>
      <c r="G61" s="733"/>
      <c r="H61" s="735"/>
      <c r="I61" s="732"/>
      <c r="J61" s="724"/>
      <c r="K61" s="720"/>
      <c r="L61" s="693"/>
      <c r="M61" s="720"/>
      <c r="N61" s="689"/>
      <c r="O61" s="724"/>
      <c r="P61" s="767"/>
      <c r="Q61" s="732"/>
      <c r="R61" s="724"/>
      <c r="S61" s="690"/>
      <c r="T61" s="690"/>
      <c r="U61" s="736"/>
      <c r="V61" s="731"/>
      <c r="W61" s="731"/>
      <c r="X61" s="731"/>
      <c r="Y61" s="731"/>
    </row>
    <row r="62" spans="1:25" ht="15" customHeight="1">
      <c r="A62" s="660"/>
      <c r="B62" s="660"/>
      <c r="C62" s="660"/>
      <c r="D62" s="661"/>
      <c r="E62" s="660"/>
      <c r="F62" s="660"/>
      <c r="G62" s="661"/>
      <c r="H62" s="662"/>
      <c r="I62" s="660"/>
      <c r="J62" s="663"/>
      <c r="K62" s="664"/>
      <c r="L62" s="1166"/>
      <c r="M62" s="1167"/>
      <c r="N62" s="1168"/>
      <c r="O62" s="663"/>
      <c r="P62" s="663"/>
      <c r="Q62" s="665"/>
      <c r="R62" s="666"/>
      <c r="S62" s="625"/>
      <c r="T62" s="625"/>
      <c r="U62" s="667"/>
      <c r="V62" s="668"/>
      <c r="W62" s="668"/>
      <c r="X62" s="668"/>
      <c r="Y62" s="668"/>
    </row>
    <row r="63" spans="1:25" s="160" customFormat="1" ht="15" customHeight="1">
      <c r="A63" s="1220"/>
      <c r="B63" s="1220"/>
      <c r="C63" s="1220"/>
      <c r="D63" s="1227"/>
      <c r="E63" s="1228"/>
      <c r="F63" s="1228"/>
      <c r="G63" s="1227"/>
      <c r="H63" s="1230"/>
      <c r="I63" s="1220"/>
      <c r="J63" s="1232"/>
      <c r="K63" s="770"/>
      <c r="L63" s="694"/>
      <c r="M63" s="719"/>
      <c r="N63" s="686"/>
      <c r="O63" s="771"/>
      <c r="P63" s="771"/>
      <c r="Q63" s="1220"/>
      <c r="R63" s="1232"/>
      <c r="S63" s="688"/>
      <c r="T63" s="688"/>
      <c r="U63" s="1240"/>
      <c r="V63" s="1233"/>
      <c r="W63" s="1233"/>
      <c r="X63" s="1233"/>
      <c r="Y63" s="1233"/>
    </row>
    <row r="64" spans="1:25" s="160" customFormat="1" ht="15" customHeight="1">
      <c r="A64" s="1217"/>
      <c r="B64" s="1217"/>
      <c r="C64" s="1217"/>
      <c r="D64" s="1219"/>
      <c r="E64" s="1229"/>
      <c r="F64" s="1229"/>
      <c r="G64" s="1219"/>
      <c r="H64" s="1231"/>
      <c r="I64" s="1217"/>
      <c r="J64" s="1222"/>
      <c r="K64" s="770"/>
      <c r="L64" s="694"/>
      <c r="M64" s="719"/>
      <c r="N64" s="686"/>
      <c r="O64" s="771"/>
      <c r="P64" s="771"/>
      <c r="Q64" s="1217"/>
      <c r="R64" s="1222"/>
      <c r="S64" s="688"/>
      <c r="T64" s="688"/>
      <c r="U64" s="1224"/>
      <c r="V64" s="1226"/>
      <c r="W64" s="1226"/>
      <c r="X64" s="1226"/>
      <c r="Y64" s="1226"/>
    </row>
    <row r="65" spans="1:25" s="160" customFormat="1" ht="15" customHeight="1">
      <c r="A65" s="1217"/>
      <c r="B65" s="1217"/>
      <c r="C65" s="1217"/>
      <c r="D65" s="1219"/>
      <c r="E65" s="1229"/>
      <c r="F65" s="1229"/>
      <c r="G65" s="1219"/>
      <c r="H65" s="1231"/>
      <c r="I65" s="1217"/>
      <c r="J65" s="1222"/>
      <c r="K65" s="770"/>
      <c r="L65" s="694"/>
      <c r="M65" s="719"/>
      <c r="N65" s="686"/>
      <c r="O65" s="771"/>
      <c r="P65" s="771"/>
      <c r="Q65" s="1217"/>
      <c r="R65" s="1222"/>
      <c r="S65" s="688"/>
      <c r="T65" s="688"/>
      <c r="U65" s="1224"/>
      <c r="V65" s="1226"/>
      <c r="W65" s="1226"/>
      <c r="X65" s="1226"/>
      <c r="Y65" s="1226"/>
    </row>
    <row r="66" spans="1:25" ht="15" customHeight="1">
      <c r="A66" s="660"/>
      <c r="B66" s="660"/>
      <c r="C66" s="660"/>
      <c r="D66" s="661"/>
      <c r="E66" s="660"/>
      <c r="F66" s="660"/>
      <c r="G66" s="661"/>
      <c r="H66" s="662"/>
      <c r="I66" s="660"/>
      <c r="J66" s="663"/>
      <c r="K66" s="664"/>
      <c r="L66" s="1166"/>
      <c r="M66" s="1167"/>
      <c r="N66" s="1168"/>
      <c r="O66" s="663"/>
      <c r="P66" s="663"/>
      <c r="Q66" s="665"/>
      <c r="R66" s="666"/>
      <c r="S66" s="625"/>
      <c r="T66" s="625"/>
      <c r="U66" s="667"/>
      <c r="V66" s="668"/>
      <c r="W66" s="668"/>
      <c r="X66" s="668"/>
      <c r="Y66" s="668"/>
    </row>
    <row r="67" spans="1:25" s="725" customFormat="1" ht="15" customHeight="1">
      <c r="A67" s="1184"/>
      <c r="B67" s="1184"/>
      <c r="C67" s="1184"/>
      <c r="D67" s="1186"/>
      <c r="E67" s="1188"/>
      <c r="F67" s="1188"/>
      <c r="G67" s="1186"/>
      <c r="H67" s="1190"/>
      <c r="I67" s="1184"/>
      <c r="J67" s="1192"/>
      <c r="K67" s="692"/>
      <c r="L67" s="693"/>
      <c r="M67" s="721"/>
      <c r="N67" s="723"/>
      <c r="O67" s="722"/>
      <c r="P67" s="722"/>
      <c r="Q67" s="1184"/>
      <c r="R67" s="1192"/>
      <c r="S67" s="690"/>
      <c r="T67" s="690"/>
      <c r="U67" s="1194"/>
      <c r="V67" s="1196"/>
      <c r="W67" s="1196"/>
      <c r="X67" s="1196"/>
      <c r="Y67" s="1196"/>
    </row>
    <row r="68" spans="1:25" s="725" customFormat="1" ht="15" customHeight="1">
      <c r="A68" s="1185"/>
      <c r="B68" s="1185"/>
      <c r="C68" s="1185"/>
      <c r="D68" s="1187"/>
      <c r="E68" s="1189"/>
      <c r="F68" s="1189"/>
      <c r="G68" s="1187"/>
      <c r="H68" s="1191"/>
      <c r="I68" s="1185"/>
      <c r="J68" s="1193"/>
      <c r="K68" s="720"/>
      <c r="L68" s="693"/>
      <c r="M68" s="712"/>
      <c r="N68" s="689"/>
      <c r="O68" s="714"/>
      <c r="P68" s="714"/>
      <c r="Q68" s="1185"/>
      <c r="R68" s="1193"/>
      <c r="S68" s="690"/>
      <c r="T68" s="690"/>
      <c r="U68" s="1195"/>
      <c r="V68" s="1197"/>
      <c r="W68" s="1197"/>
      <c r="X68" s="1197"/>
      <c r="Y68" s="1197"/>
    </row>
    <row r="69" spans="1:25" s="725" customFormat="1" ht="15" customHeight="1">
      <c r="A69" s="1185"/>
      <c r="B69" s="1185"/>
      <c r="C69" s="1185"/>
      <c r="D69" s="1187"/>
      <c r="E69" s="1189"/>
      <c r="F69" s="1189"/>
      <c r="G69" s="1187"/>
      <c r="H69" s="1191"/>
      <c r="I69" s="1185"/>
      <c r="J69" s="1193"/>
      <c r="K69" s="720"/>
      <c r="L69" s="693"/>
      <c r="M69" s="712"/>
      <c r="N69" s="689"/>
      <c r="O69" s="714"/>
      <c r="P69" s="714"/>
      <c r="Q69" s="1185"/>
      <c r="R69" s="1193"/>
      <c r="S69" s="690"/>
      <c r="T69" s="690"/>
      <c r="U69" s="1195"/>
      <c r="V69" s="1197"/>
      <c r="W69" s="1197"/>
      <c r="X69" s="1197"/>
      <c r="Y69" s="1197"/>
    </row>
    <row r="70" spans="1:25" s="725" customFormat="1" ht="15" customHeight="1">
      <c r="A70" s="1185"/>
      <c r="B70" s="1185"/>
      <c r="C70" s="1185"/>
      <c r="D70" s="1187"/>
      <c r="E70" s="1189"/>
      <c r="F70" s="1189"/>
      <c r="G70" s="1187"/>
      <c r="H70" s="1191"/>
      <c r="I70" s="1185"/>
      <c r="J70" s="1193"/>
      <c r="K70" s="720"/>
      <c r="L70" s="693"/>
      <c r="M70" s="712"/>
      <c r="N70" s="689"/>
      <c r="O70" s="714"/>
      <c r="P70" s="714"/>
      <c r="Q70" s="1185"/>
      <c r="R70" s="1193"/>
      <c r="S70" s="690"/>
      <c r="T70" s="690"/>
      <c r="U70" s="1195"/>
      <c r="V70" s="1197"/>
      <c r="W70" s="1197"/>
      <c r="X70" s="1197"/>
      <c r="Y70" s="1197"/>
    </row>
    <row r="71" spans="1:25" ht="15" customHeight="1">
      <c r="A71" s="660"/>
      <c r="B71" s="660"/>
      <c r="C71" s="660"/>
      <c r="D71" s="661"/>
      <c r="E71" s="660"/>
      <c r="F71" s="660"/>
      <c r="G71" s="661"/>
      <c r="H71" s="662"/>
      <c r="I71" s="660"/>
      <c r="J71" s="663"/>
      <c r="K71" s="664"/>
      <c r="L71" s="1166"/>
      <c r="M71" s="1167"/>
      <c r="N71" s="1168"/>
      <c r="O71" s="663"/>
      <c r="P71" s="663"/>
      <c r="Q71" s="665"/>
      <c r="R71" s="666"/>
      <c r="S71" s="625"/>
      <c r="T71" s="625"/>
      <c r="U71" s="667"/>
      <c r="V71" s="668"/>
      <c r="W71" s="668"/>
      <c r="X71" s="668"/>
      <c r="Y71" s="668"/>
    </row>
    <row r="72" spans="1:25" s="725" customFormat="1" ht="15" customHeight="1">
      <c r="A72" s="1184"/>
      <c r="B72" s="1184"/>
      <c r="C72" s="1184"/>
      <c r="D72" s="1186"/>
      <c r="E72" s="1188"/>
      <c r="F72" s="1188"/>
      <c r="G72" s="1186"/>
      <c r="H72" s="1190"/>
      <c r="I72" s="1184"/>
      <c r="J72" s="1192"/>
      <c r="K72" s="720"/>
      <c r="L72" s="693"/>
      <c r="M72" s="712"/>
      <c r="N72" s="689"/>
      <c r="O72" s="724"/>
      <c r="P72" s="724"/>
      <c r="Q72" s="1184"/>
      <c r="R72" s="1192"/>
      <c r="S72" s="690"/>
      <c r="T72" s="690"/>
      <c r="U72" s="1194"/>
      <c r="V72" s="1196"/>
      <c r="W72" s="1196"/>
      <c r="X72" s="1196"/>
      <c r="Y72" s="1196"/>
    </row>
    <row r="73" spans="1:25" s="725" customFormat="1" ht="15" customHeight="1">
      <c r="A73" s="1185"/>
      <c r="B73" s="1185"/>
      <c r="C73" s="1185"/>
      <c r="D73" s="1187"/>
      <c r="E73" s="1189"/>
      <c r="F73" s="1189"/>
      <c r="G73" s="1187"/>
      <c r="H73" s="1191"/>
      <c r="I73" s="1185"/>
      <c r="J73" s="1193"/>
      <c r="K73" s="720"/>
      <c r="L73" s="713"/>
      <c r="M73" s="712"/>
      <c r="N73" s="689"/>
      <c r="O73" s="724"/>
      <c r="P73" s="714"/>
      <c r="Q73" s="1185"/>
      <c r="R73" s="1193"/>
      <c r="S73" s="690"/>
      <c r="T73" s="690"/>
      <c r="U73" s="1195"/>
      <c r="V73" s="1197"/>
      <c r="W73" s="1197"/>
      <c r="X73" s="1197"/>
      <c r="Y73" s="1197"/>
    </row>
    <row r="74" spans="1:25" s="725" customFormat="1" ht="15" customHeight="1">
      <c r="A74" s="1185"/>
      <c r="B74" s="1185"/>
      <c r="C74" s="1185"/>
      <c r="D74" s="1187"/>
      <c r="E74" s="1189"/>
      <c r="F74" s="1189"/>
      <c r="G74" s="1187"/>
      <c r="H74" s="1191"/>
      <c r="I74" s="1185"/>
      <c r="J74" s="1193"/>
      <c r="K74" s="720"/>
      <c r="L74" s="713"/>
      <c r="M74" s="712"/>
      <c r="N74" s="689"/>
      <c r="O74" s="714"/>
      <c r="P74" s="714"/>
      <c r="Q74" s="1185"/>
      <c r="R74" s="1193"/>
      <c r="S74" s="690"/>
      <c r="T74" s="690"/>
      <c r="U74" s="1195"/>
      <c r="V74" s="1197"/>
      <c r="W74" s="1197"/>
      <c r="X74" s="1197"/>
      <c r="Y74" s="1197"/>
    </row>
    <row r="75" spans="1:25" s="725" customFormat="1" ht="15" customHeight="1">
      <c r="A75" s="1185"/>
      <c r="B75" s="1185"/>
      <c r="C75" s="1185"/>
      <c r="D75" s="1187"/>
      <c r="E75" s="1189"/>
      <c r="F75" s="1189"/>
      <c r="G75" s="1187"/>
      <c r="H75" s="1191"/>
      <c r="I75" s="1185"/>
      <c r="J75" s="1193"/>
      <c r="K75" s="720"/>
      <c r="L75" s="713"/>
      <c r="M75" s="712"/>
      <c r="N75" s="689"/>
      <c r="O75" s="714"/>
      <c r="P75" s="714"/>
      <c r="Q75" s="1185"/>
      <c r="R75" s="1193"/>
      <c r="S75" s="690"/>
      <c r="T75" s="690"/>
      <c r="U75" s="1195"/>
      <c r="V75" s="1197"/>
      <c r="W75" s="1197"/>
      <c r="X75" s="1197"/>
      <c r="Y75" s="1197"/>
    </row>
    <row r="76" spans="1:25" s="725" customFormat="1" ht="15" customHeight="1">
      <c r="A76" s="1185"/>
      <c r="B76" s="1185"/>
      <c r="C76" s="1185"/>
      <c r="D76" s="1187"/>
      <c r="E76" s="1189"/>
      <c r="F76" s="1189"/>
      <c r="G76" s="1187"/>
      <c r="H76" s="1191"/>
      <c r="I76" s="1185"/>
      <c r="J76" s="1193"/>
      <c r="K76" s="720"/>
      <c r="L76" s="713"/>
      <c r="M76" s="712"/>
      <c r="N76" s="689"/>
      <c r="O76" s="714"/>
      <c r="P76" s="714"/>
      <c r="Q76" s="1185"/>
      <c r="R76" s="1193"/>
      <c r="S76" s="690"/>
      <c r="T76" s="690"/>
      <c r="U76" s="1195"/>
      <c r="V76" s="1197"/>
      <c r="W76" s="1197"/>
      <c r="X76" s="1197"/>
      <c r="Y76" s="1197"/>
    </row>
    <row r="77" spans="1:25" s="725" customFormat="1" ht="15" customHeight="1">
      <c r="A77" s="1185"/>
      <c r="B77" s="1185"/>
      <c r="C77" s="1185"/>
      <c r="D77" s="1187"/>
      <c r="E77" s="1189"/>
      <c r="F77" s="1189"/>
      <c r="G77" s="1187"/>
      <c r="H77" s="1191"/>
      <c r="I77" s="1185"/>
      <c r="J77" s="1193"/>
      <c r="K77" s="720"/>
      <c r="L77" s="713"/>
      <c r="M77" s="712"/>
      <c r="N77" s="712"/>
      <c r="O77" s="714"/>
      <c r="P77" s="714"/>
      <c r="Q77" s="1185"/>
      <c r="R77" s="1193"/>
      <c r="S77" s="690"/>
      <c r="T77" s="690"/>
      <c r="U77" s="1195"/>
      <c r="V77" s="1197"/>
      <c r="W77" s="1197"/>
      <c r="X77" s="1197"/>
      <c r="Y77" s="1197"/>
    </row>
    <row r="78" spans="1:25" s="725" customFormat="1" ht="15" customHeight="1">
      <c r="A78" s="1235"/>
      <c r="B78" s="1235"/>
      <c r="C78" s="1235"/>
      <c r="D78" s="1241"/>
      <c r="E78" s="1242"/>
      <c r="F78" s="1242"/>
      <c r="G78" s="1241"/>
      <c r="H78" s="1234"/>
      <c r="I78" s="1235"/>
      <c r="J78" s="1236"/>
      <c r="K78" s="720"/>
      <c r="L78" s="713"/>
      <c r="M78" s="712"/>
      <c r="N78" s="712"/>
      <c r="O78" s="714"/>
      <c r="P78" s="714"/>
      <c r="Q78" s="1235"/>
      <c r="R78" s="1236"/>
      <c r="S78" s="690"/>
      <c r="T78" s="690"/>
      <c r="U78" s="1237"/>
      <c r="V78" s="1238"/>
      <c r="W78" s="1238"/>
      <c r="X78" s="1238"/>
      <c r="Y78" s="1238"/>
    </row>
    <row r="79" spans="1:25" ht="15" customHeight="1">
      <c r="A79" s="660"/>
      <c r="B79" s="660"/>
      <c r="C79" s="660"/>
      <c r="D79" s="661"/>
      <c r="E79" s="660"/>
      <c r="F79" s="660"/>
      <c r="G79" s="661"/>
      <c r="H79" s="662"/>
      <c r="I79" s="660"/>
      <c r="J79" s="663"/>
      <c r="K79" s="664"/>
      <c r="L79" s="1166"/>
      <c r="M79" s="1167"/>
      <c r="N79" s="1168"/>
      <c r="O79" s="663"/>
      <c r="P79" s="663"/>
      <c r="Q79" s="665"/>
      <c r="R79" s="666"/>
      <c r="S79" s="625"/>
      <c r="T79" s="625"/>
      <c r="U79" s="667"/>
      <c r="V79" s="668"/>
      <c r="W79" s="668"/>
      <c r="X79" s="668"/>
      <c r="Y79" s="668"/>
    </row>
    <row r="80" spans="1:25" s="160" customFormat="1" ht="15" customHeight="1">
      <c r="A80" s="1220"/>
      <c r="B80" s="1220"/>
      <c r="C80" s="1220"/>
      <c r="D80" s="1227"/>
      <c r="E80" s="1228"/>
      <c r="F80" s="1228"/>
      <c r="G80" s="1227"/>
      <c r="H80" s="1230"/>
      <c r="I80" s="1220"/>
      <c r="J80" s="1232"/>
      <c r="K80" s="770"/>
      <c r="L80" s="694"/>
      <c r="M80" s="719"/>
      <c r="N80" s="686"/>
      <c r="O80" s="771"/>
      <c r="P80" s="771"/>
      <c r="Q80" s="1220"/>
      <c r="R80" s="1232"/>
      <c r="S80" s="688"/>
      <c r="T80" s="688"/>
      <c r="U80" s="1240"/>
      <c r="V80" s="1233"/>
      <c r="W80" s="1233"/>
      <c r="X80" s="1233"/>
      <c r="Y80" s="1233"/>
    </row>
    <row r="81" spans="1:25" s="160" customFormat="1" ht="15" customHeight="1">
      <c r="A81" s="1217"/>
      <c r="B81" s="1217"/>
      <c r="C81" s="1217"/>
      <c r="D81" s="1219"/>
      <c r="E81" s="1229"/>
      <c r="F81" s="1229"/>
      <c r="G81" s="1219"/>
      <c r="H81" s="1231"/>
      <c r="I81" s="1217"/>
      <c r="J81" s="1222"/>
      <c r="K81" s="770"/>
      <c r="L81" s="694"/>
      <c r="M81" s="719"/>
      <c r="N81" s="686"/>
      <c r="O81" s="771"/>
      <c r="P81" s="771"/>
      <c r="Q81" s="1217"/>
      <c r="R81" s="1222"/>
      <c r="S81" s="688"/>
      <c r="T81" s="688"/>
      <c r="U81" s="1224"/>
      <c r="V81" s="1226"/>
      <c r="W81" s="1226"/>
      <c r="X81" s="1226"/>
      <c r="Y81" s="1226"/>
    </row>
    <row r="82" spans="1:25" s="160" customFormat="1" ht="15" customHeight="1">
      <c r="A82" s="1217"/>
      <c r="B82" s="1217"/>
      <c r="C82" s="1217"/>
      <c r="D82" s="1219"/>
      <c r="E82" s="1229"/>
      <c r="F82" s="1229"/>
      <c r="G82" s="1219"/>
      <c r="H82" s="1231"/>
      <c r="I82" s="1217"/>
      <c r="J82" s="1222"/>
      <c r="K82" s="770"/>
      <c r="L82" s="694"/>
      <c r="M82" s="719"/>
      <c r="N82" s="686"/>
      <c r="O82" s="780"/>
      <c r="P82" s="780"/>
      <c r="Q82" s="1217"/>
      <c r="R82" s="1222"/>
      <c r="S82" s="688"/>
      <c r="T82" s="688"/>
      <c r="U82" s="1224"/>
      <c r="V82" s="1226"/>
      <c r="W82" s="1226"/>
      <c r="X82" s="1226"/>
      <c r="Y82" s="1226"/>
    </row>
    <row r="83" spans="1:25" ht="15" customHeight="1">
      <c r="A83" s="660"/>
      <c r="B83" s="660"/>
      <c r="C83" s="660"/>
      <c r="D83" s="661"/>
      <c r="E83" s="660"/>
      <c r="F83" s="660"/>
      <c r="G83" s="661"/>
      <c r="H83" s="662"/>
      <c r="I83" s="660"/>
      <c r="J83" s="663"/>
      <c r="K83" s="664"/>
      <c r="L83" s="1166"/>
      <c r="M83" s="1167"/>
      <c r="N83" s="1168"/>
      <c r="O83" s="663"/>
      <c r="P83" s="663"/>
      <c r="Q83" s="665"/>
      <c r="R83" s="666"/>
      <c r="S83" s="625"/>
      <c r="T83" s="625"/>
      <c r="U83" s="667"/>
      <c r="V83" s="668"/>
      <c r="W83" s="668"/>
      <c r="X83" s="668"/>
      <c r="Y83" s="668"/>
    </row>
    <row r="84" spans="1:25" s="725" customFormat="1" ht="15" customHeight="1">
      <c r="A84" s="1184"/>
      <c r="B84" s="1184"/>
      <c r="C84" s="1184"/>
      <c r="D84" s="1186"/>
      <c r="E84" s="1188"/>
      <c r="F84" s="1188"/>
      <c r="G84" s="1186"/>
      <c r="H84" s="1190"/>
      <c r="I84" s="1184"/>
      <c r="J84" s="1192"/>
      <c r="K84" s="720"/>
      <c r="L84" s="693"/>
      <c r="M84" s="712"/>
      <c r="N84" s="689"/>
      <c r="O84" s="724"/>
      <c r="P84" s="724"/>
      <c r="Q84" s="1184"/>
      <c r="R84" s="1192"/>
      <c r="S84" s="690"/>
      <c r="T84" s="690"/>
      <c r="U84" s="1194"/>
      <c r="V84" s="1196"/>
      <c r="W84" s="1196"/>
      <c r="X84" s="1196"/>
      <c r="Y84" s="1196"/>
    </row>
    <row r="85" spans="1:25" s="725" customFormat="1" ht="15" customHeight="1">
      <c r="A85" s="1185"/>
      <c r="B85" s="1185"/>
      <c r="C85" s="1185"/>
      <c r="D85" s="1187"/>
      <c r="E85" s="1189"/>
      <c r="F85" s="1189"/>
      <c r="G85" s="1187"/>
      <c r="H85" s="1191"/>
      <c r="I85" s="1185"/>
      <c r="J85" s="1193"/>
      <c r="K85" s="720"/>
      <c r="L85" s="693"/>
      <c r="M85" s="712"/>
      <c r="N85" s="689"/>
      <c r="O85" s="724"/>
      <c r="P85" s="724"/>
      <c r="Q85" s="1185"/>
      <c r="R85" s="1193"/>
      <c r="S85" s="690"/>
      <c r="T85" s="690"/>
      <c r="U85" s="1195"/>
      <c r="V85" s="1197"/>
      <c r="W85" s="1197"/>
      <c r="X85" s="1197"/>
      <c r="Y85" s="1197"/>
    </row>
    <row r="86" spans="1:25" s="725" customFormat="1" ht="15" customHeight="1">
      <c r="A86" s="1185"/>
      <c r="B86" s="1185"/>
      <c r="C86" s="1185"/>
      <c r="D86" s="1187"/>
      <c r="E86" s="1189"/>
      <c r="F86" s="1189"/>
      <c r="G86" s="1187"/>
      <c r="H86" s="1191"/>
      <c r="I86" s="1185"/>
      <c r="J86" s="1193"/>
      <c r="K86" s="720"/>
      <c r="L86" s="693"/>
      <c r="M86" s="712"/>
      <c r="N86" s="689"/>
      <c r="O86" s="714"/>
      <c r="P86" s="714"/>
      <c r="Q86" s="1185"/>
      <c r="R86" s="1193"/>
      <c r="S86" s="690"/>
      <c r="T86" s="690"/>
      <c r="U86" s="1195"/>
      <c r="V86" s="1197"/>
      <c r="W86" s="1197"/>
      <c r="X86" s="1197"/>
      <c r="Y86" s="1197"/>
    </row>
    <row r="87" spans="1:25" ht="15" customHeight="1">
      <c r="A87" s="660"/>
      <c r="B87" s="660"/>
      <c r="C87" s="660"/>
      <c r="D87" s="661"/>
      <c r="E87" s="660"/>
      <c r="F87" s="660"/>
      <c r="G87" s="661"/>
      <c r="H87" s="662"/>
      <c r="I87" s="660"/>
      <c r="J87" s="663"/>
      <c r="K87" s="664"/>
      <c r="L87" s="1166"/>
      <c r="M87" s="1167"/>
      <c r="N87" s="1168"/>
      <c r="O87" s="663"/>
      <c r="P87" s="663"/>
      <c r="Q87" s="665"/>
      <c r="R87" s="666"/>
      <c r="S87" s="625"/>
      <c r="T87" s="625"/>
      <c r="U87" s="667"/>
      <c r="V87" s="668"/>
      <c r="W87" s="668"/>
      <c r="X87" s="668"/>
      <c r="Y87" s="668"/>
    </row>
    <row r="88" spans="1:25" ht="15" customHeight="1">
      <c r="A88" s="1172"/>
      <c r="B88" s="1172"/>
      <c r="C88" s="1172"/>
      <c r="D88" s="1174"/>
      <c r="E88" s="1176"/>
      <c r="F88" s="1176"/>
      <c r="G88" s="1174"/>
      <c r="H88" s="1178"/>
      <c r="I88" s="1172"/>
      <c r="J88" s="1180"/>
      <c r="K88" s="769"/>
      <c r="L88" s="773"/>
      <c r="M88" s="774"/>
      <c r="N88" s="622"/>
      <c r="O88" s="768"/>
      <c r="P88" s="768"/>
      <c r="Q88" s="1172"/>
      <c r="R88" s="1180"/>
      <c r="S88" s="658"/>
      <c r="T88" s="658"/>
      <c r="U88" s="1182"/>
      <c r="V88" s="1164"/>
      <c r="W88" s="1164"/>
      <c r="X88" s="1164"/>
      <c r="Y88" s="1164"/>
    </row>
    <row r="89" spans="1:25" ht="15" customHeight="1">
      <c r="A89" s="1173"/>
      <c r="B89" s="1173"/>
      <c r="C89" s="1173"/>
      <c r="D89" s="1175"/>
      <c r="E89" s="1177"/>
      <c r="F89" s="1177"/>
      <c r="G89" s="1175"/>
      <c r="H89" s="1179"/>
      <c r="I89" s="1173"/>
      <c r="J89" s="1181"/>
      <c r="K89" s="769"/>
      <c r="L89" s="773"/>
      <c r="M89" s="774"/>
      <c r="N89" s="622"/>
      <c r="O89" s="768"/>
      <c r="P89" s="768"/>
      <c r="Q89" s="1173"/>
      <c r="R89" s="1181"/>
      <c r="S89" s="658"/>
      <c r="T89" s="658"/>
      <c r="U89" s="1183"/>
      <c r="V89" s="1165"/>
      <c r="W89" s="1165"/>
      <c r="X89" s="1165"/>
      <c r="Y89" s="1165"/>
    </row>
    <row r="90" spans="1:25" ht="15" customHeight="1">
      <c r="A90" s="1173"/>
      <c r="B90" s="1173"/>
      <c r="C90" s="1173"/>
      <c r="D90" s="1175"/>
      <c r="E90" s="1177"/>
      <c r="F90" s="1177"/>
      <c r="G90" s="1175"/>
      <c r="H90" s="1179"/>
      <c r="I90" s="1173"/>
      <c r="J90" s="1181"/>
      <c r="K90" s="769"/>
      <c r="L90" s="773"/>
      <c r="M90" s="774"/>
      <c r="N90" s="622"/>
      <c r="O90" s="772"/>
      <c r="P90" s="772"/>
      <c r="Q90" s="1173"/>
      <c r="R90" s="1181"/>
      <c r="S90" s="658"/>
      <c r="T90" s="658"/>
      <c r="U90" s="1183"/>
      <c r="V90" s="1165"/>
      <c r="W90" s="1165"/>
      <c r="X90" s="1165"/>
      <c r="Y90" s="1165"/>
    </row>
    <row r="91" spans="1:25" ht="15" customHeight="1">
      <c r="A91" s="660"/>
      <c r="B91" s="660"/>
      <c r="C91" s="660"/>
      <c r="D91" s="661"/>
      <c r="E91" s="660"/>
      <c r="F91" s="660"/>
      <c r="G91" s="661"/>
      <c r="H91" s="662"/>
      <c r="I91" s="660"/>
      <c r="J91" s="663"/>
      <c r="K91" s="664"/>
      <c r="L91" s="1166"/>
      <c r="M91" s="1167"/>
      <c r="N91" s="1168"/>
      <c r="O91" s="663"/>
      <c r="P91" s="663"/>
      <c r="Q91" s="665"/>
      <c r="R91" s="666"/>
      <c r="S91" s="625"/>
      <c r="T91" s="625"/>
      <c r="U91" s="667"/>
      <c r="V91" s="668"/>
      <c r="W91" s="668"/>
      <c r="X91" s="668"/>
      <c r="Y91" s="668"/>
    </row>
    <row r="92" spans="1:25" ht="15" customHeight="1">
      <c r="A92" s="1172"/>
      <c r="B92" s="1172"/>
      <c r="C92" s="1172"/>
      <c r="D92" s="1174"/>
      <c r="E92" s="1176"/>
      <c r="F92" s="1176"/>
      <c r="G92" s="1174"/>
      <c r="H92" s="1178"/>
      <c r="I92" s="1172"/>
      <c r="J92" s="1180"/>
      <c r="K92" s="769"/>
      <c r="L92" s="773"/>
      <c r="M92" s="774"/>
      <c r="N92" s="622"/>
      <c r="O92" s="768"/>
      <c r="P92" s="768"/>
      <c r="Q92" s="1172"/>
      <c r="R92" s="1180"/>
      <c r="S92" s="658"/>
      <c r="T92" s="658"/>
      <c r="U92" s="1182"/>
      <c r="V92" s="1164"/>
      <c r="W92" s="1164"/>
      <c r="X92" s="1164"/>
      <c r="Y92" s="1164"/>
    </row>
    <row r="93" spans="1:25" ht="15" customHeight="1">
      <c r="A93" s="1173"/>
      <c r="B93" s="1173"/>
      <c r="C93" s="1173"/>
      <c r="D93" s="1175"/>
      <c r="E93" s="1177"/>
      <c r="F93" s="1177"/>
      <c r="G93" s="1175"/>
      <c r="H93" s="1179"/>
      <c r="I93" s="1173"/>
      <c r="J93" s="1181"/>
      <c r="K93" s="769"/>
      <c r="L93" s="773"/>
      <c r="M93" s="774"/>
      <c r="N93" s="622"/>
      <c r="O93" s="768"/>
      <c r="P93" s="768"/>
      <c r="Q93" s="1173"/>
      <c r="R93" s="1181"/>
      <c r="S93" s="658"/>
      <c r="T93" s="658"/>
      <c r="U93" s="1183"/>
      <c r="V93" s="1165"/>
      <c r="W93" s="1165"/>
      <c r="X93" s="1165"/>
      <c r="Y93" s="1165"/>
    </row>
    <row r="94" spans="1:25" ht="15" customHeight="1">
      <c r="A94" s="1173"/>
      <c r="B94" s="1173"/>
      <c r="C94" s="1173"/>
      <c r="D94" s="1175"/>
      <c r="E94" s="1177"/>
      <c r="F94" s="1177"/>
      <c r="G94" s="1175"/>
      <c r="H94" s="1179"/>
      <c r="I94" s="1173"/>
      <c r="J94" s="1181"/>
      <c r="K94" s="769"/>
      <c r="L94" s="773"/>
      <c r="M94" s="774"/>
      <c r="N94" s="622"/>
      <c r="O94" s="772"/>
      <c r="P94" s="772"/>
      <c r="Q94" s="1173"/>
      <c r="R94" s="1181"/>
      <c r="S94" s="658"/>
      <c r="T94" s="658"/>
      <c r="U94" s="1183"/>
      <c r="V94" s="1165"/>
      <c r="W94" s="1165"/>
      <c r="X94" s="1165"/>
      <c r="Y94" s="1165"/>
    </row>
    <row r="95" spans="1:25" ht="15" customHeight="1">
      <c r="A95" s="660"/>
      <c r="B95" s="660"/>
      <c r="C95" s="660"/>
      <c r="D95" s="661"/>
      <c r="E95" s="660"/>
      <c r="F95" s="660"/>
      <c r="G95" s="661"/>
      <c r="H95" s="662"/>
      <c r="I95" s="660"/>
      <c r="J95" s="663"/>
      <c r="K95" s="664"/>
      <c r="L95" s="1166"/>
      <c r="M95" s="1167"/>
      <c r="N95" s="1168"/>
      <c r="O95" s="663"/>
      <c r="P95" s="663"/>
      <c r="Q95" s="665"/>
      <c r="R95" s="666"/>
      <c r="S95" s="625"/>
      <c r="T95" s="625"/>
      <c r="U95" s="667"/>
      <c r="V95" s="668"/>
      <c r="W95" s="668"/>
      <c r="X95" s="668"/>
      <c r="Y95" s="668"/>
    </row>
    <row r="96" spans="1:25" ht="45.75" customHeight="1">
      <c r="A96" s="1169"/>
      <c r="B96" s="1170"/>
      <c r="C96" s="1170"/>
      <c r="D96" s="1170"/>
      <c r="E96" s="1170"/>
      <c r="F96" s="1170"/>
      <c r="G96" s="1170"/>
      <c r="H96" s="1170"/>
      <c r="I96" s="1170"/>
      <c r="J96" s="1170"/>
      <c r="K96" s="1170"/>
      <c r="L96" s="1170"/>
      <c r="M96" s="1170"/>
      <c r="N96" s="1170"/>
      <c r="O96" s="1170"/>
      <c r="P96" s="1170"/>
      <c r="Q96" s="1170"/>
      <c r="R96" s="1171"/>
      <c r="S96" s="669"/>
      <c r="T96" s="669"/>
      <c r="U96" s="669">
        <f>SUM(U8:U95)</f>
        <v>1000000</v>
      </c>
      <c r="V96" s="670"/>
      <c r="W96" s="670"/>
      <c r="X96" s="670"/>
      <c r="Y96" s="671"/>
    </row>
    <row r="98" spans="13:13" ht="15" customHeight="1">
      <c r="M98" s="1" t="s">
        <v>543</v>
      </c>
    </row>
  </sheetData>
  <mergeCells count="277">
    <mergeCell ref="F72:F78"/>
    <mergeCell ref="G72:G78"/>
    <mergeCell ref="U63:U65"/>
    <mergeCell ref="Y63:Y65"/>
    <mergeCell ref="Y80:Y82"/>
    <mergeCell ref="L83:N83"/>
    <mergeCell ref="H8:H16"/>
    <mergeCell ref="H28:H34"/>
    <mergeCell ref="H36:H42"/>
    <mergeCell ref="L79:N79"/>
    <mergeCell ref="A80:A82"/>
    <mergeCell ref="B80:B82"/>
    <mergeCell ref="C80:C82"/>
    <mergeCell ref="D80:D82"/>
    <mergeCell ref="E80:E82"/>
    <mergeCell ref="F80:F82"/>
    <mergeCell ref="G80:G82"/>
    <mergeCell ref="H80:H82"/>
    <mergeCell ref="I80:I82"/>
    <mergeCell ref="J80:J82"/>
    <mergeCell ref="Q80:Q82"/>
    <mergeCell ref="R80:R82"/>
    <mergeCell ref="U80:U82"/>
    <mergeCell ref="V80:V82"/>
    <mergeCell ref="W80:W82"/>
    <mergeCell ref="X80:X82"/>
    <mergeCell ref="Y67:Y70"/>
    <mergeCell ref="Y72:Y78"/>
    <mergeCell ref="L66:N66"/>
    <mergeCell ref="A67:A70"/>
    <mergeCell ref="B67:B70"/>
    <mergeCell ref="C67:C70"/>
    <mergeCell ref="D67:D70"/>
    <mergeCell ref="E67:E70"/>
    <mergeCell ref="F67:F70"/>
    <mergeCell ref="G67:G70"/>
    <mergeCell ref="H67:H70"/>
    <mergeCell ref="I67:I70"/>
    <mergeCell ref="J67:J70"/>
    <mergeCell ref="Q67:Q70"/>
    <mergeCell ref="R67:R70"/>
    <mergeCell ref="U67:U70"/>
    <mergeCell ref="V67:V70"/>
    <mergeCell ref="W67:W70"/>
    <mergeCell ref="X67:X70"/>
    <mergeCell ref="L71:N71"/>
    <mergeCell ref="A72:A78"/>
    <mergeCell ref="B72:B78"/>
    <mergeCell ref="C72:C78"/>
    <mergeCell ref="D72:D78"/>
    <mergeCell ref="E72:E78"/>
    <mergeCell ref="R52:R59"/>
    <mergeCell ref="U52:U59"/>
    <mergeCell ref="V52:V59"/>
    <mergeCell ref="W52:W59"/>
    <mergeCell ref="X52:X59"/>
    <mergeCell ref="V63:V65"/>
    <mergeCell ref="W63:W65"/>
    <mergeCell ref="X63:X65"/>
    <mergeCell ref="H72:H78"/>
    <mergeCell ref="I72:I78"/>
    <mergeCell ref="J72:J78"/>
    <mergeCell ref="Q72:Q78"/>
    <mergeCell ref="R72:R78"/>
    <mergeCell ref="U72:U78"/>
    <mergeCell ref="V72:V78"/>
    <mergeCell ref="W72:W78"/>
    <mergeCell ref="X72:X78"/>
    <mergeCell ref="B52:B59"/>
    <mergeCell ref="C52:C59"/>
    <mergeCell ref="D52:D59"/>
    <mergeCell ref="E52:E59"/>
    <mergeCell ref="F52:F59"/>
    <mergeCell ref="G52:G59"/>
    <mergeCell ref="I52:I59"/>
    <mergeCell ref="J52:J59"/>
    <mergeCell ref="Q52:Q59"/>
    <mergeCell ref="Q63:Q65"/>
    <mergeCell ref="R63:R65"/>
    <mergeCell ref="Y36:Y42"/>
    <mergeCell ref="L43:N43"/>
    <mergeCell ref="A44:A50"/>
    <mergeCell ref="B44:B50"/>
    <mergeCell ref="C44:C50"/>
    <mergeCell ref="D44:D50"/>
    <mergeCell ref="E44:E50"/>
    <mergeCell ref="F44:F50"/>
    <mergeCell ref="G44:G50"/>
    <mergeCell ref="I44:I50"/>
    <mergeCell ref="J44:J50"/>
    <mergeCell ref="Q44:Q50"/>
    <mergeCell ref="R44:R50"/>
    <mergeCell ref="U44:U50"/>
    <mergeCell ref="V44:V50"/>
    <mergeCell ref="W44:W50"/>
    <mergeCell ref="X44:X50"/>
    <mergeCell ref="Y44:Y50"/>
    <mergeCell ref="Y52:Y59"/>
    <mergeCell ref="L60:N60"/>
    <mergeCell ref="L51:N51"/>
    <mergeCell ref="A52:A59"/>
    <mergeCell ref="L62:N62"/>
    <mergeCell ref="A63:A65"/>
    <mergeCell ref="B63:B65"/>
    <mergeCell ref="C63:C65"/>
    <mergeCell ref="D63:D65"/>
    <mergeCell ref="E63:E65"/>
    <mergeCell ref="F63:F65"/>
    <mergeCell ref="G63:G65"/>
    <mergeCell ref="H63:H65"/>
    <mergeCell ref="I63:I65"/>
    <mergeCell ref="J63:J65"/>
    <mergeCell ref="Y18:Y26"/>
    <mergeCell ref="L27:N27"/>
    <mergeCell ref="A28:A34"/>
    <mergeCell ref="B28:B34"/>
    <mergeCell ref="C28:C34"/>
    <mergeCell ref="D28:D34"/>
    <mergeCell ref="E28:E34"/>
    <mergeCell ref="F28:F34"/>
    <mergeCell ref="G28:G34"/>
    <mergeCell ref="I28:I34"/>
    <mergeCell ref="J28:J34"/>
    <mergeCell ref="Q28:Q34"/>
    <mergeCell ref="R28:R34"/>
    <mergeCell ref="U28:U34"/>
    <mergeCell ref="V28:V34"/>
    <mergeCell ref="W28:W34"/>
    <mergeCell ref="V18:V26"/>
    <mergeCell ref="W18:W26"/>
    <mergeCell ref="X18:X26"/>
    <mergeCell ref="L35:N35"/>
    <mergeCell ref="A36:A42"/>
    <mergeCell ref="B36:B42"/>
    <mergeCell ref="C36:C42"/>
    <mergeCell ref="D36:D42"/>
    <mergeCell ref="E36:E42"/>
    <mergeCell ref="F36:F42"/>
    <mergeCell ref="G36:G42"/>
    <mergeCell ref="I36:I42"/>
    <mergeCell ref="J36:J42"/>
    <mergeCell ref="Q36:Q42"/>
    <mergeCell ref="R36:R42"/>
    <mergeCell ref="U36:U42"/>
    <mergeCell ref="V36:V42"/>
    <mergeCell ref="W36:W42"/>
    <mergeCell ref="X36:X42"/>
    <mergeCell ref="L17:N17"/>
    <mergeCell ref="A18:A26"/>
    <mergeCell ref="B18:B26"/>
    <mergeCell ref="C18:C26"/>
    <mergeCell ref="D18:D26"/>
    <mergeCell ref="E18:E26"/>
    <mergeCell ref="F18:F26"/>
    <mergeCell ref="G18:G26"/>
    <mergeCell ref="H18:H26"/>
    <mergeCell ref="I18:I26"/>
    <mergeCell ref="J18:J26"/>
    <mergeCell ref="A8:A16"/>
    <mergeCell ref="B8:B16"/>
    <mergeCell ref="C8:C16"/>
    <mergeCell ref="D8:D16"/>
    <mergeCell ref="E8:E16"/>
    <mergeCell ref="F8:F16"/>
    <mergeCell ref="G8:G16"/>
    <mergeCell ref="I8:I16"/>
    <mergeCell ref="J8:J16"/>
    <mergeCell ref="I6:I7"/>
    <mergeCell ref="J6:J7"/>
    <mergeCell ref="K6:P6"/>
    <mergeCell ref="Q6:Q7"/>
    <mergeCell ref="R6:R7"/>
    <mergeCell ref="S6:S7"/>
    <mergeCell ref="T6:T7"/>
    <mergeCell ref="U6:U7"/>
    <mergeCell ref="V6:V7"/>
    <mergeCell ref="A5:F5"/>
    <mergeCell ref="A6:A7"/>
    <mergeCell ref="B6:B7"/>
    <mergeCell ref="C6:C7"/>
    <mergeCell ref="D6:D7"/>
    <mergeCell ref="E6:E7"/>
    <mergeCell ref="F6:F7"/>
    <mergeCell ref="G6:G7"/>
    <mergeCell ref="H6:H7"/>
    <mergeCell ref="A1:Y1"/>
    <mergeCell ref="G3:G4"/>
    <mergeCell ref="H3:H4"/>
    <mergeCell ref="I3:I4"/>
    <mergeCell ref="J3:J4"/>
    <mergeCell ref="K3:P3"/>
    <mergeCell ref="A2:F2"/>
    <mergeCell ref="A3:A4"/>
    <mergeCell ref="B3:B4"/>
    <mergeCell ref="C3:C4"/>
    <mergeCell ref="D3:D4"/>
    <mergeCell ref="E3:E4"/>
    <mergeCell ref="F3:F4"/>
    <mergeCell ref="Y3:Y4"/>
    <mergeCell ref="Y84:Y86"/>
    <mergeCell ref="V3:V4"/>
    <mergeCell ref="W3:W4"/>
    <mergeCell ref="X3:X4"/>
    <mergeCell ref="Q3:Q4"/>
    <mergeCell ref="R3:R4"/>
    <mergeCell ref="S3:S4"/>
    <mergeCell ref="T3:T4"/>
    <mergeCell ref="U3:U4"/>
    <mergeCell ref="W6:W7"/>
    <mergeCell ref="X6:X7"/>
    <mergeCell ref="Y6:Y7"/>
    <mergeCell ref="Q8:Q16"/>
    <mergeCell ref="R8:R16"/>
    <mergeCell ref="U8:U16"/>
    <mergeCell ref="V8:V16"/>
    <mergeCell ref="W8:W16"/>
    <mergeCell ref="X8:X16"/>
    <mergeCell ref="Y8:Y16"/>
    <mergeCell ref="X28:X34"/>
    <mergeCell ref="Y28:Y34"/>
    <mergeCell ref="Q18:Q26"/>
    <mergeCell ref="R18:R26"/>
    <mergeCell ref="U18:U26"/>
    <mergeCell ref="V88:V90"/>
    <mergeCell ref="W88:W90"/>
    <mergeCell ref="X88:X90"/>
    <mergeCell ref="A84:A86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Q84:Q86"/>
    <mergeCell ref="R84:R86"/>
    <mergeCell ref="U84:U86"/>
    <mergeCell ref="V84:V86"/>
    <mergeCell ref="W84:W86"/>
    <mergeCell ref="X84:X86"/>
    <mergeCell ref="L87:N87"/>
    <mergeCell ref="A88:A90"/>
    <mergeCell ref="B88:B90"/>
    <mergeCell ref="C88:C90"/>
    <mergeCell ref="D88:D90"/>
    <mergeCell ref="E88:E90"/>
    <mergeCell ref="F88:F90"/>
    <mergeCell ref="G88:G90"/>
    <mergeCell ref="H88:H90"/>
    <mergeCell ref="I88:I90"/>
    <mergeCell ref="J88:J90"/>
    <mergeCell ref="Y88:Y90"/>
    <mergeCell ref="L91:N91"/>
    <mergeCell ref="A96:R96"/>
    <mergeCell ref="A92:A94"/>
    <mergeCell ref="B92:B94"/>
    <mergeCell ref="C92:C94"/>
    <mergeCell ref="D92:D94"/>
    <mergeCell ref="E92:E94"/>
    <mergeCell ref="F92:F94"/>
    <mergeCell ref="G92:G94"/>
    <mergeCell ref="H92:H94"/>
    <mergeCell ref="I92:I94"/>
    <mergeCell ref="J92:J94"/>
    <mergeCell ref="Q92:Q94"/>
    <mergeCell ref="R92:R94"/>
    <mergeCell ref="U92:U94"/>
    <mergeCell ref="V92:V94"/>
    <mergeCell ref="W92:W94"/>
    <mergeCell ref="X92:X94"/>
    <mergeCell ref="Y92:Y94"/>
    <mergeCell ref="L95:N95"/>
    <mergeCell ref="Q88:Q90"/>
    <mergeCell ref="R88:R90"/>
    <mergeCell ref="U88:U90"/>
  </mergeCells>
  <phoneticPr fontId="107" type="noConversion"/>
  <printOptions horizontalCentered="1" verticalCentered="1"/>
  <pageMargins left="0" right="0" top="0" bottom="0" header="0" footer="0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I276"/>
  <sheetViews>
    <sheetView topLeftCell="A101" zoomScaleNormal="100" workbookViewId="0">
      <selection activeCell="E123" sqref="E123"/>
    </sheetView>
  </sheetViews>
  <sheetFormatPr defaultColWidth="9" defaultRowHeight="13"/>
  <cols>
    <col min="1" max="1" width="3.25" style="517" customWidth="1"/>
    <col min="2" max="2" width="3.25" style="518" customWidth="1"/>
    <col min="3" max="3" width="11.25" style="518" customWidth="1"/>
    <col min="4" max="4" width="41.08203125" style="518" customWidth="1"/>
    <col min="5" max="5" width="14.25" style="518" customWidth="1"/>
    <col min="6" max="6" width="16.5" style="518" customWidth="1"/>
    <col min="7" max="7" width="4.25" style="518" customWidth="1"/>
    <col min="8" max="8" width="7.58203125" style="517" customWidth="1"/>
    <col min="9" max="9" width="9.83203125" style="517" bestFit="1" customWidth="1"/>
    <col min="10" max="10" width="9.08203125" style="517" bestFit="1" customWidth="1"/>
    <col min="11" max="11" width="2.08203125" style="517" customWidth="1"/>
    <col min="12" max="16384" width="9" style="517"/>
  </cols>
  <sheetData>
    <row r="1" spans="2:7" ht="30" customHeight="1">
      <c r="B1" s="1253" t="s">
        <v>4264</v>
      </c>
      <c r="C1" s="1253"/>
      <c r="D1" s="1253"/>
      <c r="E1" s="1253"/>
      <c r="F1" s="1253"/>
    </row>
    <row r="2" spans="2:7" ht="9" customHeight="1"/>
    <row r="3" spans="2:7" ht="13.5">
      <c r="B3" s="1255" t="s">
        <v>1</v>
      </c>
      <c r="C3" s="1255" t="s">
        <v>3858</v>
      </c>
      <c r="D3" s="1255" t="s">
        <v>3389</v>
      </c>
      <c r="E3" s="1255" t="s">
        <v>4089</v>
      </c>
      <c r="F3" s="1255"/>
      <c r="G3" s="541"/>
    </row>
    <row r="4" spans="2:7" ht="13.5">
      <c r="B4" s="1255"/>
      <c r="C4" s="1255"/>
      <c r="D4" s="1255"/>
      <c r="E4" s="511" t="s">
        <v>3801</v>
      </c>
      <c r="F4" s="511" t="s">
        <v>4090</v>
      </c>
      <c r="G4" s="541"/>
    </row>
    <row r="5" spans="2:7">
      <c r="B5" s="512">
        <v>1</v>
      </c>
      <c r="C5" s="513">
        <v>45480</v>
      </c>
      <c r="D5" s="512" t="s">
        <v>4091</v>
      </c>
      <c r="E5" s="514"/>
      <c r="F5" s="514">
        <v>93486</v>
      </c>
      <c r="G5" s="542"/>
    </row>
    <row r="6" spans="2:7">
      <c r="B6" s="512"/>
      <c r="C6" s="512"/>
      <c r="D6" s="512" t="s">
        <v>4092</v>
      </c>
      <c r="E6" s="514"/>
      <c r="F6" s="514">
        <v>1118083</v>
      </c>
      <c r="G6" s="542"/>
    </row>
    <row r="7" spans="2:7">
      <c r="B7" s="512"/>
      <c r="C7" s="512"/>
      <c r="D7" s="512" t="s">
        <v>4093</v>
      </c>
      <c r="E7" s="514"/>
      <c r="F7" s="514">
        <v>25026</v>
      </c>
      <c r="G7" s="542"/>
    </row>
    <row r="8" spans="2:7">
      <c r="B8" s="512"/>
      <c r="C8" s="512"/>
      <c r="D8" s="512" t="s">
        <v>4094</v>
      </c>
      <c r="E8" s="514"/>
      <c r="F8" s="514">
        <v>8954</v>
      </c>
      <c r="G8" s="542"/>
    </row>
    <row r="9" spans="2:7">
      <c r="B9" s="512"/>
      <c r="C9" s="512"/>
      <c r="D9" s="512" t="s">
        <v>4095</v>
      </c>
      <c r="E9" s="514"/>
      <c r="F9" s="514">
        <v>464037</v>
      </c>
      <c r="G9" s="542"/>
    </row>
    <row r="10" spans="2:7">
      <c r="B10" s="512"/>
      <c r="C10" s="512"/>
      <c r="D10" s="512" t="s">
        <v>4096</v>
      </c>
      <c r="E10" s="514"/>
      <c r="F10" s="514">
        <v>21000</v>
      </c>
      <c r="G10" s="542"/>
    </row>
    <row r="11" spans="2:7">
      <c r="B11" s="512"/>
      <c r="C11" s="512"/>
      <c r="D11" s="512" t="s">
        <v>4097</v>
      </c>
      <c r="E11" s="514"/>
      <c r="F11" s="514">
        <v>17000</v>
      </c>
      <c r="G11" s="542"/>
    </row>
    <row r="12" spans="2:7">
      <c r="B12" s="512"/>
      <c r="C12" s="512"/>
      <c r="D12" s="512" t="s">
        <v>4098</v>
      </c>
      <c r="E12" s="514"/>
      <c r="F12" s="514">
        <v>20000</v>
      </c>
      <c r="G12" s="542"/>
    </row>
    <row r="13" spans="2:7">
      <c r="B13" s="512"/>
      <c r="C13" s="512"/>
      <c r="D13" s="512" t="s">
        <v>4099</v>
      </c>
      <c r="E13" s="514"/>
      <c r="F13" s="514">
        <v>45000</v>
      </c>
      <c r="G13" s="542"/>
    </row>
    <row r="14" spans="2:7">
      <c r="B14" s="512"/>
      <c r="C14" s="512"/>
      <c r="D14" s="512" t="s">
        <v>4100</v>
      </c>
      <c r="E14" s="514"/>
      <c r="F14" s="514">
        <v>40000</v>
      </c>
      <c r="G14" s="542"/>
    </row>
    <row r="15" spans="2:7">
      <c r="B15" s="512"/>
      <c r="C15" s="512"/>
      <c r="D15" s="512" t="s">
        <v>4101</v>
      </c>
      <c r="E15" s="514">
        <v>100000</v>
      </c>
      <c r="F15" s="514"/>
      <c r="G15" s="542"/>
    </row>
    <row r="16" spans="2:7">
      <c r="B16" s="512"/>
      <c r="C16" s="512"/>
      <c r="D16" s="512" t="s">
        <v>4102</v>
      </c>
      <c r="E16" s="514"/>
      <c r="F16" s="514">
        <v>92400</v>
      </c>
      <c r="G16" s="542"/>
    </row>
    <row r="17" spans="2:7" ht="12.75" customHeight="1">
      <c r="B17" s="512"/>
      <c r="C17" s="512"/>
      <c r="D17" s="512" t="s">
        <v>4265</v>
      </c>
      <c r="E17" s="514">
        <v>16000</v>
      </c>
      <c r="F17" s="514"/>
      <c r="G17" s="542"/>
    </row>
    <row r="18" spans="2:7">
      <c r="B18" s="512"/>
      <c r="C18" s="512"/>
      <c r="D18" s="512" t="s">
        <v>4266</v>
      </c>
      <c r="E18" s="514">
        <v>45000</v>
      </c>
      <c r="F18" s="514"/>
      <c r="G18" s="542"/>
    </row>
    <row r="19" spans="2:7">
      <c r="B19" s="512">
        <v>2</v>
      </c>
      <c r="C19" s="513">
        <v>45511</v>
      </c>
      <c r="D19" s="512" t="s">
        <v>4103</v>
      </c>
      <c r="E19" s="514">
        <v>10000</v>
      </c>
      <c r="F19" s="514"/>
      <c r="G19" s="542"/>
    </row>
    <row r="20" spans="2:7">
      <c r="B20" s="512"/>
      <c r="C20" s="512"/>
      <c r="D20" s="512" t="s">
        <v>4104</v>
      </c>
      <c r="E20" s="514">
        <v>20000</v>
      </c>
      <c r="F20" s="514"/>
      <c r="G20" s="542"/>
    </row>
    <row r="21" spans="2:7">
      <c r="B21" s="512"/>
      <c r="C21" s="512"/>
      <c r="D21" s="512" t="s">
        <v>4105</v>
      </c>
      <c r="E21" s="514">
        <v>14000</v>
      </c>
      <c r="F21" s="514"/>
      <c r="G21" s="542"/>
    </row>
    <row r="22" spans="2:7">
      <c r="B22" s="512"/>
      <c r="C22" s="512"/>
      <c r="D22" s="512" t="s">
        <v>4106</v>
      </c>
      <c r="E22" s="514">
        <v>9000</v>
      </c>
      <c r="F22" s="514"/>
      <c r="G22" s="542"/>
    </row>
    <row r="23" spans="2:7">
      <c r="B23" s="512"/>
      <c r="C23" s="512"/>
      <c r="D23" s="512" t="s">
        <v>4107</v>
      </c>
      <c r="E23" s="514">
        <v>3625000</v>
      </c>
      <c r="F23" s="514"/>
      <c r="G23" s="542"/>
    </row>
    <row r="24" spans="2:7">
      <c r="B24" s="512"/>
      <c r="C24" s="512"/>
      <c r="D24" s="512" t="s">
        <v>4108</v>
      </c>
      <c r="E24" s="514">
        <v>8010000</v>
      </c>
      <c r="F24" s="514"/>
      <c r="G24" s="542"/>
    </row>
    <row r="25" spans="2:7">
      <c r="B25" s="512"/>
      <c r="C25" s="512"/>
      <c r="D25" s="512" t="s">
        <v>4267</v>
      </c>
      <c r="E25" s="514">
        <v>35000</v>
      </c>
      <c r="F25" s="514"/>
      <c r="G25" s="542"/>
    </row>
    <row r="26" spans="2:7">
      <c r="B26" s="512">
        <v>3</v>
      </c>
      <c r="C26" s="513">
        <v>45542</v>
      </c>
      <c r="D26" s="512" t="s">
        <v>4109</v>
      </c>
      <c r="E26" s="514"/>
      <c r="F26" s="514">
        <v>28000</v>
      </c>
      <c r="G26" s="542"/>
    </row>
    <row r="27" spans="2:7">
      <c r="B27" s="512"/>
      <c r="C27" s="512"/>
      <c r="D27" s="512" t="s">
        <v>4110</v>
      </c>
      <c r="E27" s="514">
        <v>45000</v>
      </c>
      <c r="F27" s="514"/>
      <c r="G27" s="542"/>
    </row>
    <row r="28" spans="2:7">
      <c r="B28" s="512"/>
      <c r="C28" s="512"/>
      <c r="D28" s="512" t="s">
        <v>4111</v>
      </c>
      <c r="E28" s="514"/>
      <c r="F28" s="514">
        <v>202750</v>
      </c>
      <c r="G28" s="542"/>
    </row>
    <row r="29" spans="2:7">
      <c r="B29" s="512">
        <v>4</v>
      </c>
      <c r="C29" s="513">
        <v>45572</v>
      </c>
      <c r="D29" s="512" t="s">
        <v>4112</v>
      </c>
      <c r="E29" s="514"/>
      <c r="F29" s="514">
        <v>59600</v>
      </c>
      <c r="G29" s="542"/>
    </row>
    <row r="30" spans="2:7">
      <c r="B30" s="512"/>
      <c r="C30" s="513"/>
      <c r="D30" s="512" t="s">
        <v>4113</v>
      </c>
      <c r="E30" s="514">
        <v>1250000</v>
      </c>
      <c r="F30" s="514"/>
      <c r="G30" s="542"/>
    </row>
    <row r="31" spans="2:7">
      <c r="B31" s="512"/>
      <c r="C31" s="513"/>
      <c r="D31" s="512" t="s">
        <v>4107</v>
      </c>
      <c r="E31" s="514">
        <v>1254400</v>
      </c>
      <c r="F31" s="514"/>
      <c r="G31" s="542"/>
    </row>
    <row r="32" spans="2:7">
      <c r="B32" s="512">
        <v>5</v>
      </c>
      <c r="C32" s="513">
        <v>45603</v>
      </c>
      <c r="D32" s="512" t="s">
        <v>4114</v>
      </c>
      <c r="E32" s="514">
        <v>12000</v>
      </c>
      <c r="F32" s="514"/>
      <c r="G32" s="542"/>
    </row>
    <row r="33" spans="2:7">
      <c r="B33" s="512">
        <v>6</v>
      </c>
      <c r="C33" s="513">
        <v>45633</v>
      </c>
      <c r="D33" s="512" t="s">
        <v>4115</v>
      </c>
      <c r="E33" s="514"/>
      <c r="F33" s="514">
        <v>1875000</v>
      </c>
      <c r="G33" s="542"/>
    </row>
    <row r="34" spans="2:7">
      <c r="B34" s="512"/>
      <c r="C34" s="513"/>
      <c r="D34" s="512" t="s">
        <v>4116</v>
      </c>
      <c r="E34" s="514"/>
      <c r="F34" s="514">
        <v>370538</v>
      </c>
      <c r="G34" s="542"/>
    </row>
    <row r="35" spans="2:7">
      <c r="B35" s="512"/>
      <c r="C35" s="512"/>
      <c r="D35" s="512" t="s">
        <v>4117</v>
      </c>
      <c r="E35" s="514">
        <v>52000</v>
      </c>
      <c r="F35" s="514"/>
      <c r="G35" s="542"/>
    </row>
    <row r="36" spans="2:7">
      <c r="B36" s="512"/>
      <c r="C36" s="512"/>
      <c r="D36" s="512" t="s">
        <v>4118</v>
      </c>
      <c r="E36" s="514">
        <v>45000</v>
      </c>
      <c r="F36" s="514"/>
      <c r="G36" s="542"/>
    </row>
    <row r="37" spans="2:7">
      <c r="B37" s="512"/>
      <c r="C37" s="512"/>
      <c r="D37" s="512" t="s">
        <v>4119</v>
      </c>
      <c r="E37" s="514"/>
      <c r="F37" s="514">
        <v>66672</v>
      </c>
      <c r="G37" s="542"/>
    </row>
    <row r="38" spans="2:7">
      <c r="B38" s="512"/>
      <c r="C38" s="512"/>
      <c r="D38" s="512" t="s">
        <v>4120</v>
      </c>
      <c r="E38" s="514"/>
      <c r="F38" s="514">
        <v>37602</v>
      </c>
      <c r="G38" s="542"/>
    </row>
    <row r="39" spans="2:7">
      <c r="B39" s="512">
        <v>7</v>
      </c>
      <c r="C39" s="513">
        <v>45486</v>
      </c>
      <c r="D39" s="512" t="s">
        <v>4121</v>
      </c>
      <c r="E39" s="514">
        <v>795760</v>
      </c>
      <c r="F39" s="514"/>
      <c r="G39" s="542"/>
    </row>
    <row r="40" spans="2:7">
      <c r="B40" s="512"/>
      <c r="C40" s="512"/>
      <c r="D40" s="512" t="s">
        <v>4122</v>
      </c>
      <c r="E40" s="514">
        <v>2500000</v>
      </c>
      <c r="F40" s="514"/>
      <c r="G40" s="542"/>
    </row>
    <row r="41" spans="2:7">
      <c r="B41" s="512"/>
      <c r="C41" s="512"/>
      <c r="D41" s="512" t="s">
        <v>4123</v>
      </c>
      <c r="E41" s="514">
        <v>1200000</v>
      </c>
      <c r="F41" s="514"/>
      <c r="G41" s="542"/>
    </row>
    <row r="42" spans="2:7">
      <c r="B42" s="512"/>
      <c r="C42" s="512"/>
      <c r="D42" s="512" t="s">
        <v>4124</v>
      </c>
      <c r="E42" s="514"/>
      <c r="F42" s="514">
        <v>550000</v>
      </c>
      <c r="G42" s="542"/>
    </row>
    <row r="43" spans="2:7">
      <c r="B43" s="512"/>
      <c r="C43" s="512"/>
      <c r="D43" s="512" t="s">
        <v>4125</v>
      </c>
      <c r="E43" s="514"/>
      <c r="F43" s="514">
        <v>200000</v>
      </c>
      <c r="G43" s="542"/>
    </row>
    <row r="44" spans="2:7">
      <c r="B44" s="512">
        <v>8</v>
      </c>
      <c r="C44" s="513">
        <v>45488</v>
      </c>
      <c r="D44" s="512" t="s">
        <v>4126</v>
      </c>
      <c r="E44" s="514">
        <v>115000</v>
      </c>
      <c r="F44" s="514"/>
      <c r="G44" s="542"/>
    </row>
    <row r="45" spans="2:7">
      <c r="B45" s="512"/>
      <c r="C45" s="512"/>
      <c r="D45" s="512" t="s">
        <v>4121</v>
      </c>
      <c r="E45" s="514">
        <v>1616020</v>
      </c>
      <c r="F45" s="514"/>
      <c r="G45" s="542"/>
    </row>
    <row r="46" spans="2:7">
      <c r="B46" s="512"/>
      <c r="C46" s="512"/>
      <c r="D46" s="512" t="s">
        <v>4127</v>
      </c>
      <c r="E46" s="514"/>
      <c r="F46" s="514">
        <v>27000</v>
      </c>
      <c r="G46" s="542"/>
    </row>
    <row r="47" spans="2:7">
      <c r="B47" s="512">
        <v>9</v>
      </c>
      <c r="C47" s="513">
        <v>45489</v>
      </c>
      <c r="D47" s="512" t="s">
        <v>4128</v>
      </c>
      <c r="E47" s="514"/>
      <c r="F47" s="514">
        <v>122050</v>
      </c>
      <c r="G47" s="542"/>
    </row>
    <row r="48" spans="2:7">
      <c r="B48" s="512"/>
      <c r="C48" s="512"/>
      <c r="D48" s="512" t="s">
        <v>4129</v>
      </c>
      <c r="E48" s="519">
        <v>3200000</v>
      </c>
      <c r="F48" s="519"/>
      <c r="G48" s="524"/>
    </row>
    <row r="49" spans="2:7">
      <c r="B49" s="512"/>
      <c r="C49" s="512"/>
      <c r="D49" s="512" t="s">
        <v>4130</v>
      </c>
      <c r="E49" s="519"/>
      <c r="F49" s="519">
        <v>51000</v>
      </c>
      <c r="G49" s="524"/>
    </row>
    <row r="50" spans="2:7">
      <c r="B50" s="512">
        <v>10</v>
      </c>
      <c r="C50" s="513">
        <v>45490</v>
      </c>
      <c r="D50" s="512" t="s">
        <v>4131</v>
      </c>
      <c r="E50" s="519"/>
      <c r="F50" s="519">
        <v>205700</v>
      </c>
      <c r="G50" s="524"/>
    </row>
    <row r="51" spans="2:7">
      <c r="B51" s="512"/>
      <c r="C51" s="512"/>
      <c r="D51" s="512" t="s">
        <v>4132</v>
      </c>
      <c r="E51" s="519"/>
      <c r="F51" s="519">
        <v>64995</v>
      </c>
      <c r="G51" s="524"/>
    </row>
    <row r="52" spans="2:7">
      <c r="B52" s="512"/>
      <c r="C52" s="513">
        <v>45491</v>
      </c>
      <c r="D52" s="512" t="s">
        <v>4133</v>
      </c>
      <c r="E52" s="519"/>
      <c r="F52" s="519">
        <v>33700</v>
      </c>
      <c r="G52" s="524"/>
    </row>
    <row r="53" spans="2:7">
      <c r="B53" s="512"/>
      <c r="C53" s="512"/>
      <c r="D53" s="512" t="s">
        <v>4134</v>
      </c>
      <c r="E53" s="519">
        <v>750000</v>
      </c>
      <c r="F53" s="519"/>
      <c r="G53" s="524"/>
    </row>
    <row r="54" spans="2:7">
      <c r="B54" s="512"/>
      <c r="C54" s="512"/>
      <c r="D54" s="512" t="s">
        <v>4103</v>
      </c>
      <c r="E54" s="519"/>
      <c r="F54" s="519">
        <v>15000</v>
      </c>
      <c r="G54" s="524"/>
    </row>
    <row r="55" spans="2:7">
      <c r="B55" s="512"/>
      <c r="C55" s="512"/>
      <c r="D55" s="512" t="s">
        <v>4135</v>
      </c>
      <c r="E55" s="519"/>
      <c r="F55" s="519">
        <v>57988</v>
      </c>
      <c r="G55" s="524"/>
    </row>
    <row r="56" spans="2:7">
      <c r="B56" s="512"/>
      <c r="C56" s="512"/>
      <c r="D56" s="512" t="s">
        <v>4136</v>
      </c>
      <c r="E56" s="519">
        <v>1697000</v>
      </c>
      <c r="F56" s="519"/>
      <c r="G56" s="524"/>
    </row>
    <row r="57" spans="2:7">
      <c r="B57" s="512">
        <v>11</v>
      </c>
      <c r="C57" s="513">
        <v>45492</v>
      </c>
      <c r="D57" s="512" t="s">
        <v>4103</v>
      </c>
      <c r="E57" s="519"/>
      <c r="F57" s="519">
        <v>15000</v>
      </c>
      <c r="G57" s="524"/>
    </row>
    <row r="58" spans="2:7">
      <c r="B58" s="512"/>
      <c r="C58" s="512"/>
      <c r="D58" s="512" t="s">
        <v>4137</v>
      </c>
      <c r="E58" s="519"/>
      <c r="F58" s="519">
        <v>149860</v>
      </c>
      <c r="G58" s="524"/>
    </row>
    <row r="59" spans="2:7">
      <c r="B59" s="512">
        <v>12</v>
      </c>
      <c r="C59" s="513">
        <v>45493</v>
      </c>
      <c r="D59" s="512" t="s">
        <v>4138</v>
      </c>
      <c r="E59" s="519"/>
      <c r="F59" s="519">
        <v>35000</v>
      </c>
      <c r="G59" s="524"/>
    </row>
    <row r="60" spans="2:7">
      <c r="B60" s="512"/>
      <c r="C60" s="512"/>
      <c r="D60" s="512" t="s">
        <v>4125</v>
      </c>
      <c r="E60" s="519"/>
      <c r="F60" s="519">
        <v>200000</v>
      </c>
      <c r="G60" s="524"/>
    </row>
    <row r="61" spans="2:7">
      <c r="B61" s="512"/>
      <c r="C61" s="512"/>
      <c r="D61" s="512" t="s">
        <v>4139</v>
      </c>
      <c r="E61" s="519">
        <v>23000</v>
      </c>
      <c r="F61" s="519"/>
      <c r="G61" s="524"/>
    </row>
    <row r="62" spans="2:7">
      <c r="B62" s="512"/>
      <c r="C62" s="512"/>
      <c r="D62" s="512" t="s">
        <v>4140</v>
      </c>
      <c r="E62" s="519"/>
      <c r="F62" s="519">
        <v>548040</v>
      </c>
      <c r="G62" s="524"/>
    </row>
    <row r="63" spans="2:7">
      <c r="B63" s="512"/>
      <c r="C63" s="512"/>
      <c r="D63" s="512" t="s">
        <v>4141</v>
      </c>
      <c r="E63" s="519">
        <v>717000</v>
      </c>
      <c r="F63" s="519"/>
      <c r="G63" s="524"/>
    </row>
    <row r="64" spans="2:7">
      <c r="B64" s="512">
        <v>13</v>
      </c>
      <c r="C64" s="513">
        <v>45494</v>
      </c>
      <c r="D64" s="512" t="s">
        <v>4142</v>
      </c>
      <c r="E64" s="519">
        <v>121000</v>
      </c>
      <c r="F64" s="519"/>
      <c r="G64" s="524"/>
    </row>
    <row r="65" spans="2:7">
      <c r="B65" s="512"/>
      <c r="C65" s="512"/>
      <c r="D65" s="512" t="s">
        <v>4143</v>
      </c>
      <c r="E65" s="519">
        <v>204800</v>
      </c>
      <c r="F65" s="519"/>
      <c r="G65" s="524"/>
    </row>
    <row r="66" spans="2:7">
      <c r="B66" s="512"/>
      <c r="C66" s="512"/>
      <c r="D66" s="512" t="s">
        <v>4144</v>
      </c>
      <c r="E66" s="519">
        <v>73700</v>
      </c>
      <c r="F66" s="519"/>
      <c r="G66" s="524"/>
    </row>
    <row r="67" spans="2:7">
      <c r="B67" s="512"/>
      <c r="C67" s="512"/>
      <c r="D67" s="512" t="s">
        <v>4145</v>
      </c>
      <c r="E67" s="519">
        <v>18000</v>
      </c>
      <c r="F67" s="519"/>
      <c r="G67" s="524"/>
    </row>
    <row r="68" spans="2:7">
      <c r="B68" s="512">
        <v>14</v>
      </c>
      <c r="C68" s="513">
        <v>45495</v>
      </c>
      <c r="D68" s="512" t="s">
        <v>4146</v>
      </c>
      <c r="E68" s="519">
        <v>1790000</v>
      </c>
      <c r="F68" s="519"/>
      <c r="G68" s="524"/>
    </row>
    <row r="69" spans="2:7">
      <c r="B69" s="512"/>
      <c r="C69" s="512"/>
      <c r="D69" s="512" t="s">
        <v>4107</v>
      </c>
      <c r="E69" s="519">
        <v>252000</v>
      </c>
      <c r="F69" s="519"/>
      <c r="G69" s="524"/>
    </row>
    <row r="70" spans="2:7">
      <c r="B70" s="512"/>
      <c r="C70" s="512"/>
      <c r="D70" s="512" t="s">
        <v>4271</v>
      </c>
      <c r="E70" s="519">
        <v>75000</v>
      </c>
      <c r="F70" s="519"/>
      <c r="G70" s="524"/>
    </row>
    <row r="71" spans="2:7">
      <c r="B71" s="512"/>
      <c r="C71" s="512"/>
      <c r="D71" s="512" t="s">
        <v>4272</v>
      </c>
      <c r="E71" s="519">
        <v>50000</v>
      </c>
      <c r="F71" s="519"/>
      <c r="G71" s="524"/>
    </row>
    <row r="72" spans="2:7">
      <c r="B72" s="512"/>
      <c r="C72" s="512"/>
      <c r="D72" s="512" t="s">
        <v>4273</v>
      </c>
      <c r="E72" s="519">
        <v>30000</v>
      </c>
      <c r="F72" s="519"/>
      <c r="G72" s="524"/>
    </row>
    <row r="73" spans="2:7">
      <c r="B73" s="512">
        <v>15</v>
      </c>
      <c r="C73" s="513">
        <v>45496</v>
      </c>
      <c r="D73" s="512" t="s">
        <v>4147</v>
      </c>
      <c r="E73" s="519">
        <v>19050000</v>
      </c>
      <c r="F73" s="519"/>
      <c r="G73" s="524"/>
    </row>
    <row r="74" spans="2:7">
      <c r="B74" s="512"/>
      <c r="C74" s="512"/>
      <c r="D74" s="512" t="s">
        <v>4148</v>
      </c>
      <c r="E74" s="519">
        <v>133000</v>
      </c>
      <c r="F74" s="519"/>
      <c r="G74" s="524"/>
    </row>
    <row r="75" spans="2:7">
      <c r="B75" s="512"/>
      <c r="C75" s="512"/>
      <c r="D75" s="512" t="s">
        <v>4149</v>
      </c>
      <c r="E75" s="519">
        <v>100000</v>
      </c>
      <c r="F75" s="519"/>
      <c r="G75" s="524"/>
    </row>
    <row r="76" spans="2:7">
      <c r="B76" s="512"/>
      <c r="C76" s="512"/>
      <c r="D76" s="512" t="s">
        <v>4150</v>
      </c>
      <c r="E76" s="519">
        <v>24820</v>
      </c>
      <c r="F76" s="519"/>
      <c r="G76" s="524"/>
    </row>
    <row r="77" spans="2:7">
      <c r="B77" s="512"/>
      <c r="C77" s="512"/>
      <c r="D77" s="512" t="s">
        <v>4268</v>
      </c>
      <c r="E77" s="519">
        <v>71000</v>
      </c>
      <c r="F77" s="519"/>
      <c r="G77" s="524"/>
    </row>
    <row r="78" spans="2:7">
      <c r="B78" s="512">
        <v>16</v>
      </c>
      <c r="C78" s="513">
        <v>45497</v>
      </c>
      <c r="D78" s="512" t="s">
        <v>4151</v>
      </c>
      <c r="E78" s="519">
        <v>100000</v>
      </c>
      <c r="F78" s="519"/>
      <c r="G78" s="524"/>
    </row>
    <row r="79" spans="2:7">
      <c r="B79" s="512"/>
      <c r="C79" s="512"/>
      <c r="D79" s="512" t="s">
        <v>4152</v>
      </c>
      <c r="E79" s="519">
        <v>70000</v>
      </c>
      <c r="F79" s="519"/>
      <c r="G79" s="524"/>
    </row>
    <row r="80" spans="2:7">
      <c r="B80" s="512"/>
      <c r="C80" s="512"/>
      <c r="D80" s="512" t="s">
        <v>4153</v>
      </c>
      <c r="E80" s="519">
        <v>43900</v>
      </c>
      <c r="F80" s="519"/>
      <c r="G80" s="524"/>
    </row>
    <row r="81" spans="2:9">
      <c r="B81" s="512"/>
      <c r="C81" s="512"/>
      <c r="D81" s="512" t="s">
        <v>4154</v>
      </c>
      <c r="E81" s="519"/>
      <c r="F81" s="519">
        <v>202750</v>
      </c>
      <c r="G81" s="524"/>
    </row>
    <row r="82" spans="2:9" s="520" customFormat="1">
      <c r="B82" s="521">
        <v>17</v>
      </c>
      <c r="C82" s="555">
        <v>45498</v>
      </c>
      <c r="D82" s="521" t="s">
        <v>4155</v>
      </c>
      <c r="E82" s="522">
        <v>11270000</v>
      </c>
      <c r="F82" s="522"/>
      <c r="G82" s="543"/>
      <c r="I82" s="520" t="s">
        <v>4180</v>
      </c>
    </row>
    <row r="83" spans="2:9" s="520" customFormat="1">
      <c r="B83" s="521"/>
      <c r="C83" s="521"/>
      <c r="D83" s="521" t="s">
        <v>4269</v>
      </c>
      <c r="E83" s="522">
        <v>3240000</v>
      </c>
      <c r="F83" s="522"/>
      <c r="G83" s="543"/>
    </row>
    <row r="84" spans="2:9" s="520" customFormat="1">
      <c r="B84" s="521"/>
      <c r="C84" s="521"/>
      <c r="D84" s="521" t="s">
        <v>4270</v>
      </c>
      <c r="E84" s="522">
        <v>1044000</v>
      </c>
      <c r="F84" s="522"/>
      <c r="G84" s="543"/>
    </row>
    <row r="85" spans="2:9">
      <c r="B85" s="512"/>
      <c r="C85" s="512"/>
      <c r="D85" s="512" t="s">
        <v>4156</v>
      </c>
      <c r="E85" s="519">
        <v>300000</v>
      </c>
      <c r="F85" s="519"/>
      <c r="G85" s="524"/>
    </row>
    <row r="86" spans="2:9">
      <c r="B86" s="512"/>
      <c r="C86" s="512"/>
      <c r="D86" s="512" t="s">
        <v>4157</v>
      </c>
      <c r="E86" s="519">
        <v>65000</v>
      </c>
      <c r="F86" s="519"/>
      <c r="G86" s="524"/>
    </row>
    <row r="87" spans="2:9">
      <c r="B87" s="512"/>
      <c r="C87" s="512"/>
      <c r="D87" s="512" t="s">
        <v>4158</v>
      </c>
      <c r="E87" s="519">
        <v>20000</v>
      </c>
      <c r="F87" s="519"/>
      <c r="G87" s="524"/>
      <c r="I87" s="531"/>
    </row>
    <row r="88" spans="2:9">
      <c r="B88" s="512"/>
      <c r="C88" s="512"/>
      <c r="D88" s="512" t="s">
        <v>4159</v>
      </c>
      <c r="E88" s="519">
        <v>29000</v>
      </c>
      <c r="F88" s="519"/>
      <c r="G88" s="524"/>
      <c r="I88" s="531"/>
    </row>
    <row r="89" spans="2:9">
      <c r="B89" s="512">
        <v>18</v>
      </c>
      <c r="C89" s="513">
        <v>45499</v>
      </c>
      <c r="D89" s="512" t="s">
        <v>4160</v>
      </c>
      <c r="E89" s="519"/>
      <c r="F89" s="519">
        <v>150000</v>
      </c>
      <c r="G89" s="524"/>
    </row>
    <row r="90" spans="2:9">
      <c r="B90" s="512"/>
      <c r="C90" s="512"/>
      <c r="D90" s="512" t="s">
        <v>4161</v>
      </c>
      <c r="E90" s="519"/>
      <c r="F90" s="519">
        <v>65000</v>
      </c>
      <c r="G90" s="524"/>
    </row>
    <row r="91" spans="2:9">
      <c r="B91" s="512"/>
      <c r="C91" s="512"/>
      <c r="D91" s="512" t="s">
        <v>4162</v>
      </c>
      <c r="E91" s="519"/>
      <c r="F91" s="519">
        <v>10000</v>
      </c>
      <c r="G91" s="524"/>
    </row>
    <row r="92" spans="2:9">
      <c r="B92" s="512"/>
      <c r="C92" s="512"/>
      <c r="D92" s="512" t="s">
        <v>4163</v>
      </c>
      <c r="E92" s="519"/>
      <c r="F92" s="519">
        <v>15000</v>
      </c>
      <c r="G92" s="524"/>
    </row>
    <row r="93" spans="2:9">
      <c r="B93" s="512"/>
      <c r="C93" s="512"/>
      <c r="D93" s="512" t="s">
        <v>4164</v>
      </c>
      <c r="E93" s="519"/>
      <c r="F93" s="519">
        <v>21000</v>
      </c>
      <c r="G93" s="524"/>
    </row>
    <row r="94" spans="2:9">
      <c r="B94" s="512"/>
      <c r="C94" s="512"/>
      <c r="D94" s="512" t="s">
        <v>4165</v>
      </c>
      <c r="E94" s="519"/>
      <c r="F94" s="519">
        <v>32900</v>
      </c>
      <c r="G94" s="524"/>
    </row>
    <row r="95" spans="2:9">
      <c r="B95" s="512"/>
      <c r="C95" s="512"/>
      <c r="D95" s="512" t="s">
        <v>4166</v>
      </c>
      <c r="E95" s="519"/>
      <c r="F95" s="519">
        <v>30400</v>
      </c>
      <c r="G95" s="524"/>
    </row>
    <row r="96" spans="2:9">
      <c r="B96" s="512"/>
      <c r="C96" s="512"/>
      <c r="D96" s="512" t="s">
        <v>4167</v>
      </c>
      <c r="E96" s="519"/>
      <c r="F96" s="519">
        <v>30000</v>
      </c>
      <c r="G96" s="524"/>
    </row>
    <row r="97" spans="2:7">
      <c r="B97" s="512"/>
      <c r="C97" s="512"/>
      <c r="D97" s="512" t="s">
        <v>4168</v>
      </c>
      <c r="E97" s="519">
        <v>7800</v>
      </c>
      <c r="F97" s="519"/>
      <c r="G97" s="524"/>
    </row>
    <row r="98" spans="2:7">
      <c r="B98" s="512">
        <v>19</v>
      </c>
      <c r="C98" s="513">
        <v>45500</v>
      </c>
      <c r="D98" s="512" t="s">
        <v>4169</v>
      </c>
      <c r="E98" s="519"/>
      <c r="F98" s="519">
        <v>34000</v>
      </c>
      <c r="G98" s="524"/>
    </row>
    <row r="99" spans="2:7">
      <c r="B99" s="512"/>
      <c r="C99" s="512"/>
      <c r="D99" s="512" t="s">
        <v>4170</v>
      </c>
      <c r="E99" s="519"/>
      <c r="F99" s="519">
        <v>135000</v>
      </c>
      <c r="G99" s="524"/>
    </row>
    <row r="100" spans="2:7">
      <c r="B100" s="512"/>
      <c r="C100" s="512"/>
      <c r="D100" s="512" t="s">
        <v>4171</v>
      </c>
      <c r="E100" s="519"/>
      <c r="F100" s="519">
        <v>250000</v>
      </c>
      <c r="G100" s="524"/>
    </row>
    <row r="101" spans="2:7">
      <c r="B101" s="512">
        <v>20</v>
      </c>
      <c r="C101" s="513">
        <v>45501</v>
      </c>
      <c r="D101" s="512" t="s">
        <v>4172</v>
      </c>
      <c r="E101" s="519"/>
      <c r="F101" s="519">
        <v>276510</v>
      </c>
      <c r="G101" s="524"/>
    </row>
    <row r="102" spans="2:7">
      <c r="B102" s="512"/>
      <c r="C102" s="512"/>
      <c r="D102" s="512" t="s">
        <v>4173</v>
      </c>
      <c r="E102" s="519"/>
      <c r="F102" s="519">
        <v>175000</v>
      </c>
      <c r="G102" s="524"/>
    </row>
    <row r="103" spans="2:7">
      <c r="B103" s="512">
        <v>21</v>
      </c>
      <c r="C103" s="513">
        <v>45502</v>
      </c>
      <c r="D103" s="512" t="s">
        <v>4174</v>
      </c>
      <c r="E103" s="519">
        <v>12240060</v>
      </c>
      <c r="F103" s="519"/>
      <c r="G103" s="524"/>
    </row>
    <row r="104" spans="2:7">
      <c r="B104" s="512"/>
      <c r="C104" s="513"/>
      <c r="D104" s="512" t="s">
        <v>4175</v>
      </c>
      <c r="E104" s="519"/>
      <c r="F104" s="519">
        <v>100000</v>
      </c>
      <c r="G104" s="524"/>
    </row>
    <row r="105" spans="2:7">
      <c r="B105" s="512"/>
      <c r="C105" s="512"/>
      <c r="D105" s="512" t="s">
        <v>4176</v>
      </c>
      <c r="E105" s="519"/>
      <c r="F105" s="519">
        <v>56736</v>
      </c>
      <c r="G105" s="524"/>
    </row>
    <row r="106" spans="2:7">
      <c r="B106" s="512"/>
      <c r="C106" s="512"/>
      <c r="D106" s="512" t="s">
        <v>4177</v>
      </c>
      <c r="E106" s="519"/>
      <c r="F106" s="519">
        <v>97970</v>
      </c>
      <c r="G106" s="524"/>
    </row>
    <row r="107" spans="2:7">
      <c r="B107" s="512">
        <v>22</v>
      </c>
      <c r="C107" s="513">
        <v>45503</v>
      </c>
      <c r="D107" s="512" t="s">
        <v>4178</v>
      </c>
      <c r="E107" s="519"/>
      <c r="F107" s="519">
        <v>1591200</v>
      </c>
      <c r="G107" s="524"/>
    </row>
    <row r="108" spans="2:7" ht="12" customHeight="1">
      <c r="B108" s="512">
        <v>23</v>
      </c>
      <c r="C108" s="513">
        <v>45504</v>
      </c>
      <c r="D108" s="512" t="s">
        <v>4274</v>
      </c>
      <c r="E108" s="519">
        <v>290000</v>
      </c>
      <c r="F108" s="519"/>
      <c r="G108" s="524"/>
    </row>
    <row r="109" spans="2:7">
      <c r="B109" s="512"/>
      <c r="C109" s="513">
        <v>45505</v>
      </c>
      <c r="D109" s="512" t="s">
        <v>4275</v>
      </c>
      <c r="E109" s="519">
        <v>14000</v>
      </c>
      <c r="F109" s="519"/>
      <c r="G109" s="524"/>
    </row>
    <row r="110" spans="2:7">
      <c r="B110" s="512"/>
      <c r="C110" s="513"/>
      <c r="D110" s="512" t="s">
        <v>4278</v>
      </c>
      <c r="E110" s="519"/>
      <c r="F110" s="519">
        <v>46610</v>
      </c>
      <c r="G110" s="524"/>
    </row>
    <row r="111" spans="2:7">
      <c r="B111" s="512"/>
      <c r="C111" s="513"/>
      <c r="D111" s="512" t="s">
        <v>4279</v>
      </c>
      <c r="E111" s="519"/>
      <c r="F111" s="519"/>
      <c r="G111" s="524"/>
    </row>
    <row r="112" spans="2:7">
      <c r="B112" s="512"/>
      <c r="C112" s="513">
        <v>45506</v>
      </c>
      <c r="D112" s="512" t="s">
        <v>4276</v>
      </c>
      <c r="E112" s="519"/>
      <c r="F112" s="519">
        <v>58000</v>
      </c>
      <c r="G112" s="524"/>
    </row>
    <row r="113" spans="2:7">
      <c r="B113" s="512"/>
      <c r="C113" s="512"/>
      <c r="D113" s="512" t="s">
        <v>4277</v>
      </c>
      <c r="E113" s="519"/>
      <c r="F113" s="519">
        <v>20000</v>
      </c>
      <c r="G113" s="524"/>
    </row>
    <row r="114" spans="2:7">
      <c r="B114" s="512"/>
      <c r="C114" s="513">
        <v>45507</v>
      </c>
      <c r="D114" s="512" t="s">
        <v>4154</v>
      </c>
      <c r="E114" s="519"/>
      <c r="F114" s="519">
        <v>202750</v>
      </c>
      <c r="G114" s="524"/>
    </row>
    <row r="115" spans="2:7">
      <c r="B115" s="512"/>
      <c r="C115" s="512"/>
      <c r="D115" s="512" t="s">
        <v>4280</v>
      </c>
      <c r="E115" s="519"/>
      <c r="F115" s="519">
        <v>250000</v>
      </c>
      <c r="G115" s="524"/>
    </row>
    <row r="116" spans="2:7" ht="13.5">
      <c r="B116" s="512"/>
      <c r="C116" s="512"/>
      <c r="D116" s="515" t="s">
        <v>4179</v>
      </c>
      <c r="E116" s="516">
        <f>SUM(E5:E115)</f>
        <v>77883260</v>
      </c>
      <c r="F116" s="516">
        <f>SUM(F5:F115)</f>
        <v>10711307</v>
      </c>
      <c r="G116" s="544"/>
    </row>
    <row r="117" spans="2:7" ht="13.5">
      <c r="E117" s="1256">
        <f>E116+F116</f>
        <v>88594567</v>
      </c>
      <c r="F117" s="1256"/>
      <c r="G117" s="523"/>
    </row>
    <row r="118" spans="2:7">
      <c r="E118" s="524"/>
      <c r="F118" s="524"/>
      <c r="G118" s="524"/>
    </row>
    <row r="119" spans="2:7" ht="16">
      <c r="B119" s="1254" t="s">
        <v>4281</v>
      </c>
      <c r="C119" s="1254"/>
      <c r="D119" s="1254"/>
      <c r="E119" s="1254"/>
      <c r="F119" s="1254"/>
      <c r="G119" s="524"/>
    </row>
    <row r="120" spans="2:7" ht="27">
      <c r="B120" s="511" t="s">
        <v>1</v>
      </c>
      <c r="C120" s="511" t="s">
        <v>3858</v>
      </c>
      <c r="D120" s="511" t="s">
        <v>3389</v>
      </c>
      <c r="E120" s="511" t="s">
        <v>4182</v>
      </c>
      <c r="F120" s="511" t="s">
        <v>4184</v>
      </c>
      <c r="G120" s="541"/>
    </row>
    <row r="121" spans="2:7">
      <c r="B121" s="512">
        <v>1</v>
      </c>
      <c r="C121" s="513">
        <v>45477</v>
      </c>
      <c r="D121" s="512" t="s">
        <v>4181</v>
      </c>
      <c r="E121" s="514">
        <v>1000000</v>
      </c>
      <c r="F121" s="514"/>
      <c r="G121" s="542"/>
    </row>
    <row r="122" spans="2:7" ht="13.5">
      <c r="B122" s="512"/>
      <c r="C122" s="1247" t="s">
        <v>4199</v>
      </c>
      <c r="D122" s="1248"/>
      <c r="E122" s="514"/>
      <c r="F122" s="514"/>
      <c r="G122" s="542"/>
    </row>
    <row r="123" spans="2:7">
      <c r="B123" s="512"/>
      <c r="C123" s="512"/>
      <c r="D123" s="521" t="s">
        <v>4183</v>
      </c>
      <c r="E123" s="514"/>
      <c r="F123" s="514">
        <v>300000</v>
      </c>
      <c r="G123" s="542"/>
    </row>
    <row r="124" spans="2:7" ht="13.5" customHeight="1">
      <c r="B124" s="512"/>
      <c r="C124" s="512"/>
      <c r="D124" s="521" t="s">
        <v>4185</v>
      </c>
      <c r="E124" s="514"/>
      <c r="F124" s="514">
        <v>150000</v>
      </c>
      <c r="G124" s="542"/>
    </row>
    <row r="125" spans="2:7">
      <c r="B125" s="512"/>
      <c r="C125" s="512"/>
      <c r="D125" s="512" t="s">
        <v>4186</v>
      </c>
      <c r="E125" s="514"/>
      <c r="F125" s="514">
        <v>120000</v>
      </c>
      <c r="G125" s="542"/>
    </row>
    <row r="126" spans="2:7">
      <c r="B126" s="512"/>
      <c r="C126" s="512"/>
      <c r="D126" s="512" t="s">
        <v>4187</v>
      </c>
      <c r="E126" s="514"/>
      <c r="F126" s="514">
        <v>100000</v>
      </c>
      <c r="G126" s="542"/>
    </row>
    <row r="127" spans="2:7">
      <c r="B127" s="512"/>
      <c r="C127" s="512"/>
      <c r="D127" s="512" t="s">
        <v>4188</v>
      </c>
      <c r="E127" s="514"/>
      <c r="F127" s="514">
        <v>40000</v>
      </c>
      <c r="G127" s="542"/>
    </row>
    <row r="128" spans="2:7" ht="12.75" customHeight="1">
      <c r="B128" s="512"/>
      <c r="C128" s="512"/>
      <c r="D128" s="512" t="s">
        <v>4189</v>
      </c>
      <c r="E128" s="514"/>
      <c r="F128" s="514">
        <v>135000</v>
      </c>
      <c r="G128" s="542"/>
    </row>
    <row r="129" spans="2:8">
      <c r="B129" s="512"/>
      <c r="C129" s="512"/>
      <c r="D129" s="512" t="s">
        <v>4190</v>
      </c>
      <c r="E129" s="514"/>
      <c r="F129" s="514">
        <v>10000</v>
      </c>
      <c r="G129" s="542"/>
    </row>
    <row r="130" spans="2:8">
      <c r="B130" s="512"/>
      <c r="C130" s="512"/>
      <c r="D130" s="512" t="s">
        <v>4191</v>
      </c>
      <c r="E130" s="514"/>
      <c r="F130" s="514">
        <v>4000</v>
      </c>
      <c r="G130" s="542"/>
    </row>
    <row r="131" spans="2:8">
      <c r="B131" s="512"/>
      <c r="C131" s="512"/>
      <c r="D131" s="512" t="s">
        <v>4192</v>
      </c>
      <c r="E131" s="514"/>
      <c r="F131" s="514">
        <v>8000</v>
      </c>
      <c r="G131" s="542"/>
    </row>
    <row r="132" spans="2:8">
      <c r="B132" s="512"/>
      <c r="C132" s="512"/>
      <c r="D132" s="512" t="s">
        <v>4193</v>
      </c>
      <c r="E132" s="514"/>
      <c r="F132" s="514">
        <v>4000</v>
      </c>
      <c r="G132" s="542"/>
    </row>
    <row r="133" spans="2:8">
      <c r="B133" s="512"/>
      <c r="C133" s="512"/>
      <c r="D133" s="512" t="s">
        <v>4194</v>
      </c>
      <c r="E133" s="514"/>
      <c r="F133" s="514">
        <v>13000</v>
      </c>
      <c r="G133" s="542"/>
    </row>
    <row r="134" spans="2:8">
      <c r="B134" s="512"/>
      <c r="C134" s="513"/>
      <c r="D134" s="512" t="s">
        <v>4195</v>
      </c>
      <c r="E134" s="514"/>
      <c r="F134" s="514">
        <v>30000</v>
      </c>
      <c r="G134" s="542"/>
    </row>
    <row r="135" spans="2:8">
      <c r="B135" s="512"/>
      <c r="C135" s="512"/>
      <c r="D135" s="512" t="s">
        <v>4196</v>
      </c>
      <c r="E135" s="514"/>
      <c r="F135" s="514">
        <v>52000</v>
      </c>
      <c r="G135" s="542"/>
    </row>
    <row r="136" spans="2:8">
      <c r="B136" s="512"/>
      <c r="C136" s="512"/>
      <c r="D136" s="512" t="s">
        <v>4197</v>
      </c>
      <c r="E136" s="514"/>
      <c r="F136" s="514">
        <v>15000</v>
      </c>
      <c r="G136" s="542"/>
    </row>
    <row r="137" spans="2:8" ht="13.5">
      <c r="B137" s="525"/>
      <c r="C137" s="525"/>
      <c r="D137" s="525"/>
      <c r="E137" s="526"/>
      <c r="F137" s="527">
        <f>SUM(F123:F136)</f>
        <v>981000</v>
      </c>
      <c r="G137" s="545"/>
      <c r="H137" s="528">
        <f>E121-F137</f>
        <v>19000</v>
      </c>
    </row>
    <row r="138" spans="2:8">
      <c r="B138" s="512">
        <v>2</v>
      </c>
      <c r="C138" s="513">
        <v>45480</v>
      </c>
      <c r="D138" s="512" t="s">
        <v>4198</v>
      </c>
      <c r="E138" s="514">
        <v>1500000</v>
      </c>
      <c r="F138" s="514"/>
      <c r="G138" s="542"/>
    </row>
    <row r="139" spans="2:8" ht="13.5">
      <c r="B139" s="512"/>
      <c r="C139" s="1247" t="s">
        <v>4199</v>
      </c>
      <c r="D139" s="1248"/>
      <c r="E139" s="514"/>
      <c r="F139" s="514"/>
      <c r="G139" s="542"/>
    </row>
    <row r="140" spans="2:8">
      <c r="B140" s="512">
        <v>3</v>
      </c>
      <c r="C140" s="513">
        <v>45481</v>
      </c>
      <c r="D140" s="512" t="s">
        <v>4200</v>
      </c>
      <c r="E140" s="514"/>
      <c r="F140" s="514">
        <v>51000</v>
      </c>
      <c r="G140" s="542"/>
    </row>
    <row r="141" spans="2:8">
      <c r="B141" s="512"/>
      <c r="C141" s="512"/>
      <c r="D141" s="512" t="s">
        <v>4201</v>
      </c>
      <c r="E141" s="514"/>
      <c r="F141" s="514">
        <v>15000</v>
      </c>
      <c r="G141" s="542"/>
    </row>
    <row r="142" spans="2:8">
      <c r="B142" s="512"/>
      <c r="C142" s="512"/>
      <c r="D142" s="512" t="s">
        <v>4202</v>
      </c>
      <c r="E142" s="514"/>
      <c r="F142" s="514">
        <v>76000</v>
      </c>
      <c r="G142" s="542"/>
    </row>
    <row r="143" spans="2:8">
      <c r="B143" s="512"/>
      <c r="C143" s="512"/>
      <c r="D143" s="512" t="s">
        <v>4203</v>
      </c>
      <c r="E143" s="514"/>
      <c r="F143" s="514">
        <v>38000</v>
      </c>
      <c r="G143" s="542"/>
    </row>
    <row r="144" spans="2:8">
      <c r="B144" s="512"/>
      <c r="C144" s="512"/>
      <c r="D144" s="512" t="s">
        <v>4234</v>
      </c>
      <c r="E144" s="514"/>
      <c r="F144" s="514">
        <v>76000</v>
      </c>
      <c r="G144" s="542"/>
    </row>
    <row r="145" spans="2:7">
      <c r="B145" s="512"/>
      <c r="C145" s="512"/>
      <c r="D145" s="512" t="s">
        <v>4232</v>
      </c>
      <c r="E145" s="514"/>
      <c r="F145" s="514">
        <v>80000</v>
      </c>
      <c r="G145" s="542"/>
    </row>
    <row r="146" spans="2:7">
      <c r="B146" s="512">
        <v>4</v>
      </c>
      <c r="C146" s="513">
        <v>45482</v>
      </c>
      <c r="D146" s="512" t="s">
        <v>4204</v>
      </c>
      <c r="E146" s="514"/>
      <c r="F146" s="514">
        <v>15000</v>
      </c>
      <c r="G146" s="542"/>
    </row>
    <row r="147" spans="2:7">
      <c r="B147" s="512"/>
      <c r="C147" s="512"/>
      <c r="D147" s="512" t="s">
        <v>4205</v>
      </c>
      <c r="E147" s="514"/>
      <c r="F147" s="514">
        <v>6000</v>
      </c>
      <c r="G147" s="542"/>
    </row>
    <row r="148" spans="2:7">
      <c r="B148" s="512"/>
      <c r="C148" s="512"/>
      <c r="D148" s="512" t="s">
        <v>4203</v>
      </c>
      <c r="E148" s="514"/>
      <c r="F148" s="514">
        <v>37000</v>
      </c>
      <c r="G148" s="542"/>
    </row>
    <row r="149" spans="2:7">
      <c r="B149" s="512"/>
      <c r="C149" s="512"/>
      <c r="D149" s="512" t="s">
        <v>4206</v>
      </c>
      <c r="E149" s="514"/>
      <c r="F149" s="514">
        <v>47000</v>
      </c>
      <c r="G149" s="542"/>
    </row>
    <row r="150" spans="2:7">
      <c r="B150" s="512"/>
      <c r="C150" s="512"/>
      <c r="D150" s="512" t="s">
        <v>4207</v>
      </c>
      <c r="E150" s="514"/>
      <c r="F150" s="514">
        <v>57000</v>
      </c>
      <c r="G150" s="542"/>
    </row>
    <row r="151" spans="2:7">
      <c r="B151" s="512"/>
      <c r="C151" s="512"/>
      <c r="D151" s="512" t="s">
        <v>4208</v>
      </c>
      <c r="E151" s="514"/>
      <c r="F151" s="514">
        <v>22000</v>
      </c>
      <c r="G151" s="542"/>
    </row>
    <row r="152" spans="2:7">
      <c r="B152" s="512"/>
      <c r="C152" s="512"/>
      <c r="D152" s="512" t="s">
        <v>4209</v>
      </c>
      <c r="E152" s="514"/>
      <c r="F152" s="514">
        <v>30000</v>
      </c>
      <c r="G152" s="542"/>
    </row>
    <row r="153" spans="2:7">
      <c r="B153" s="512">
        <v>5</v>
      </c>
      <c r="C153" s="513">
        <v>45483</v>
      </c>
      <c r="D153" s="512" t="s">
        <v>4207</v>
      </c>
      <c r="E153" s="514"/>
      <c r="F153" s="514">
        <v>54000</v>
      </c>
      <c r="G153" s="542"/>
    </row>
    <row r="154" spans="2:7">
      <c r="B154" s="512"/>
      <c r="C154" s="513"/>
      <c r="D154" s="512" t="s">
        <v>4194</v>
      </c>
      <c r="E154" s="514"/>
      <c r="F154" s="514">
        <v>22000</v>
      </c>
      <c r="G154" s="542"/>
    </row>
    <row r="155" spans="2:7">
      <c r="B155" s="512"/>
      <c r="C155" s="513"/>
      <c r="D155" s="512" t="s">
        <v>4206</v>
      </c>
      <c r="E155" s="514"/>
      <c r="F155" s="514">
        <v>40000</v>
      </c>
      <c r="G155" s="542"/>
    </row>
    <row r="156" spans="2:7">
      <c r="B156" s="512"/>
      <c r="C156" s="513"/>
      <c r="D156" s="512" t="s">
        <v>4210</v>
      </c>
      <c r="E156" s="514"/>
      <c r="F156" s="514">
        <v>25000</v>
      </c>
      <c r="G156" s="542"/>
    </row>
    <row r="157" spans="2:7">
      <c r="B157" s="512"/>
      <c r="C157" s="513"/>
      <c r="D157" s="512" t="s">
        <v>4209</v>
      </c>
      <c r="E157" s="514"/>
      <c r="F157" s="514">
        <v>5000</v>
      </c>
      <c r="G157" s="542"/>
    </row>
    <row r="158" spans="2:7">
      <c r="B158" s="512"/>
      <c r="C158" s="513"/>
      <c r="D158" s="512" t="s">
        <v>3483</v>
      </c>
      <c r="E158" s="514"/>
      <c r="F158" s="514">
        <v>4000</v>
      </c>
      <c r="G158" s="542"/>
    </row>
    <row r="159" spans="2:7">
      <c r="B159" s="512"/>
      <c r="C159" s="513"/>
      <c r="D159" s="512" t="s">
        <v>4196</v>
      </c>
      <c r="E159" s="514"/>
      <c r="F159" s="514">
        <v>50000</v>
      </c>
      <c r="G159" s="542"/>
    </row>
    <row r="160" spans="2:7">
      <c r="B160" s="512"/>
      <c r="C160" s="513"/>
      <c r="D160" s="512" t="s">
        <v>4235</v>
      </c>
      <c r="E160" s="514"/>
      <c r="F160" s="514">
        <v>18000</v>
      </c>
      <c r="G160" s="542"/>
    </row>
    <row r="161" spans="2:7">
      <c r="B161" s="512"/>
      <c r="C161" s="513"/>
      <c r="D161" s="512" t="s">
        <v>4236</v>
      </c>
      <c r="E161" s="514"/>
      <c r="F161" s="514">
        <v>65000</v>
      </c>
      <c r="G161" s="542"/>
    </row>
    <row r="162" spans="2:7">
      <c r="B162" s="512">
        <v>6</v>
      </c>
      <c r="C162" s="513">
        <v>45484</v>
      </c>
      <c r="D162" s="512" t="s">
        <v>4206</v>
      </c>
      <c r="E162" s="514"/>
      <c r="F162" s="514">
        <v>35000</v>
      </c>
      <c r="G162" s="542"/>
    </row>
    <row r="163" spans="2:7">
      <c r="B163" s="512"/>
      <c r="C163" s="512"/>
      <c r="D163" s="512" t="s">
        <v>4209</v>
      </c>
      <c r="E163" s="514"/>
      <c r="F163" s="514">
        <v>61000</v>
      </c>
      <c r="G163" s="542"/>
    </row>
    <row r="164" spans="2:7">
      <c r="B164" s="512"/>
      <c r="C164" s="512"/>
      <c r="D164" s="512" t="s">
        <v>4206</v>
      </c>
      <c r="E164" s="514"/>
      <c r="F164" s="514">
        <v>20000</v>
      </c>
      <c r="G164" s="542"/>
    </row>
    <row r="165" spans="2:7">
      <c r="B165" s="512"/>
      <c r="C165" s="512"/>
      <c r="D165" s="512" t="s">
        <v>4237</v>
      </c>
      <c r="E165" s="514"/>
      <c r="F165" s="514">
        <v>24000</v>
      </c>
      <c r="G165" s="542"/>
    </row>
    <row r="166" spans="2:7">
      <c r="B166" s="512">
        <v>7</v>
      </c>
      <c r="C166" s="513">
        <v>45485</v>
      </c>
      <c r="D166" s="521" t="s">
        <v>4211</v>
      </c>
      <c r="E166" s="530"/>
      <c r="F166" s="530">
        <v>100000</v>
      </c>
      <c r="G166" s="546"/>
    </row>
    <row r="167" spans="2:7">
      <c r="B167" s="512"/>
      <c r="C167" s="512"/>
      <c r="D167" s="512" t="s">
        <v>4206</v>
      </c>
      <c r="E167" s="514"/>
      <c r="F167" s="514">
        <v>47000</v>
      </c>
      <c r="G167" s="542"/>
    </row>
    <row r="168" spans="2:7">
      <c r="B168" s="512"/>
      <c r="C168" s="512"/>
      <c r="D168" s="512" t="s">
        <v>4206</v>
      </c>
      <c r="E168" s="514"/>
      <c r="F168" s="514">
        <v>45000</v>
      </c>
      <c r="G168" s="542"/>
    </row>
    <row r="169" spans="2:7">
      <c r="B169" s="512"/>
      <c r="C169" s="512"/>
      <c r="D169" s="512" t="s">
        <v>4196</v>
      </c>
      <c r="E169" s="514"/>
      <c r="F169" s="514">
        <v>30000</v>
      </c>
      <c r="G169" s="542"/>
    </row>
    <row r="170" spans="2:7">
      <c r="B170" s="512"/>
      <c r="C170" s="512"/>
      <c r="D170" s="512" t="s">
        <v>4212</v>
      </c>
      <c r="E170" s="514"/>
      <c r="F170" s="514">
        <v>30000</v>
      </c>
      <c r="G170" s="542"/>
    </row>
    <row r="171" spans="2:7">
      <c r="B171" s="512"/>
      <c r="C171" s="512"/>
      <c r="D171" s="512" t="s">
        <v>4238</v>
      </c>
      <c r="E171" s="514"/>
      <c r="F171" s="514">
        <v>104000</v>
      </c>
      <c r="G171" s="542"/>
    </row>
    <row r="172" spans="2:7">
      <c r="B172" s="512">
        <v>8</v>
      </c>
      <c r="C172" s="513">
        <v>45486</v>
      </c>
      <c r="D172" s="512" t="s">
        <v>4196</v>
      </c>
      <c r="E172" s="514"/>
      <c r="F172" s="514">
        <v>30000</v>
      </c>
      <c r="G172" s="542"/>
    </row>
    <row r="173" spans="2:7">
      <c r="B173" s="512"/>
      <c r="C173" s="512"/>
      <c r="D173" s="512" t="s">
        <v>4206</v>
      </c>
      <c r="E173" s="514"/>
      <c r="F173" s="514">
        <v>47000</v>
      </c>
      <c r="G173" s="542"/>
    </row>
    <row r="174" spans="2:7">
      <c r="B174" s="512"/>
      <c r="C174" s="512"/>
      <c r="D174" s="512" t="s">
        <v>4213</v>
      </c>
      <c r="E174" s="514"/>
      <c r="F174" s="514">
        <v>13000</v>
      </c>
      <c r="G174" s="542"/>
    </row>
    <row r="175" spans="2:7">
      <c r="B175" s="512"/>
      <c r="C175" s="512"/>
      <c r="D175" s="512" t="s">
        <v>4205</v>
      </c>
      <c r="E175" s="514"/>
      <c r="F175" s="514">
        <v>9000</v>
      </c>
      <c r="G175" s="542"/>
    </row>
    <row r="176" spans="2:7">
      <c r="B176" s="512"/>
      <c r="C176" s="512"/>
      <c r="D176" s="512" t="s">
        <v>4194</v>
      </c>
      <c r="E176" s="514"/>
      <c r="F176" s="514">
        <v>13000</v>
      </c>
      <c r="G176" s="542"/>
    </row>
    <row r="177" spans="2:8">
      <c r="B177" s="512"/>
      <c r="C177" s="512"/>
      <c r="D177" s="512" t="s">
        <v>4214</v>
      </c>
      <c r="E177" s="514"/>
      <c r="F177" s="514">
        <v>20000</v>
      </c>
      <c r="G177" s="542"/>
    </row>
    <row r="178" spans="2:8">
      <c r="B178" s="512"/>
      <c r="C178" s="512"/>
      <c r="D178" s="512" t="s">
        <v>4239</v>
      </c>
      <c r="E178" s="514"/>
      <c r="F178" s="514">
        <v>35000</v>
      </c>
      <c r="G178" s="542"/>
    </row>
    <row r="179" spans="2:8" ht="13.5">
      <c r="B179" s="512"/>
      <c r="C179" s="525"/>
      <c r="D179" s="525"/>
      <c r="E179" s="526"/>
      <c r="F179" s="527">
        <f>SUM(F140:F178)</f>
        <v>1496000</v>
      </c>
      <c r="G179" s="545"/>
      <c r="H179" s="528">
        <f>E138-F179</f>
        <v>4000</v>
      </c>
    </row>
    <row r="180" spans="2:8">
      <c r="B180" s="512">
        <v>8</v>
      </c>
      <c r="C180" s="513">
        <v>45486</v>
      </c>
      <c r="D180" s="512" t="s">
        <v>4215</v>
      </c>
      <c r="E180" s="514">
        <v>2000000</v>
      </c>
      <c r="F180" s="514"/>
      <c r="G180" s="542"/>
    </row>
    <row r="181" spans="2:8">
      <c r="B181" s="512"/>
      <c r="C181" s="513">
        <v>45487</v>
      </c>
      <c r="D181" s="512" t="s">
        <v>4206</v>
      </c>
      <c r="E181" s="514"/>
      <c r="F181" s="514">
        <v>50000</v>
      </c>
      <c r="G181" s="542"/>
    </row>
    <row r="182" spans="2:8">
      <c r="B182" s="512"/>
      <c r="C182" s="513"/>
      <c r="D182" s="512" t="s">
        <v>4216</v>
      </c>
      <c r="E182" s="514"/>
      <c r="F182" s="514">
        <v>50000</v>
      </c>
      <c r="G182" s="542"/>
    </row>
    <row r="183" spans="2:8">
      <c r="B183" s="512"/>
      <c r="C183" s="513"/>
      <c r="D183" s="512" t="s">
        <v>4206</v>
      </c>
      <c r="E183" s="514"/>
      <c r="F183" s="514">
        <v>40000</v>
      </c>
      <c r="G183" s="542"/>
    </row>
    <row r="184" spans="2:8">
      <c r="B184" s="512"/>
      <c r="C184" s="513"/>
      <c r="D184" s="512" t="s">
        <v>4217</v>
      </c>
      <c r="E184" s="514"/>
      <c r="F184" s="514">
        <v>17000</v>
      </c>
      <c r="G184" s="542"/>
    </row>
    <row r="185" spans="2:8">
      <c r="B185" s="512"/>
      <c r="C185" s="513"/>
      <c r="D185" s="521" t="s">
        <v>4218</v>
      </c>
      <c r="E185" s="530"/>
      <c r="F185" s="530">
        <v>200000</v>
      </c>
      <c r="G185" s="546"/>
    </row>
    <row r="186" spans="2:8">
      <c r="B186" s="512"/>
      <c r="C186" s="513"/>
      <c r="D186" s="512" t="s">
        <v>4233</v>
      </c>
      <c r="E186" s="514"/>
      <c r="F186" s="514">
        <v>12000</v>
      </c>
      <c r="G186" s="542"/>
    </row>
    <row r="187" spans="2:8">
      <c r="B187" s="512">
        <v>9</v>
      </c>
      <c r="C187" s="513">
        <v>45488</v>
      </c>
      <c r="D187" s="512" t="s">
        <v>4206</v>
      </c>
      <c r="E187" s="514"/>
      <c r="F187" s="514">
        <v>47000</v>
      </c>
      <c r="G187" s="542"/>
    </row>
    <row r="188" spans="2:8">
      <c r="B188" s="512"/>
      <c r="C188" s="513"/>
      <c r="D188" s="512" t="s">
        <v>4206</v>
      </c>
      <c r="E188" s="514"/>
      <c r="F188" s="514">
        <v>43000</v>
      </c>
      <c r="G188" s="542"/>
    </row>
    <row r="189" spans="2:8">
      <c r="B189" s="512"/>
      <c r="C189" s="513"/>
      <c r="D189" s="512" t="s">
        <v>4212</v>
      </c>
      <c r="E189" s="514"/>
      <c r="F189" s="514">
        <v>15000</v>
      </c>
      <c r="G189" s="542"/>
    </row>
    <row r="190" spans="2:8">
      <c r="B190" s="512"/>
      <c r="C190" s="513"/>
      <c r="D190" s="512" t="s">
        <v>4219</v>
      </c>
      <c r="E190" s="514"/>
      <c r="F190" s="514">
        <v>85000</v>
      </c>
      <c r="G190" s="542"/>
    </row>
    <row r="191" spans="2:8">
      <c r="B191" s="512"/>
      <c r="C191" s="513"/>
      <c r="D191" s="512" t="s">
        <v>4194</v>
      </c>
      <c r="E191" s="514"/>
      <c r="F191" s="514">
        <v>23000</v>
      </c>
      <c r="G191" s="542"/>
    </row>
    <row r="192" spans="2:8">
      <c r="B192" s="512"/>
      <c r="C192" s="513"/>
      <c r="D192" s="512" t="s">
        <v>4220</v>
      </c>
      <c r="E192" s="514"/>
      <c r="F192" s="514">
        <v>30000</v>
      </c>
      <c r="G192" s="542"/>
    </row>
    <row r="193" spans="2:7">
      <c r="B193" s="512"/>
      <c r="C193" s="513"/>
      <c r="D193" s="512" t="s">
        <v>4221</v>
      </c>
      <c r="E193" s="514"/>
      <c r="F193" s="514">
        <v>15000</v>
      </c>
      <c r="G193" s="542"/>
    </row>
    <row r="194" spans="2:7">
      <c r="B194" s="512"/>
      <c r="C194" s="513"/>
      <c r="D194" s="512" t="s">
        <v>4231</v>
      </c>
      <c r="E194" s="514"/>
      <c r="F194" s="514">
        <v>85000</v>
      </c>
      <c r="G194" s="542"/>
    </row>
    <row r="195" spans="2:7">
      <c r="B195" s="512"/>
      <c r="C195" s="513"/>
      <c r="D195" s="512" t="s">
        <v>4232</v>
      </c>
      <c r="E195" s="514"/>
      <c r="F195" s="514">
        <v>200000</v>
      </c>
      <c r="G195" s="542"/>
    </row>
    <row r="196" spans="2:7">
      <c r="B196" s="512">
        <v>10</v>
      </c>
      <c r="C196" s="513">
        <v>45489</v>
      </c>
      <c r="D196" s="512" t="s">
        <v>4206</v>
      </c>
      <c r="E196" s="514"/>
      <c r="F196" s="514">
        <v>47000</v>
      </c>
      <c r="G196" s="542"/>
    </row>
    <row r="197" spans="2:7">
      <c r="B197" s="512"/>
      <c r="C197" s="513"/>
      <c r="D197" s="512" t="s">
        <v>4206</v>
      </c>
      <c r="E197" s="514"/>
      <c r="F197" s="514">
        <v>47000</v>
      </c>
      <c r="G197" s="542"/>
    </row>
    <row r="198" spans="2:7">
      <c r="B198" s="512"/>
      <c r="C198" s="513"/>
      <c r="D198" s="512" t="s">
        <v>4222</v>
      </c>
      <c r="E198" s="514"/>
      <c r="F198" s="514">
        <v>15000</v>
      </c>
      <c r="G198" s="542"/>
    </row>
    <row r="199" spans="2:7">
      <c r="B199" s="512"/>
      <c r="C199" s="513"/>
      <c r="D199" s="512" t="s">
        <v>4233</v>
      </c>
      <c r="E199" s="514"/>
      <c r="F199" s="514">
        <v>45000</v>
      </c>
      <c r="G199" s="542"/>
    </row>
    <row r="200" spans="2:7">
      <c r="B200" s="512">
        <v>11</v>
      </c>
      <c r="C200" s="513">
        <v>45490</v>
      </c>
      <c r="D200" s="512" t="s">
        <v>4206</v>
      </c>
      <c r="E200" s="514"/>
      <c r="F200" s="514">
        <v>35000</v>
      </c>
      <c r="G200" s="542"/>
    </row>
    <row r="201" spans="2:7">
      <c r="B201" s="512"/>
      <c r="C201" s="513"/>
      <c r="D201" s="512" t="s">
        <v>4209</v>
      </c>
      <c r="E201" s="514"/>
      <c r="F201" s="514">
        <v>30000</v>
      </c>
      <c r="G201" s="542"/>
    </row>
    <row r="202" spans="2:7">
      <c r="B202" s="512"/>
      <c r="C202" s="513"/>
      <c r="D202" s="512" t="s">
        <v>4213</v>
      </c>
      <c r="E202" s="514"/>
      <c r="F202" s="514">
        <v>25000</v>
      </c>
      <c r="G202" s="542"/>
    </row>
    <row r="203" spans="2:7">
      <c r="B203" s="512"/>
      <c r="C203" s="513"/>
      <c r="D203" s="512" t="s">
        <v>4209</v>
      </c>
      <c r="E203" s="514"/>
      <c r="F203" s="514">
        <v>29000</v>
      </c>
      <c r="G203" s="542"/>
    </row>
    <row r="204" spans="2:7">
      <c r="B204" s="512"/>
      <c r="C204" s="513"/>
      <c r="D204" s="512" t="s">
        <v>4223</v>
      </c>
      <c r="E204" s="514"/>
      <c r="F204" s="514">
        <v>15000</v>
      </c>
      <c r="G204" s="542"/>
    </row>
    <row r="205" spans="2:7">
      <c r="B205" s="512"/>
      <c r="C205" s="513"/>
      <c r="D205" s="512" t="s">
        <v>4206</v>
      </c>
      <c r="E205" s="514"/>
      <c r="F205" s="514">
        <v>39000</v>
      </c>
      <c r="G205" s="542"/>
    </row>
    <row r="206" spans="2:7">
      <c r="B206" s="512"/>
      <c r="C206" s="513"/>
      <c r="D206" s="512" t="s">
        <v>4210</v>
      </c>
      <c r="E206" s="514"/>
      <c r="F206" s="514">
        <v>9000</v>
      </c>
      <c r="G206" s="542"/>
    </row>
    <row r="207" spans="2:7">
      <c r="B207" s="512"/>
      <c r="C207" s="513"/>
      <c r="D207" s="512" t="s">
        <v>4194</v>
      </c>
      <c r="E207" s="514"/>
      <c r="F207" s="514">
        <v>13000</v>
      </c>
      <c r="G207" s="542"/>
    </row>
    <row r="208" spans="2:7">
      <c r="B208" s="512"/>
      <c r="C208" s="513"/>
      <c r="D208" s="512" t="s">
        <v>4230</v>
      </c>
      <c r="E208" s="514"/>
      <c r="F208" s="514">
        <v>25000</v>
      </c>
      <c r="G208" s="542"/>
    </row>
    <row r="209" spans="2:7">
      <c r="B209" s="512">
        <v>12</v>
      </c>
      <c r="C209" s="513">
        <v>45491</v>
      </c>
      <c r="D209" s="512" t="s">
        <v>4206</v>
      </c>
      <c r="E209" s="514"/>
      <c r="F209" s="514">
        <v>38000</v>
      </c>
      <c r="G209" s="542"/>
    </row>
    <row r="210" spans="2:7">
      <c r="B210" s="512"/>
      <c r="C210" s="513"/>
      <c r="D210" s="512" t="s">
        <v>4206</v>
      </c>
      <c r="E210" s="514"/>
      <c r="F210" s="514">
        <v>38000</v>
      </c>
      <c r="G210" s="542"/>
    </row>
    <row r="211" spans="2:7">
      <c r="B211" s="512"/>
      <c r="C211" s="513"/>
      <c r="D211" s="512" t="s">
        <v>4224</v>
      </c>
      <c r="E211" s="514"/>
      <c r="F211" s="514">
        <v>20000</v>
      </c>
      <c r="G211" s="542"/>
    </row>
    <row r="212" spans="2:7">
      <c r="B212" s="512"/>
      <c r="C212" s="513"/>
      <c r="D212" s="512" t="s">
        <v>4225</v>
      </c>
      <c r="E212" s="514"/>
      <c r="F212" s="514">
        <v>15000</v>
      </c>
      <c r="G212" s="542"/>
    </row>
    <row r="213" spans="2:7">
      <c r="B213" s="512"/>
      <c r="C213" s="513"/>
      <c r="D213" s="512" t="s">
        <v>4226</v>
      </c>
      <c r="E213" s="514"/>
      <c r="F213" s="514">
        <v>30000</v>
      </c>
      <c r="G213" s="542"/>
    </row>
    <row r="214" spans="2:7">
      <c r="B214" s="512"/>
      <c r="C214" s="513"/>
      <c r="D214" s="512" t="s">
        <v>4209</v>
      </c>
      <c r="E214" s="514"/>
      <c r="F214" s="514">
        <v>55000</v>
      </c>
      <c r="G214" s="542"/>
    </row>
    <row r="215" spans="2:7">
      <c r="B215" s="512">
        <v>13</v>
      </c>
      <c r="C215" s="513">
        <v>45492</v>
      </c>
      <c r="D215" s="512" t="s">
        <v>4206</v>
      </c>
      <c r="E215" s="514"/>
      <c r="F215" s="514">
        <v>41000</v>
      </c>
      <c r="G215" s="542"/>
    </row>
    <row r="216" spans="2:7">
      <c r="B216" s="512"/>
      <c r="C216" s="513"/>
      <c r="D216" s="512" t="s">
        <v>4209</v>
      </c>
      <c r="E216" s="514"/>
      <c r="F216" s="514">
        <v>46000</v>
      </c>
      <c r="G216" s="542"/>
    </row>
    <row r="217" spans="2:7">
      <c r="B217" s="512"/>
      <c r="C217" s="513"/>
      <c r="D217" s="512" t="s">
        <v>4227</v>
      </c>
      <c r="E217" s="514"/>
      <c r="F217" s="514">
        <v>35000</v>
      </c>
      <c r="G217" s="542"/>
    </row>
    <row r="218" spans="2:7">
      <c r="B218" s="512"/>
      <c r="C218" s="513"/>
      <c r="D218" s="512" t="s">
        <v>4206</v>
      </c>
      <c r="E218" s="514"/>
      <c r="F218" s="514">
        <v>47000</v>
      </c>
      <c r="G218" s="542"/>
    </row>
    <row r="219" spans="2:7">
      <c r="B219" s="512"/>
      <c r="C219" s="513"/>
      <c r="D219" s="512" t="s">
        <v>4229</v>
      </c>
      <c r="E219" s="514"/>
      <c r="F219" s="514">
        <v>30000</v>
      </c>
      <c r="G219" s="542"/>
    </row>
    <row r="220" spans="2:7">
      <c r="B220" s="512">
        <v>14</v>
      </c>
      <c r="C220" s="513">
        <v>45493</v>
      </c>
      <c r="D220" s="512" t="s">
        <v>4206</v>
      </c>
      <c r="E220" s="514"/>
      <c r="F220" s="514">
        <v>40000</v>
      </c>
      <c r="G220" s="542"/>
    </row>
    <row r="221" spans="2:7">
      <c r="B221" s="512"/>
      <c r="C221" s="513"/>
      <c r="D221" s="512" t="s">
        <v>4209</v>
      </c>
      <c r="E221" s="514"/>
      <c r="F221" s="514">
        <v>46000</v>
      </c>
      <c r="G221" s="542"/>
    </row>
    <row r="222" spans="2:7">
      <c r="B222" s="512"/>
      <c r="C222" s="513"/>
      <c r="D222" s="512" t="s">
        <v>4206</v>
      </c>
      <c r="E222" s="514"/>
      <c r="F222" s="514">
        <v>9000</v>
      </c>
      <c r="G222" s="542"/>
    </row>
    <row r="223" spans="2:7">
      <c r="B223" s="512"/>
      <c r="C223" s="513"/>
      <c r="D223" s="512" t="s">
        <v>4206</v>
      </c>
      <c r="E223" s="514"/>
      <c r="F223" s="514">
        <v>37000</v>
      </c>
      <c r="G223" s="542"/>
    </row>
    <row r="224" spans="2:7">
      <c r="B224" s="512"/>
      <c r="C224" s="513"/>
      <c r="D224" s="512" t="s">
        <v>4205</v>
      </c>
      <c r="E224" s="514"/>
      <c r="F224" s="514">
        <v>15000</v>
      </c>
      <c r="G224" s="542"/>
    </row>
    <row r="225" spans="2:8">
      <c r="B225" s="512"/>
      <c r="C225" s="513"/>
      <c r="D225" s="512" t="s">
        <v>4228</v>
      </c>
      <c r="E225" s="514"/>
      <c r="F225" s="514">
        <v>55000</v>
      </c>
      <c r="G225" s="542"/>
    </row>
    <row r="226" spans="2:8">
      <c r="B226" s="512">
        <v>15</v>
      </c>
      <c r="C226" s="513">
        <v>45494</v>
      </c>
      <c r="D226" s="512" t="s">
        <v>4206</v>
      </c>
      <c r="E226" s="514"/>
      <c r="F226" s="514">
        <v>37000</v>
      </c>
      <c r="G226" s="542"/>
    </row>
    <row r="227" spans="2:8">
      <c r="B227" s="512"/>
      <c r="C227" s="513"/>
      <c r="D227" s="512" t="s">
        <v>4240</v>
      </c>
      <c r="E227" s="514"/>
      <c r="F227" s="514">
        <v>75000</v>
      </c>
      <c r="G227" s="542"/>
    </row>
    <row r="228" spans="2:8" ht="13.5">
      <c r="B228" s="512"/>
      <c r="C228" s="525"/>
      <c r="D228" s="525"/>
      <c r="E228" s="526"/>
      <c r="F228" s="527">
        <f>SUM(F180:F227)</f>
        <v>1995000</v>
      </c>
      <c r="G228" s="545"/>
      <c r="H228" s="528">
        <f>E180-F228</f>
        <v>5000</v>
      </c>
    </row>
    <row r="229" spans="2:8" ht="13.5">
      <c r="B229" s="512">
        <v>16</v>
      </c>
      <c r="C229" s="513">
        <v>45494</v>
      </c>
      <c r="D229" s="512" t="s">
        <v>4241</v>
      </c>
      <c r="E229" s="514">
        <v>500000</v>
      </c>
      <c r="F229" s="514">
        <v>500000</v>
      </c>
      <c r="G229" s="542"/>
      <c r="H229" s="528">
        <f>E229-F229</f>
        <v>0</v>
      </c>
    </row>
    <row r="230" spans="2:8" ht="13.5">
      <c r="B230" s="512">
        <v>17</v>
      </c>
      <c r="C230" s="513">
        <v>45496</v>
      </c>
      <c r="D230" s="512" t="s">
        <v>4242</v>
      </c>
      <c r="E230" s="514">
        <v>100000</v>
      </c>
      <c r="F230" s="514">
        <v>100000</v>
      </c>
      <c r="G230" s="542"/>
      <c r="H230" s="528">
        <f>E230-F230</f>
        <v>0</v>
      </c>
    </row>
    <row r="231" spans="2:8" ht="13.5">
      <c r="B231" s="512"/>
      <c r="C231" s="512"/>
      <c r="D231" s="515" t="s">
        <v>4179</v>
      </c>
      <c r="E231" s="516">
        <f>SUM(E121:E230)</f>
        <v>5100000</v>
      </c>
      <c r="F231" s="516">
        <f>F137+F179+F228+F229+F230</f>
        <v>5072000</v>
      </c>
      <c r="G231" s="544"/>
    </row>
    <row r="232" spans="2:8" ht="13.5">
      <c r="E232" s="1249">
        <f>E231-F231</f>
        <v>28000</v>
      </c>
      <c r="F232" s="1249"/>
      <c r="G232" s="547"/>
    </row>
    <row r="236" spans="2:8" ht="13.5">
      <c r="D236" s="533" t="s">
        <v>4243</v>
      </c>
      <c r="E236" s="532">
        <v>5100000</v>
      </c>
      <c r="F236" s="529"/>
      <c r="G236" s="529"/>
    </row>
    <row r="237" spans="2:8">
      <c r="D237" s="518" t="s">
        <v>4244</v>
      </c>
      <c r="E237" s="531">
        <f>F125+F126+F127+F128+F129+F130+F131+F132+F133+F134+F135+F136+F140+F141+F142+F143+F147+F148+F149+F150+F151+F152+F153+F154+F155+F156+F157+F158+F15+F159+F162+F163+F164+F167+F168+F169+F170+F172+F173+F174+F175+F176+F181+F182+F183+F184+F186+F187+F188+F189+F191+F192+F193+F196+F197+F200+F201+F202+F203+F205+F206+F207+F209+F210+F213+F214+F215+F216+F218+F220+F222+F221+F223+F224+F225+F226+F229+F230</f>
        <v>3240000</v>
      </c>
      <c r="F237" s="529"/>
      <c r="G237" s="529"/>
    </row>
    <row r="238" spans="2:8">
      <c r="D238" s="518" t="s">
        <v>4245</v>
      </c>
      <c r="E238" s="531">
        <f>F144+F145+F146+F160+F161+F165+F171+F177+F178+F186+F190+F194+F195+F198+F199+F204+F208+F211+F219+F227</f>
        <v>1044000</v>
      </c>
      <c r="F238" s="529"/>
      <c r="G238" s="529"/>
    </row>
    <row r="239" spans="2:8">
      <c r="D239" s="518" t="s">
        <v>4246</v>
      </c>
      <c r="E239" s="553">
        <f>F123+F124+F166+F185</f>
        <v>750000</v>
      </c>
      <c r="F239" s="529" t="s">
        <v>4263</v>
      </c>
      <c r="G239" s="529"/>
    </row>
    <row r="240" spans="2:8" ht="13.5">
      <c r="E240" s="529">
        <f>SUM(E237:E239)</f>
        <v>5034000</v>
      </c>
      <c r="F240" s="554">
        <f>E236-E240</f>
        <v>66000</v>
      </c>
      <c r="G240" s="529"/>
    </row>
    <row r="241" spans="3:7">
      <c r="E241" s="529"/>
      <c r="F241" s="529"/>
      <c r="G241" s="529"/>
    </row>
    <row r="242" spans="3:7">
      <c r="E242" s="529"/>
      <c r="F242" s="529"/>
      <c r="G242" s="529"/>
    </row>
    <row r="244" spans="3:7" ht="14.25" customHeight="1">
      <c r="C244" s="550" t="s">
        <v>4262</v>
      </c>
      <c r="D244" s="550" t="s">
        <v>4252</v>
      </c>
      <c r="E244" s="550" t="s">
        <v>4256</v>
      </c>
      <c r="F244" s="550" t="s">
        <v>4255</v>
      </c>
    </row>
    <row r="245" spans="3:7">
      <c r="C245" s="549" t="s">
        <v>4253</v>
      </c>
      <c r="D245" s="549" t="s">
        <v>4254</v>
      </c>
      <c r="E245" s="551">
        <v>3910000</v>
      </c>
      <c r="F245" s="551">
        <f>C276</f>
        <v>1200000</v>
      </c>
      <c r="G245" s="529"/>
    </row>
    <row r="246" spans="3:7" ht="13.5">
      <c r="C246" s="549"/>
      <c r="D246" s="549"/>
      <c r="E246" s="1250">
        <f>E245-F245</f>
        <v>2710000</v>
      </c>
      <c r="F246" s="1250"/>
      <c r="G246" s="529"/>
    </row>
    <row r="247" spans="3:7">
      <c r="C247" s="549"/>
      <c r="D247" s="549" t="s">
        <v>4257</v>
      </c>
      <c r="E247" s="551"/>
      <c r="F247" s="551"/>
      <c r="G247" s="529"/>
    </row>
    <row r="248" spans="3:7">
      <c r="C248" s="549"/>
      <c r="D248" s="549" t="s">
        <v>4258</v>
      </c>
      <c r="E248" s="551"/>
      <c r="F248" s="551"/>
      <c r="G248" s="529"/>
    </row>
    <row r="249" spans="3:7">
      <c r="C249" s="548"/>
      <c r="D249" s="548"/>
      <c r="E249" s="551"/>
      <c r="F249" s="551"/>
      <c r="G249" s="529"/>
    </row>
    <row r="250" spans="3:7">
      <c r="C250" s="549" t="s">
        <v>4248</v>
      </c>
      <c r="D250" s="549" t="s">
        <v>4254</v>
      </c>
      <c r="E250" s="551">
        <v>3910000</v>
      </c>
      <c r="F250" s="551">
        <f>D276</f>
        <v>1150000</v>
      </c>
      <c r="G250" s="529"/>
    </row>
    <row r="251" spans="3:7" ht="13.5">
      <c r="C251" s="549"/>
      <c r="D251" s="549"/>
      <c r="E251" s="1250">
        <f>E250-F250</f>
        <v>2760000</v>
      </c>
      <c r="F251" s="1250"/>
      <c r="G251" s="529"/>
    </row>
    <row r="252" spans="3:7">
      <c r="C252" s="548"/>
      <c r="D252" s="548" t="s">
        <v>4259</v>
      </c>
      <c r="E252" s="551"/>
      <c r="F252" s="551"/>
    </row>
    <row r="253" spans="3:7">
      <c r="C253" s="548"/>
      <c r="D253" s="548"/>
      <c r="E253" s="551"/>
      <c r="F253" s="551"/>
    </row>
    <row r="254" spans="3:7">
      <c r="C254" s="549" t="s">
        <v>4250</v>
      </c>
      <c r="D254" s="549" t="s">
        <v>4260</v>
      </c>
      <c r="E254" s="551">
        <v>3450000</v>
      </c>
      <c r="F254" s="551">
        <f>E276</f>
        <v>200000</v>
      </c>
    </row>
    <row r="255" spans="3:7" ht="13.5">
      <c r="C255" s="549"/>
      <c r="D255" s="549"/>
      <c r="E255" s="1250">
        <f>E254-F254</f>
        <v>3250000</v>
      </c>
      <c r="F255" s="1250"/>
    </row>
    <row r="256" spans="3:7">
      <c r="C256" s="549"/>
      <c r="D256" s="549" t="s">
        <v>4259</v>
      </c>
      <c r="E256" s="551"/>
      <c r="F256" s="551"/>
    </row>
    <row r="257" spans="3:6">
      <c r="C257" s="548"/>
      <c r="D257" s="548"/>
      <c r="E257" s="552"/>
      <c r="F257" s="552"/>
    </row>
    <row r="258" spans="3:6" ht="13.5">
      <c r="C258" s="548"/>
      <c r="D258" s="548" t="s">
        <v>4261</v>
      </c>
      <c r="E258" s="1251">
        <f>E245+E250+E254</f>
        <v>11270000</v>
      </c>
      <c r="F258" s="1252"/>
    </row>
    <row r="262" spans="3:6">
      <c r="C262" s="517"/>
      <c r="D262" s="517"/>
      <c r="E262" s="517"/>
    </row>
    <row r="263" spans="3:6" ht="13.5">
      <c r="C263" s="1243" t="s">
        <v>4247</v>
      </c>
      <c r="D263" s="1244"/>
      <c r="E263" s="1245"/>
    </row>
    <row r="264" spans="3:6" ht="13.5">
      <c r="C264" s="539" t="s">
        <v>4249</v>
      </c>
      <c r="D264" s="539" t="s">
        <v>4248</v>
      </c>
      <c r="E264" s="539" t="s">
        <v>4250</v>
      </c>
    </row>
    <row r="265" spans="3:6">
      <c r="C265" s="537">
        <v>300000</v>
      </c>
      <c r="D265" s="537">
        <v>1000000</v>
      </c>
      <c r="E265" s="537">
        <v>0</v>
      </c>
    </row>
    <row r="266" spans="3:6">
      <c r="C266" s="537">
        <v>500000</v>
      </c>
      <c r="D266" s="537"/>
      <c r="E266" s="537"/>
    </row>
    <row r="267" spans="3:6">
      <c r="C267" s="538" t="s">
        <v>3242</v>
      </c>
      <c r="D267" s="537"/>
      <c r="E267" s="537"/>
    </row>
    <row r="268" spans="3:6" ht="13.5">
      <c r="C268" s="540">
        <f>SUM(C265:C266)</f>
        <v>800000</v>
      </c>
      <c r="D268" s="540">
        <f>SUM(D265:D266)</f>
        <v>1000000</v>
      </c>
      <c r="E268" s="540">
        <f>SUM(E265:E266)</f>
        <v>0</v>
      </c>
    </row>
    <row r="269" spans="3:6">
      <c r="C269" s="534"/>
      <c r="D269" s="534"/>
      <c r="E269" s="534"/>
    </row>
    <row r="270" spans="3:6" ht="13.5">
      <c r="C270" s="1246" t="s">
        <v>4251</v>
      </c>
      <c r="D270" s="1246"/>
      <c r="E270" s="1246"/>
    </row>
    <row r="271" spans="3:6">
      <c r="C271" s="536">
        <v>300000</v>
      </c>
      <c r="D271" s="536">
        <v>150000</v>
      </c>
      <c r="E271" s="536">
        <v>200000</v>
      </c>
    </row>
    <row r="272" spans="3:6">
      <c r="C272" s="536">
        <v>100000</v>
      </c>
      <c r="D272" s="536"/>
      <c r="E272" s="536"/>
    </row>
    <row r="273" spans="3:5">
      <c r="C273" s="536" t="s">
        <v>3242</v>
      </c>
      <c r="D273" s="536"/>
      <c r="E273" s="536"/>
    </row>
    <row r="274" spans="3:5" ht="13.5">
      <c r="C274" s="540">
        <f>SUM(C271:C272)</f>
        <v>400000</v>
      </c>
      <c r="D274" s="540">
        <f>SUM(D271:D272)</f>
        <v>150000</v>
      </c>
      <c r="E274" s="540">
        <f>SUM(E271:E272)</f>
        <v>200000</v>
      </c>
    </row>
    <row r="275" spans="3:5">
      <c r="C275" s="517"/>
      <c r="D275" s="517"/>
      <c r="E275" s="517"/>
    </row>
    <row r="276" spans="3:5" ht="13.5">
      <c r="C276" s="535">
        <f>C268+C274</f>
        <v>1200000</v>
      </c>
      <c r="D276" s="535">
        <f>D268+D274</f>
        <v>1150000</v>
      </c>
      <c r="E276" s="535">
        <f>E268+E274</f>
        <v>200000</v>
      </c>
    </row>
  </sheetData>
  <mergeCells count="16">
    <mergeCell ref="B1:F1"/>
    <mergeCell ref="B119:F119"/>
    <mergeCell ref="B3:B4"/>
    <mergeCell ref="C3:C4"/>
    <mergeCell ref="D3:D4"/>
    <mergeCell ref="E3:F3"/>
    <mergeCell ref="E117:F117"/>
    <mergeCell ref="C263:E263"/>
    <mergeCell ref="C270:E270"/>
    <mergeCell ref="C122:D122"/>
    <mergeCell ref="C139:D139"/>
    <mergeCell ref="E232:F232"/>
    <mergeCell ref="E246:F246"/>
    <mergeCell ref="E251:F251"/>
    <mergeCell ref="E255:F255"/>
    <mergeCell ref="E258:F258"/>
  </mergeCells>
  <printOptions horizontalCentered="1" verticalCentered="1"/>
  <pageMargins left="0.25" right="0.25" top="0.75" bottom="0.75" header="0.3" footer="0.3"/>
  <pageSetup paperSize="11" scale="75" orientation="portrait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D7E6-AEEA-444E-9D51-C5DB921D9228}">
  <dimension ref="A2:P21"/>
  <sheetViews>
    <sheetView workbookViewId="0">
      <selection activeCell="H21" sqref="H21"/>
    </sheetView>
  </sheetViews>
  <sheetFormatPr defaultRowHeight="16"/>
  <cols>
    <col min="1" max="1" width="3.33203125" style="575" customWidth="1"/>
    <col min="2" max="2" width="4.08203125" style="575" customWidth="1"/>
    <col min="3" max="3" width="9.75" style="575" customWidth="1"/>
    <col min="4" max="4" width="15.08203125" style="575" customWidth="1"/>
    <col min="5" max="5" width="15.33203125" style="575" customWidth="1"/>
    <col min="6" max="6" width="13.25" style="575" customWidth="1"/>
    <col min="7" max="7" width="14.25" style="575" customWidth="1"/>
    <col min="8" max="8" width="9.75" style="575" customWidth="1"/>
    <col min="9" max="9" width="15.25" style="575" customWidth="1"/>
    <col min="10" max="10" width="35" style="575" customWidth="1"/>
    <col min="11" max="12" width="9" style="575"/>
    <col min="13" max="14" width="12.5" style="575" customWidth="1"/>
    <col min="15" max="15" width="12.08203125" style="575" customWidth="1"/>
    <col min="16" max="16" width="22.33203125" style="575" customWidth="1"/>
  </cols>
  <sheetData>
    <row r="2" spans="2:16">
      <c r="B2" s="1259" t="s">
        <v>4372</v>
      </c>
      <c r="C2" s="1259"/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</row>
    <row r="3" spans="2:16">
      <c r="B3" s="1259"/>
      <c r="C3" s="1259"/>
      <c r="D3" s="1259"/>
      <c r="E3" s="1259"/>
      <c r="F3" s="1259"/>
      <c r="G3" s="1259"/>
      <c r="H3" s="1259"/>
      <c r="I3" s="1259"/>
      <c r="J3" s="1259"/>
      <c r="K3" s="1259"/>
      <c r="L3" s="1259"/>
      <c r="M3" s="1259"/>
      <c r="N3" s="1259"/>
      <c r="O3" s="1259"/>
      <c r="P3" s="1259"/>
    </row>
    <row r="4" spans="2:16" ht="15.75" customHeight="1">
      <c r="B4" s="1260" t="s">
        <v>4373</v>
      </c>
      <c r="C4" s="1260"/>
      <c r="D4" s="1260"/>
      <c r="E4" s="1260"/>
      <c r="F4" s="1260"/>
      <c r="G4" s="1260"/>
      <c r="H4" s="1260"/>
      <c r="I4" s="1260"/>
      <c r="J4" s="1260"/>
      <c r="K4" s="1260"/>
      <c r="L4" s="1260"/>
      <c r="M4" s="1260"/>
      <c r="N4" s="1260"/>
      <c r="O4" s="1260"/>
      <c r="P4" s="1260"/>
    </row>
    <row r="5" spans="2:16" ht="25.5" customHeight="1">
      <c r="B5" s="1147" t="s">
        <v>4374</v>
      </c>
      <c r="C5" s="1147"/>
      <c r="D5" s="1147"/>
      <c r="E5" s="1147"/>
      <c r="F5" s="1147"/>
      <c r="G5" s="1147"/>
      <c r="H5" s="591"/>
      <c r="I5" s="591"/>
      <c r="J5" s="591"/>
      <c r="K5" s="591"/>
      <c r="L5" s="591"/>
      <c r="M5" s="591"/>
      <c r="N5" s="591"/>
      <c r="O5" s="591"/>
      <c r="P5" s="591"/>
    </row>
    <row r="6" spans="2:16" ht="22.5" customHeight="1">
      <c r="B6" s="1257" t="s">
        <v>3385</v>
      </c>
      <c r="C6" s="1257" t="s">
        <v>3858</v>
      </c>
      <c r="D6" s="1257" t="s">
        <v>4338</v>
      </c>
      <c r="E6" s="1257" t="s">
        <v>4361</v>
      </c>
      <c r="F6" s="1257" t="s">
        <v>4362</v>
      </c>
      <c r="G6" s="1257" t="s">
        <v>4363</v>
      </c>
      <c r="H6" s="1257" t="s">
        <v>4364</v>
      </c>
      <c r="I6" s="1257"/>
      <c r="J6" s="1257"/>
      <c r="K6" s="1257" t="s">
        <v>4367</v>
      </c>
      <c r="L6" s="1257" t="s">
        <v>4368</v>
      </c>
      <c r="M6" s="1257" t="s">
        <v>4369</v>
      </c>
      <c r="N6" s="1257" t="s">
        <v>4370</v>
      </c>
      <c r="O6" s="1257" t="s">
        <v>3456</v>
      </c>
      <c r="P6" s="1257" t="s">
        <v>3461</v>
      </c>
    </row>
    <row r="7" spans="2:16" ht="22.5" customHeight="1">
      <c r="B7" s="1258"/>
      <c r="C7" s="1258"/>
      <c r="D7" s="1258"/>
      <c r="E7" s="1258"/>
      <c r="F7" s="1258"/>
      <c r="G7" s="1258"/>
      <c r="H7" s="578" t="s">
        <v>4365</v>
      </c>
      <c r="I7" s="578" t="s">
        <v>4366</v>
      </c>
      <c r="J7" s="578" t="s">
        <v>4371</v>
      </c>
      <c r="K7" s="1258"/>
      <c r="L7" s="1258"/>
      <c r="M7" s="1258"/>
      <c r="N7" s="1258"/>
      <c r="O7" s="1258"/>
      <c r="P7" s="1258"/>
    </row>
    <row r="8" spans="2:16">
      <c r="B8" s="593"/>
      <c r="C8" s="593"/>
      <c r="D8" s="584"/>
      <c r="E8" s="593"/>
      <c r="F8" s="593"/>
      <c r="G8" s="593"/>
      <c r="H8" s="593"/>
      <c r="I8" s="593"/>
      <c r="J8" s="593"/>
      <c r="K8" s="593"/>
      <c r="L8" s="593"/>
      <c r="M8" s="593"/>
      <c r="N8" s="593"/>
      <c r="O8" s="593"/>
      <c r="P8" s="593"/>
    </row>
    <row r="9" spans="2:16">
      <c r="B9" s="592"/>
      <c r="C9" s="592"/>
      <c r="D9" s="590"/>
      <c r="E9" s="592"/>
      <c r="F9" s="592"/>
      <c r="G9" s="592"/>
      <c r="H9" s="592"/>
      <c r="I9" s="592"/>
      <c r="J9" s="592"/>
      <c r="K9" s="592"/>
      <c r="L9" s="592"/>
      <c r="M9" s="592"/>
      <c r="N9" s="592"/>
      <c r="O9" s="592"/>
      <c r="P9" s="592"/>
    </row>
    <row r="10" spans="2:16">
      <c r="B10" s="593"/>
      <c r="C10" s="593"/>
      <c r="D10" s="584"/>
      <c r="E10" s="593"/>
      <c r="F10" s="593"/>
      <c r="G10" s="593"/>
      <c r="H10" s="593"/>
      <c r="I10" s="593"/>
      <c r="J10" s="593"/>
      <c r="K10" s="593"/>
      <c r="L10" s="593"/>
      <c r="M10" s="593"/>
      <c r="N10" s="593"/>
      <c r="O10" s="593"/>
      <c r="P10" s="593"/>
    </row>
    <row r="11" spans="2:16">
      <c r="B11" s="592"/>
      <c r="C11" s="592"/>
      <c r="D11" s="590"/>
      <c r="E11" s="592"/>
      <c r="F11" s="592"/>
      <c r="G11" s="592"/>
      <c r="H11" s="592"/>
      <c r="I11" s="592"/>
      <c r="J11" s="592"/>
      <c r="K11" s="592"/>
      <c r="L11" s="592"/>
      <c r="M11" s="592"/>
      <c r="N11" s="592"/>
      <c r="O11" s="592"/>
      <c r="P11" s="592"/>
    </row>
    <row r="12" spans="2:16">
      <c r="B12" s="593"/>
      <c r="C12" s="593"/>
      <c r="D12" s="584"/>
      <c r="E12" s="593"/>
      <c r="F12" s="593"/>
      <c r="G12" s="593"/>
      <c r="H12" s="593"/>
      <c r="I12" s="593"/>
      <c r="J12" s="593"/>
      <c r="K12" s="593"/>
      <c r="L12" s="593"/>
      <c r="M12" s="593"/>
      <c r="N12" s="593"/>
      <c r="O12" s="593"/>
      <c r="P12" s="593"/>
    </row>
    <row r="13" spans="2:16">
      <c r="B13" s="592"/>
      <c r="C13" s="592"/>
      <c r="D13" s="590"/>
      <c r="E13" s="592"/>
      <c r="F13" s="592"/>
      <c r="G13" s="592"/>
      <c r="H13" s="592"/>
      <c r="I13" s="592"/>
      <c r="J13" s="592"/>
      <c r="K13" s="592"/>
      <c r="L13" s="592"/>
      <c r="M13" s="592"/>
      <c r="N13" s="592"/>
      <c r="O13" s="592"/>
      <c r="P13" s="592"/>
    </row>
    <row r="14" spans="2:16">
      <c r="B14" s="593"/>
      <c r="C14" s="593"/>
      <c r="D14" s="584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3"/>
      <c r="P14" s="593"/>
    </row>
    <row r="15" spans="2:16">
      <c r="B15" s="592"/>
      <c r="C15" s="592"/>
      <c r="D15" s="590"/>
      <c r="E15" s="592"/>
      <c r="F15" s="592"/>
      <c r="G15" s="592"/>
      <c r="H15" s="592"/>
      <c r="I15" s="592"/>
      <c r="J15" s="592"/>
      <c r="K15" s="592"/>
      <c r="L15" s="592"/>
      <c r="M15" s="592"/>
      <c r="N15" s="592"/>
      <c r="O15" s="592"/>
      <c r="P15" s="592"/>
    </row>
    <row r="16" spans="2:16">
      <c r="B16" s="593"/>
      <c r="C16" s="593"/>
      <c r="D16" s="584"/>
      <c r="E16" s="593"/>
      <c r="F16" s="593"/>
      <c r="G16" s="593"/>
      <c r="H16" s="593"/>
      <c r="I16" s="593"/>
      <c r="J16" s="593"/>
      <c r="K16" s="593"/>
      <c r="L16" s="593"/>
      <c r="M16" s="593"/>
      <c r="N16" s="593"/>
      <c r="O16" s="593"/>
      <c r="P16" s="593"/>
    </row>
    <row r="17" spans="2:16">
      <c r="B17" s="592"/>
      <c r="C17" s="592"/>
      <c r="D17" s="590"/>
      <c r="E17" s="592"/>
      <c r="F17" s="592"/>
      <c r="G17" s="592"/>
      <c r="H17" s="592"/>
      <c r="I17" s="592"/>
      <c r="J17" s="592"/>
      <c r="K17" s="592"/>
      <c r="L17" s="592"/>
      <c r="M17" s="592"/>
      <c r="N17" s="592"/>
      <c r="O17" s="592"/>
      <c r="P17" s="592"/>
    </row>
    <row r="18" spans="2:16">
      <c r="B18" s="593"/>
      <c r="C18" s="593"/>
      <c r="D18" s="584"/>
      <c r="E18" s="59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593"/>
    </row>
    <row r="19" spans="2:16">
      <c r="B19" s="592"/>
      <c r="C19" s="592"/>
      <c r="D19" s="590"/>
      <c r="E19" s="592"/>
      <c r="F19" s="592"/>
      <c r="G19" s="592"/>
      <c r="H19" s="592"/>
      <c r="I19" s="592"/>
      <c r="J19" s="592"/>
      <c r="K19" s="592"/>
      <c r="L19" s="592"/>
      <c r="M19" s="592"/>
      <c r="N19" s="592"/>
      <c r="O19" s="592"/>
      <c r="P19" s="592"/>
    </row>
    <row r="20" spans="2:16">
      <c r="B20" s="593"/>
      <c r="C20" s="593"/>
      <c r="D20" s="584"/>
      <c r="E20" s="593"/>
      <c r="F20" s="593"/>
      <c r="G20" s="593"/>
      <c r="H20" s="593"/>
      <c r="I20" s="593"/>
      <c r="J20" s="593"/>
      <c r="K20" s="593"/>
      <c r="L20" s="593"/>
      <c r="M20" s="593"/>
      <c r="N20" s="593"/>
      <c r="O20" s="593"/>
      <c r="P20" s="593"/>
    </row>
    <row r="21" spans="2:16">
      <c r="B21" s="592"/>
      <c r="C21" s="592"/>
      <c r="D21" s="590"/>
      <c r="E21" s="592"/>
      <c r="F21" s="592"/>
      <c r="G21" s="592"/>
      <c r="H21" s="592"/>
      <c r="I21" s="592"/>
      <c r="J21" s="592"/>
      <c r="K21" s="592"/>
      <c r="L21" s="592"/>
      <c r="M21" s="592"/>
      <c r="N21" s="592"/>
      <c r="O21" s="592"/>
      <c r="P21" s="592"/>
    </row>
  </sheetData>
  <mergeCells count="16">
    <mergeCell ref="O6:O7"/>
    <mergeCell ref="P6:P7"/>
    <mergeCell ref="B2:P3"/>
    <mergeCell ref="B4:P4"/>
    <mergeCell ref="B5:G5"/>
    <mergeCell ref="H6:J6"/>
    <mergeCell ref="K6:K7"/>
    <mergeCell ref="L6:L7"/>
    <mergeCell ref="M6:M7"/>
    <mergeCell ref="N6:N7"/>
    <mergeCell ref="G6:G7"/>
    <mergeCell ref="F6:F7"/>
    <mergeCell ref="E6:E7"/>
    <mergeCell ref="D6:D7"/>
    <mergeCell ref="C6:C7"/>
    <mergeCell ref="B6:B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C30A-D7A6-4C86-AE82-EC65788962F2}">
  <dimension ref="A1:R22"/>
  <sheetViews>
    <sheetView workbookViewId="0">
      <selection activeCell="D8" sqref="D8"/>
    </sheetView>
  </sheetViews>
  <sheetFormatPr defaultRowHeight="16"/>
  <cols>
    <col min="1" max="1" width="3.33203125" style="575" customWidth="1"/>
    <col min="2" max="2" width="6.75" style="575" customWidth="1"/>
    <col min="3" max="3" width="22.33203125" style="575" customWidth="1"/>
    <col min="4" max="4" width="31" style="575" customWidth="1"/>
    <col min="5" max="5" width="14.33203125" style="575" customWidth="1"/>
    <col min="6" max="6" width="14.75" style="577" customWidth="1"/>
    <col min="7" max="7" width="3.58203125" style="575" customWidth="1"/>
    <col min="8" max="8" width="10.08203125" style="575" customWidth="1"/>
    <col min="9" max="9" width="14.33203125" style="575" customWidth="1"/>
    <col min="10" max="10" width="14.08203125" style="575" customWidth="1"/>
    <col min="11" max="11" width="18.75" style="575" customWidth="1"/>
    <col min="12" max="14" width="8.25" style="575" customWidth="1"/>
    <col min="15" max="15" width="25" style="575" customWidth="1"/>
    <col min="16" max="18" width="9" style="576"/>
  </cols>
  <sheetData>
    <row r="1" spans="2:15">
      <c r="B1" s="1261" t="s">
        <v>4375</v>
      </c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</row>
    <row r="2" spans="2:15">
      <c r="B2" s="1261"/>
      <c r="C2" s="1261"/>
      <c r="D2" s="1261"/>
      <c r="E2" s="1261"/>
      <c r="F2" s="1261"/>
      <c r="G2" s="1261"/>
      <c r="H2" s="1261"/>
      <c r="I2" s="1261"/>
      <c r="J2" s="1261"/>
      <c r="K2" s="1261"/>
      <c r="L2" s="1261"/>
      <c r="M2" s="1261"/>
      <c r="N2" s="1261"/>
      <c r="O2" s="1261"/>
    </row>
    <row r="3" spans="2:15" ht="37">
      <c r="B3" s="1261" t="s">
        <v>4377</v>
      </c>
      <c r="C3" s="1261"/>
      <c r="D3" s="1261"/>
      <c r="E3" s="1261"/>
      <c r="F3" s="1261"/>
      <c r="G3" s="1261"/>
      <c r="H3" s="1261"/>
      <c r="I3" s="1261"/>
      <c r="J3" s="1261"/>
      <c r="K3" s="1261"/>
      <c r="L3" s="1261"/>
      <c r="M3" s="1261"/>
      <c r="N3" s="1261"/>
      <c r="O3" s="1261"/>
    </row>
    <row r="4" spans="2:15" ht="15.75" customHeight="1">
      <c r="B4" s="1264" t="s">
        <v>4376</v>
      </c>
      <c r="C4" s="1264"/>
      <c r="D4" s="1264"/>
      <c r="E4" s="594"/>
      <c r="F4" s="594"/>
      <c r="G4" s="594"/>
      <c r="H4" s="594"/>
      <c r="I4" s="594"/>
      <c r="J4" s="594"/>
      <c r="K4" s="594"/>
      <c r="L4" s="594"/>
      <c r="M4" s="594"/>
      <c r="N4" s="594"/>
      <c r="O4" s="594"/>
    </row>
    <row r="5" spans="2:15" ht="16.5" customHeight="1">
      <c r="B5" s="1257" t="s">
        <v>3270</v>
      </c>
      <c r="C5" s="1257" t="s">
        <v>4348</v>
      </c>
      <c r="D5" s="1257"/>
      <c r="E5" s="1257" t="s">
        <v>4340</v>
      </c>
      <c r="F5" s="1257" t="s">
        <v>4341</v>
      </c>
      <c r="G5" s="1257"/>
      <c r="H5" s="1262" t="s">
        <v>4352</v>
      </c>
      <c r="I5" s="1263"/>
      <c r="J5" s="1257" t="s">
        <v>4346</v>
      </c>
      <c r="K5" s="1257" t="s">
        <v>4347</v>
      </c>
      <c r="L5" s="1257" t="s">
        <v>4349</v>
      </c>
      <c r="M5" s="1257"/>
      <c r="N5" s="1257"/>
      <c r="O5" s="1257" t="s">
        <v>3461</v>
      </c>
    </row>
    <row r="6" spans="2:15">
      <c r="B6" s="1258"/>
      <c r="C6" s="1258"/>
      <c r="D6" s="1258"/>
      <c r="E6" s="1258"/>
      <c r="F6" s="1258"/>
      <c r="G6" s="1258"/>
      <c r="H6" s="578" t="s">
        <v>4353</v>
      </c>
      <c r="I6" s="578" t="s">
        <v>4354</v>
      </c>
      <c r="J6" s="1258"/>
      <c r="K6" s="1258"/>
      <c r="L6" s="578" t="s">
        <v>30</v>
      </c>
      <c r="M6" s="578" t="s">
        <v>4350</v>
      </c>
      <c r="N6" s="578" t="s">
        <v>4351</v>
      </c>
      <c r="O6" s="1258"/>
    </row>
    <row r="7" spans="2:15" ht="17.25" customHeight="1">
      <c r="B7" s="580">
        <v>1</v>
      </c>
      <c r="C7" s="581" t="s">
        <v>4356</v>
      </c>
      <c r="D7" s="582"/>
      <c r="E7" s="582"/>
      <c r="F7" s="583" t="s">
        <v>4342</v>
      </c>
      <c r="G7" s="582"/>
      <c r="H7" s="582"/>
      <c r="I7" s="582"/>
      <c r="J7" s="582"/>
      <c r="K7" s="582"/>
      <c r="L7" s="582"/>
      <c r="M7" s="582"/>
      <c r="N7" s="582"/>
      <c r="O7" s="584"/>
    </row>
    <row r="8" spans="2:15" ht="17.25" customHeight="1">
      <c r="B8" s="585"/>
      <c r="C8" s="579" t="s">
        <v>4357</v>
      </c>
      <c r="F8" s="577" t="s">
        <v>4343</v>
      </c>
      <c r="O8" s="586"/>
    </row>
    <row r="9" spans="2:15" ht="17.25" customHeight="1">
      <c r="B9" s="585"/>
      <c r="C9" s="579" t="s">
        <v>4339</v>
      </c>
      <c r="F9" s="577" t="s">
        <v>4344</v>
      </c>
      <c r="O9" s="586"/>
    </row>
    <row r="10" spans="2:15" ht="17.25" customHeight="1">
      <c r="B10" s="585"/>
      <c r="C10" s="579" t="s">
        <v>4355</v>
      </c>
      <c r="F10" s="577" t="s">
        <v>4345</v>
      </c>
      <c r="O10" s="586"/>
    </row>
    <row r="11" spans="2:15" ht="17.25" customHeight="1">
      <c r="B11" s="585"/>
      <c r="C11" s="579" t="s">
        <v>4358</v>
      </c>
      <c r="D11" s="579"/>
      <c r="O11" s="586"/>
    </row>
    <row r="12" spans="2:15" ht="16.5" customHeight="1">
      <c r="B12" s="585"/>
      <c r="C12" s="579" t="s">
        <v>4357</v>
      </c>
      <c r="O12" s="586"/>
    </row>
    <row r="13" spans="2:15" ht="16.5" customHeight="1">
      <c r="B13" s="585"/>
      <c r="C13" s="577" t="s">
        <v>4359</v>
      </c>
      <c r="O13" s="586"/>
    </row>
    <row r="14" spans="2:15" ht="29.25" customHeight="1">
      <c r="B14" s="587"/>
      <c r="C14" s="588" t="s">
        <v>4360</v>
      </c>
      <c r="D14" s="589"/>
      <c r="E14" s="589"/>
      <c r="F14" s="588"/>
      <c r="G14" s="589"/>
      <c r="H14" s="589"/>
      <c r="I14" s="589"/>
      <c r="J14" s="589"/>
      <c r="K14" s="589"/>
      <c r="L14" s="589"/>
      <c r="M14" s="589"/>
      <c r="N14" s="589"/>
      <c r="O14" s="590"/>
    </row>
    <row r="15" spans="2:15" ht="17.25" customHeight="1">
      <c r="B15" s="580">
        <v>2</v>
      </c>
      <c r="C15" s="581" t="s">
        <v>4356</v>
      </c>
      <c r="D15" s="582"/>
      <c r="E15" s="582"/>
      <c r="F15" s="583" t="s">
        <v>4342</v>
      </c>
      <c r="G15" s="582"/>
      <c r="H15" s="582"/>
      <c r="I15" s="582"/>
      <c r="J15" s="582"/>
      <c r="K15" s="582"/>
      <c r="L15" s="582"/>
      <c r="M15" s="582"/>
      <c r="N15" s="582"/>
      <c r="O15" s="584"/>
    </row>
    <row r="16" spans="2:15" ht="17.25" customHeight="1">
      <c r="B16" s="585"/>
      <c r="C16" s="579" t="s">
        <v>4357</v>
      </c>
      <c r="F16" s="577" t="s">
        <v>4343</v>
      </c>
      <c r="O16" s="586"/>
    </row>
    <row r="17" spans="2:15" ht="17.25" customHeight="1">
      <c r="B17" s="585"/>
      <c r="C17" s="579" t="s">
        <v>4339</v>
      </c>
      <c r="F17" s="577" t="s">
        <v>4344</v>
      </c>
      <c r="O17" s="586"/>
    </row>
    <row r="18" spans="2:15" ht="17.25" customHeight="1">
      <c r="B18" s="585"/>
      <c r="C18" s="579" t="s">
        <v>4355</v>
      </c>
      <c r="F18" s="577" t="s">
        <v>4345</v>
      </c>
      <c r="O18" s="586"/>
    </row>
    <row r="19" spans="2:15" ht="17.25" customHeight="1">
      <c r="B19" s="585"/>
      <c r="C19" s="579" t="s">
        <v>4358</v>
      </c>
      <c r="D19" s="579"/>
      <c r="O19" s="586"/>
    </row>
    <row r="20" spans="2:15" ht="16.5" customHeight="1">
      <c r="B20" s="585"/>
      <c r="C20" s="579" t="s">
        <v>4357</v>
      </c>
      <c r="O20" s="586"/>
    </row>
    <row r="21" spans="2:15" ht="16.5" customHeight="1">
      <c r="B21" s="585"/>
      <c r="C21" s="577" t="s">
        <v>4359</v>
      </c>
      <c r="O21" s="586"/>
    </row>
    <row r="22" spans="2:15" ht="29.25" customHeight="1">
      <c r="B22" s="587"/>
      <c r="C22" s="588" t="s">
        <v>4360</v>
      </c>
      <c r="D22" s="589"/>
      <c r="E22" s="589"/>
      <c r="F22" s="588"/>
      <c r="G22" s="589"/>
      <c r="H22" s="589"/>
      <c r="I22" s="589"/>
      <c r="J22" s="589"/>
      <c r="K22" s="589"/>
      <c r="L22" s="589"/>
      <c r="M22" s="589"/>
      <c r="N22" s="589"/>
      <c r="O22" s="590"/>
    </row>
  </sheetData>
  <mergeCells count="12">
    <mergeCell ref="O5:O6"/>
    <mergeCell ref="B1:O2"/>
    <mergeCell ref="H5:I5"/>
    <mergeCell ref="B3:O3"/>
    <mergeCell ref="B4:D4"/>
    <mergeCell ref="L5:N5"/>
    <mergeCell ref="B5:B6"/>
    <mergeCell ref="C5:D6"/>
    <mergeCell ref="E5:E6"/>
    <mergeCell ref="F5:G6"/>
    <mergeCell ref="K5:K6"/>
    <mergeCell ref="J5:J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LIST CUSTOMER</vt:lpstr>
      <vt:lpstr>CICILAN EMAS 10GR</vt:lpstr>
      <vt:lpstr>LISTRIK NENEK</vt:lpstr>
      <vt:lpstr>LISTRIK, IPL &amp; AIR PMA</vt:lpstr>
      <vt:lpstr>PMA</vt:lpstr>
      <vt:lpstr>ASURANSI ASTRALIFE</vt:lpstr>
      <vt:lpstr>MSR JAN 2023 (AAE-ARL)</vt:lpstr>
      <vt:lpstr>MSR FEB 2023 (AAE-ARL)</vt:lpstr>
      <vt:lpstr>MSR MARCH 2023 (AAE-ARL)</vt:lpstr>
      <vt:lpstr>MSR JAN TILL MAR</vt:lpstr>
      <vt:lpstr>MSR APRIL 2023</vt:lpstr>
      <vt:lpstr>MSR MEI 2023</vt:lpstr>
      <vt:lpstr>MSR JUNI 2023</vt:lpstr>
      <vt:lpstr>MSR JULI 2023</vt:lpstr>
      <vt:lpstr>MSR AGUSTUS 2023</vt:lpstr>
      <vt:lpstr>MSR SEPTEMBER 2023</vt:lpstr>
      <vt:lpstr>MSR OKT 2023</vt:lpstr>
      <vt:lpstr>MSR NOV 2023 </vt:lpstr>
      <vt:lpstr>MSR DES 2023</vt:lpstr>
      <vt:lpstr>MSR JAN 24</vt:lpstr>
      <vt:lpstr>MSR FEB 24</vt:lpstr>
      <vt:lpstr>MSR MAR 24</vt:lpstr>
      <vt:lpstr>PIUTANG TEST</vt:lpstr>
      <vt:lpstr>Format Trucking List</vt:lpstr>
      <vt:lpstr>TABUNGAN EMAS</vt:lpstr>
      <vt:lpstr>PEMBUKUAN</vt:lpstr>
      <vt:lpstr>PIUTANG LIST</vt:lpstr>
      <vt:lpstr>TEST</vt:lpstr>
      <vt:lpstr>HUTANG LIST</vt:lpstr>
      <vt:lpstr>REKON MANDIRI EWILOG</vt:lpstr>
      <vt:lpstr>LIST KANVAS</vt:lpstr>
      <vt:lpstr>LR OKT 23</vt:lpstr>
      <vt:lpstr>LR DES 2023</vt:lpstr>
      <vt:lpstr>LR JAN 2024</vt:lpstr>
      <vt:lpstr>LR FEB 2024</vt:lpstr>
      <vt:lpstr>LR MAR 2024</vt:lpstr>
      <vt:lpstr>LR APR 2024</vt:lpstr>
      <vt:lpstr>LR MEI 2024</vt:lpstr>
      <vt:lpstr>LR JUN 2024</vt:lpstr>
      <vt:lpstr>LR NOV 2023</vt:lpstr>
      <vt:lpstr>LR JAN 24</vt:lpstr>
      <vt:lpstr>LR FEB 24</vt:lpstr>
      <vt:lpstr>LR MAR 24</vt:lpstr>
      <vt:lpstr>LR APR 24</vt:lpstr>
      <vt:lpstr>LR MAY 24</vt:lpstr>
      <vt:lpstr>LR JUN 24</vt:lpstr>
      <vt:lpstr>LR JUL 2024</vt:lpstr>
      <vt:lpstr>LR AUG 2024</vt:lpstr>
      <vt:lpstr>LR SEPT 2024</vt:lpstr>
      <vt:lpstr>LR OKT 2024</vt:lpstr>
      <vt:lpstr>LR NOV 2024</vt:lpstr>
      <vt:lpstr>LR TAHUNAN</vt:lpstr>
      <vt:lpstr>LABA RUGI DES 2024</vt:lpstr>
      <vt:lpstr>PETTY CASH</vt:lpstr>
      <vt:lpstr>SHIPMENT</vt:lpstr>
      <vt:lpstr>Pengeluaran</vt:lpstr>
      <vt:lpstr>Weekly Report MKT</vt:lpstr>
      <vt:lpstr>Form Managing FU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</dc:creator>
  <cp:lastModifiedBy>tegar raihan</cp:lastModifiedBy>
  <cp:lastPrinted>2024-12-07T18:24:28Z</cp:lastPrinted>
  <dcterms:created xsi:type="dcterms:W3CDTF">2023-05-28T17:22:33Z</dcterms:created>
  <dcterms:modified xsi:type="dcterms:W3CDTF">2025-08-19T07:38:59Z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8df09686af7347e794dd7a6ccd53481e</vt:lpwstr>
  </property>
  <property fmtid="{D5CDD505-2E9C-101B-9397-08002B2CF9AE}" pid="3" name="KSOProductBuildVer">
    <vt:lpwstr>2052-11.33.70</vt:lpwstr>
  </property>
</Properties>
</file>